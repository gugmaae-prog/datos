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y.devera\Downloads\"/>
    </mc:Choice>
  </mc:AlternateContent>
  <xr:revisionPtr revIDLastSave="0" documentId="8_{1825C215-9010-4F8A-9C31-157D8979E3AF}" xr6:coauthVersionLast="47" xr6:coauthVersionMax="47" xr10:uidLastSave="{00000000-0000-0000-0000-000000000000}"/>
  <bookViews>
    <workbookView xWindow="-96" yWindow="0" windowWidth="11712" windowHeight="13776" tabRatio="924" xr2:uid="{F3F576C5-DDA2-4006-9B1B-250BE9F380A8}"/>
  </bookViews>
  <sheets>
    <sheet name="BUGATTI" sheetId="37" r:id="rId1"/>
    <sheet name="BURJ" sheetId="39" r:id="rId2"/>
    <sheet name="MERCEDES" sheetId="38" r:id="rId3"/>
    <sheet name="AMBERHALL" sheetId="23" r:id="rId4"/>
    <sheet name="CIRCLE" sheetId="56" state="hidden" r:id="rId5"/>
    <sheet name="AQUARISE" sheetId="24" r:id="rId6"/>
    <sheet name="ELITE" sheetId="49" r:id="rId7"/>
    <sheet name="CULLINAN" sheetId="47" r:id="rId8"/>
    <sheet name="ETHEREA" sheetId="69" r:id="rId9"/>
    <sheet name="FLARE 01" sheetId="73" state="hidden" r:id="rId10"/>
    <sheet name="FLARE 02" sheetId="52" r:id="rId11"/>
    <sheet name="GHOST" sheetId="3" state="hidden" r:id="rId12"/>
    <sheet name="HAVEN" sheetId="27" state="hidden" r:id="rId13"/>
    <sheet name="GROVE" sheetId="72" r:id="rId14"/>
    <sheet name="HILLCREST" sheetId="43" r:id="rId15"/>
    <sheet name="HILLSIDE" sheetId="30" r:id="rId16"/>
    <sheet name="HILL VIEWS" sheetId="28" r:id="rId17"/>
    <sheet name="IVORY" sheetId="4" state="hidden" r:id="rId18"/>
    <sheet name="MOONLIGHT" sheetId="31" state="hidden" r:id="rId19"/>
    <sheet name="ONE BY BINGHATTI" sheetId="40" r:id="rId20"/>
    <sheet name="LUXURIA" sheetId="65" r:id="rId21"/>
    <sheet name="MAYBACH 6" sheetId="66" r:id="rId22"/>
    <sheet name="MAYBACH ULTIMATE LUXURY" sheetId="67" r:id="rId23"/>
    <sheet name="PROJECT MAYBACH" sheetId="70" r:id="rId24"/>
    <sheet name="PINNACLE" sheetId="32" r:id="rId25"/>
    <sheet name="RUBY" sheetId="33" state="hidden" r:id="rId26"/>
    <sheet name="VISION ICONIC" sheetId="68" r:id="rId27"/>
    <sheet name="SKYBLADE" sheetId="42" r:id="rId28"/>
    <sheet name="SKYHALL" sheetId="34" r:id="rId29"/>
    <sheet name="SKY TERRACES" sheetId="48" r:id="rId30"/>
    <sheet name="SKYFLAME 1" sheetId="63" r:id="rId31"/>
    <sheet name="SKYFLAME 2" sheetId="64" r:id="rId32"/>
    <sheet name="SKY RISE" sheetId="41" r:id="rId33"/>
    <sheet name="STARLIGHT" sheetId="35" state="hidden" r:id="rId34"/>
    <sheet name="TITANIA" sheetId="45" r:id="rId35"/>
    <sheet name="TWILIGHT" sheetId="36" state="hidden" r:id="rId36"/>
    <sheet name="VINTAGE" sheetId="46" r:id="rId37"/>
    <sheet name="BINGHATTI PHANTOM" sheetId="74" state="hidden" r:id="rId38"/>
    <sheet name="CIRLCE" sheetId="50" state="hidden" r:id="rId39"/>
    <sheet name="AURORA" sheetId="53" state="hidden" r:id="rId40"/>
    <sheet name="ORCHID" sheetId="54" state="hidden" r:id="rId41"/>
    <sheet name="ROYALE" sheetId="61" state="hidden" r:id="rId42"/>
  </sheets>
  <definedNames>
    <definedName name="_xlnm._FilterDatabase" localSheetId="3" hidden="1">AMBERHALL!$A$3:$K$4</definedName>
    <definedName name="_xlnm._FilterDatabase" localSheetId="5" hidden="1">AQUARISE!$A$3:$K$106</definedName>
    <definedName name="_xlnm._FilterDatabase" localSheetId="1" hidden="1">BURJ!$A$3:$I$86</definedName>
    <definedName name="_xlnm._FilterDatabase" localSheetId="7" hidden="1">CULLINAN!$A$1:$K$13</definedName>
    <definedName name="_xlnm._FilterDatabase" localSheetId="6" hidden="1">ELITE!$A$3:$I$3</definedName>
    <definedName name="_xlnm._FilterDatabase" localSheetId="11" hidden="1">GHOST!$A$3:$J$58</definedName>
    <definedName name="_xlnm._FilterDatabase" localSheetId="12" hidden="1">HAVEN!$A$3:$K$27</definedName>
    <definedName name="_xlnm._FilterDatabase" localSheetId="16" hidden="1">'HILL VIEWS'!$A$3:$K$12</definedName>
    <definedName name="_xlnm._FilterDatabase" localSheetId="15" hidden="1">HILLSIDE!$A$3:$K$5</definedName>
    <definedName name="_xlnm._FilterDatabase" localSheetId="17" hidden="1">IVORY!$A$3:$L$4</definedName>
    <definedName name="_xlnm._FilterDatabase" localSheetId="2" hidden="1">MERCEDES!$A$3:$I$44</definedName>
    <definedName name="_xlnm._FilterDatabase" localSheetId="19" hidden="1">'ONE BY BINGHATTI'!$A$3:$M$4</definedName>
    <definedName name="_xlnm._FilterDatabase" localSheetId="23" hidden="1">'PROJECT MAYBACH'!$A$1:$K$530</definedName>
    <definedName name="_xlnm._FilterDatabase" localSheetId="25" hidden="1">RUBY!$A$3:$L$4</definedName>
    <definedName name="_xlnm._FilterDatabase" localSheetId="32" hidden="1">'SKY RISE'!$A$3:$M$17</definedName>
    <definedName name="_xlnm._FilterDatabase" localSheetId="29" hidden="1">'SKY TERRACES'!$A$3:$K$762</definedName>
    <definedName name="_xlnm._FilterDatabase" localSheetId="27" hidden="1">SKYBLADE!$A$3:$K$4</definedName>
    <definedName name="_xlnm._FilterDatabase" localSheetId="30" hidden="1">'SKYFLAME 1'!$A$3:$K$3</definedName>
    <definedName name="_xlnm._FilterDatabase" localSheetId="31" hidden="1">'SKYFLAME 2'!$A$3:$K$272</definedName>
    <definedName name="_xlnm._FilterDatabase" localSheetId="28" hidden="1">SKYHALL!$A$3:$K$46</definedName>
    <definedName name="_xlnm._FilterDatabase" localSheetId="33" hidden="1">STARLIGHT!$A$3:$K$24</definedName>
    <definedName name="_xlnm._FilterDatabase" localSheetId="34" hidden="1">TITANIA!$A$3:$I$6</definedName>
    <definedName name="_xlnm._FilterDatabase" localSheetId="35" hidden="1">TWILIGHT!$A$3:$K$4</definedName>
    <definedName name="_xlnm._FilterDatabase" localSheetId="36" hidden="1">VINTAGE!$A$3:$J$4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3" i="48" l="1"/>
  <c r="G764" i="48"/>
  <c r="G765" i="48"/>
  <c r="G766" i="48"/>
  <c r="G767" i="48"/>
  <c r="G768" i="48"/>
  <c r="G769" i="48"/>
  <c r="G770" i="48"/>
  <c r="G771" i="48"/>
  <c r="F763" i="48"/>
  <c r="F764" i="48"/>
  <c r="F765" i="48"/>
  <c r="F766" i="48"/>
  <c r="F767" i="48"/>
  <c r="F768" i="48"/>
  <c r="F769" i="48"/>
  <c r="F770" i="48"/>
  <c r="F771" i="48"/>
  <c r="G5" i="52"/>
  <c r="F5" i="52"/>
  <c r="G144" i="69"/>
  <c r="G145" i="69"/>
  <c r="G146" i="69"/>
  <c r="F144" i="69"/>
  <c r="F145" i="69"/>
  <c r="F146" i="69"/>
  <c r="F4" i="32"/>
  <c r="F5" i="32"/>
  <c r="F6" i="32"/>
  <c r="G18" i="41" l="1"/>
  <c r="H18" i="41"/>
  <c r="I18" i="41"/>
  <c r="F18" i="41"/>
  <c r="F106" i="63"/>
  <c r="G106" i="63"/>
  <c r="F107" i="63"/>
  <c r="G107" i="63"/>
  <c r="F502" i="70"/>
  <c r="G502" i="70"/>
  <c r="F503" i="70"/>
  <c r="G503" i="70"/>
  <c r="F504" i="70"/>
  <c r="G504" i="70"/>
  <c r="F505" i="70"/>
  <c r="G505" i="70"/>
  <c r="F506" i="70"/>
  <c r="G506" i="70"/>
  <c r="F507" i="70"/>
  <c r="G507" i="70"/>
  <c r="F508" i="70"/>
  <c r="G508" i="70"/>
  <c r="F509" i="70"/>
  <c r="G509" i="70"/>
  <c r="F510" i="70"/>
  <c r="G510" i="70"/>
  <c r="F511" i="70"/>
  <c r="G511" i="70"/>
  <c r="F512" i="70"/>
  <c r="G512" i="70"/>
  <c r="F513" i="70"/>
  <c r="G513" i="70"/>
  <c r="F514" i="70"/>
  <c r="G514" i="70"/>
  <c r="F515" i="70"/>
  <c r="G515" i="70"/>
  <c r="F516" i="70"/>
  <c r="G516" i="70"/>
  <c r="F517" i="70"/>
  <c r="G517" i="70"/>
  <c r="F518" i="70"/>
  <c r="G518" i="70"/>
  <c r="F519" i="70"/>
  <c r="G519" i="70"/>
  <c r="F520" i="70"/>
  <c r="G520" i="70"/>
  <c r="F521" i="70"/>
  <c r="G521" i="70"/>
  <c r="F522" i="70"/>
  <c r="G522" i="70"/>
  <c r="F523" i="70"/>
  <c r="G523" i="70"/>
  <c r="F524" i="70"/>
  <c r="G524" i="70"/>
  <c r="F525" i="70"/>
  <c r="G525" i="70"/>
  <c r="F526" i="70"/>
  <c r="G526" i="70"/>
  <c r="F527" i="70"/>
  <c r="G527" i="70"/>
  <c r="F528" i="70"/>
  <c r="G528" i="70"/>
  <c r="F529" i="70"/>
  <c r="G529" i="70"/>
  <c r="F530" i="70"/>
  <c r="G530" i="70"/>
  <c r="F837" i="67"/>
  <c r="G837" i="67"/>
  <c r="F838" i="67"/>
  <c r="G838" i="67"/>
  <c r="F13" i="28"/>
  <c r="G13" i="28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4" i="47"/>
  <c r="G14" i="47"/>
  <c r="F15" i="47"/>
  <c r="G15" i="47"/>
  <c r="F16" i="47"/>
  <c r="G16" i="47"/>
  <c r="F17" i="47"/>
  <c r="G17" i="47"/>
  <c r="F18" i="47"/>
  <c r="G18" i="47"/>
  <c r="F19" i="47"/>
  <c r="G19" i="47"/>
  <c r="F215" i="24"/>
  <c r="G215" i="24"/>
  <c r="F216" i="24"/>
  <c r="G216" i="24"/>
  <c r="F217" i="24"/>
  <c r="G217" i="24"/>
  <c r="F218" i="24"/>
  <c r="G218" i="24"/>
  <c r="F219" i="24"/>
  <c r="G219" i="24"/>
  <c r="F220" i="24"/>
  <c r="G220" i="24"/>
  <c r="F221" i="24"/>
  <c r="G221" i="24"/>
  <c r="F222" i="24"/>
  <c r="G222" i="24"/>
  <c r="F223" i="24"/>
  <c r="G223" i="24"/>
  <c r="F224" i="24"/>
  <c r="G224" i="24"/>
  <c r="F225" i="24"/>
  <c r="G225" i="24"/>
  <c r="F226" i="24"/>
  <c r="G226" i="24"/>
  <c r="F227" i="24"/>
  <c r="G227" i="24"/>
  <c r="F228" i="24"/>
  <c r="G228" i="24"/>
  <c r="F229" i="24"/>
  <c r="G229" i="24"/>
  <c r="F230" i="24"/>
  <c r="G230" i="24"/>
  <c r="F231" i="24"/>
  <c r="G231" i="24"/>
  <c r="F232" i="24"/>
  <c r="G232" i="24"/>
  <c r="F233" i="24"/>
  <c r="G233" i="24"/>
  <c r="F234" i="24"/>
  <c r="G234" i="24"/>
  <c r="F235" i="24"/>
  <c r="G235" i="24"/>
  <c r="F236" i="24"/>
  <c r="G236" i="24"/>
  <c r="F237" i="24"/>
  <c r="G237" i="24"/>
  <c r="F238" i="24"/>
  <c r="G238" i="24"/>
  <c r="F239" i="24"/>
  <c r="G239" i="24"/>
  <c r="F240" i="24"/>
  <c r="G240" i="24"/>
  <c r="F241" i="24"/>
  <c r="G241" i="24"/>
  <c r="F13" i="42"/>
  <c r="G13" i="42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203" i="24"/>
  <c r="G203" i="24"/>
  <c r="F204" i="24"/>
  <c r="G204" i="24"/>
  <c r="F205" i="24"/>
  <c r="G205" i="24"/>
  <c r="F206" i="24"/>
  <c r="G206" i="24"/>
  <c r="F207" i="24"/>
  <c r="G207" i="24"/>
  <c r="F208" i="24"/>
  <c r="G208" i="24"/>
  <c r="F209" i="24"/>
  <c r="G209" i="24"/>
  <c r="F210" i="24"/>
  <c r="G210" i="24"/>
  <c r="F211" i="24"/>
  <c r="G211" i="24"/>
  <c r="F212" i="24"/>
  <c r="G212" i="24"/>
  <c r="F213" i="24"/>
  <c r="G213" i="24"/>
  <c r="F214" i="24"/>
  <c r="G214" i="24"/>
  <c r="F755" i="48"/>
  <c r="G755" i="48"/>
  <c r="F756" i="48"/>
  <c r="G756" i="48"/>
  <c r="F757" i="48"/>
  <c r="G757" i="48"/>
  <c r="F758" i="48"/>
  <c r="G758" i="48"/>
  <c r="F759" i="48"/>
  <c r="G759" i="48"/>
  <c r="F760" i="48"/>
  <c r="G760" i="48"/>
  <c r="F761" i="48"/>
  <c r="G761" i="48"/>
  <c r="F762" i="48"/>
  <c r="G762" i="48"/>
  <c r="G4" i="64"/>
  <c r="G5" i="64"/>
  <c r="G6" i="64"/>
  <c r="G7" i="64"/>
  <c r="G8" i="64"/>
  <c r="G9" i="64"/>
  <c r="G10" i="64"/>
  <c r="G11" i="64"/>
  <c r="G12" i="64"/>
  <c r="G13" i="64"/>
  <c r="G14" i="64"/>
  <c r="G15" i="64"/>
  <c r="G16" i="64"/>
  <c r="G17" i="64"/>
  <c r="G18" i="64"/>
  <c r="G19" i="64"/>
  <c r="G20" i="64"/>
  <c r="G21" i="64"/>
  <c r="G22" i="64"/>
  <c r="G23" i="64"/>
  <c r="G24" i="64"/>
  <c r="G25" i="64"/>
  <c r="G26" i="64"/>
  <c r="G27" i="64"/>
  <c r="G28" i="64"/>
  <c r="G29" i="64"/>
  <c r="G30" i="64"/>
  <c r="G31" i="64"/>
  <c r="G32" i="64"/>
  <c r="G33" i="64"/>
  <c r="G34" i="64"/>
  <c r="G35" i="64"/>
  <c r="G36" i="64"/>
  <c r="G37" i="64"/>
  <c r="G38" i="64"/>
  <c r="G39" i="64"/>
  <c r="G40" i="64"/>
  <c r="G41" i="64"/>
  <c r="G42" i="64"/>
  <c r="G43" i="64"/>
  <c r="G44" i="64"/>
  <c r="G45" i="64"/>
  <c r="G46" i="64"/>
  <c r="G47" i="64"/>
  <c r="G48" i="64"/>
  <c r="G49" i="64"/>
  <c r="G50" i="64"/>
  <c r="G51" i="64"/>
  <c r="G52" i="64"/>
  <c r="G53" i="64"/>
  <c r="G54" i="64"/>
  <c r="G55" i="64"/>
  <c r="G56" i="64"/>
  <c r="G57" i="64"/>
  <c r="G58" i="64"/>
  <c r="G59" i="64"/>
  <c r="G60" i="64"/>
  <c r="G61" i="64"/>
  <c r="G62" i="64"/>
  <c r="G63" i="64"/>
  <c r="G64" i="64"/>
  <c r="G65" i="64"/>
  <c r="G66" i="64"/>
  <c r="G67" i="64"/>
  <c r="G68" i="64"/>
  <c r="G69" i="64"/>
  <c r="G70" i="64"/>
  <c r="G71" i="64"/>
  <c r="G72" i="64"/>
  <c r="G73" i="64"/>
  <c r="G74" i="64"/>
  <c r="G75" i="64"/>
  <c r="G76" i="64"/>
  <c r="G77" i="64"/>
  <c r="G78" i="64"/>
  <c r="G79" i="64"/>
  <c r="G80" i="64"/>
  <c r="G81" i="64"/>
  <c r="G82" i="64"/>
  <c r="G83" i="64"/>
  <c r="G84" i="64"/>
  <c r="G85" i="64"/>
  <c r="G86" i="64"/>
  <c r="G87" i="64"/>
  <c r="G88" i="64"/>
  <c r="G89" i="64"/>
  <c r="G90" i="64"/>
  <c r="G91" i="64"/>
  <c r="G92" i="64"/>
  <c r="G93" i="64"/>
  <c r="G94" i="64"/>
  <c r="G95" i="64"/>
  <c r="G96" i="64"/>
  <c r="G97" i="64"/>
  <c r="G98" i="64"/>
  <c r="G99" i="64"/>
  <c r="G100" i="64"/>
  <c r="G101" i="64"/>
  <c r="G102" i="64"/>
  <c r="G103" i="64"/>
  <c r="G104" i="64"/>
  <c r="G105" i="64"/>
  <c r="G106" i="64"/>
  <c r="G107" i="64"/>
  <c r="G108" i="64"/>
  <c r="G109" i="64"/>
  <c r="G110" i="64"/>
  <c r="G111" i="64"/>
  <c r="G112" i="64"/>
  <c r="G113" i="64"/>
  <c r="G114" i="64"/>
  <c r="G115" i="64"/>
  <c r="G116" i="64"/>
  <c r="G117" i="64"/>
  <c r="G118" i="64"/>
  <c r="G119" i="64"/>
  <c r="G120" i="64"/>
  <c r="G121" i="64"/>
  <c r="G122" i="64"/>
  <c r="G123" i="64"/>
  <c r="G124" i="64"/>
  <c r="G125" i="64"/>
  <c r="G126" i="64"/>
  <c r="G127" i="64"/>
  <c r="G128" i="64"/>
  <c r="G129" i="64"/>
  <c r="G130" i="64"/>
  <c r="G131" i="64"/>
  <c r="G132" i="64"/>
  <c r="G133" i="64"/>
  <c r="G134" i="64"/>
  <c r="G135" i="64"/>
  <c r="G136" i="64"/>
  <c r="G137" i="64"/>
  <c r="G138" i="64"/>
  <c r="G139" i="64"/>
  <c r="G140" i="64"/>
  <c r="G141" i="64"/>
  <c r="G142" i="64"/>
  <c r="G143" i="64"/>
  <c r="G144" i="64"/>
  <c r="G145" i="64"/>
  <c r="G146" i="64"/>
  <c r="G147" i="64"/>
  <c r="G148" i="64"/>
  <c r="G149" i="64"/>
  <c r="G150" i="64"/>
  <c r="G151" i="64"/>
  <c r="G152" i="64"/>
  <c r="G153" i="64"/>
  <c r="G154" i="64"/>
  <c r="G155" i="64"/>
  <c r="G156" i="64"/>
  <c r="G157" i="64"/>
  <c r="G158" i="64"/>
  <c r="G159" i="64"/>
  <c r="G160" i="64"/>
  <c r="G161" i="64"/>
  <c r="G162" i="64"/>
  <c r="G163" i="64"/>
  <c r="G164" i="64"/>
  <c r="G165" i="64"/>
  <c r="G166" i="64"/>
  <c r="G167" i="64"/>
  <c r="G168" i="64"/>
  <c r="G169" i="64"/>
  <c r="G170" i="64"/>
  <c r="G171" i="64"/>
  <c r="G172" i="64"/>
  <c r="G173" i="64"/>
  <c r="G174" i="64"/>
  <c r="G175" i="64"/>
  <c r="G176" i="64"/>
  <c r="G177" i="64"/>
  <c r="G178" i="64"/>
  <c r="G179" i="64"/>
  <c r="G180" i="64"/>
  <c r="G181" i="64"/>
  <c r="G182" i="64"/>
  <c r="G183" i="64"/>
  <c r="G184" i="64"/>
  <c r="G185" i="64"/>
  <c r="G186" i="64"/>
  <c r="G187" i="64"/>
  <c r="G188" i="64"/>
  <c r="G189" i="64"/>
  <c r="G190" i="64"/>
  <c r="G191" i="64"/>
  <c r="G192" i="64"/>
  <c r="G193" i="64"/>
  <c r="G194" i="64"/>
  <c r="G195" i="64"/>
  <c r="G196" i="64"/>
  <c r="G197" i="64"/>
  <c r="G198" i="64"/>
  <c r="G199" i="64"/>
  <c r="G200" i="64"/>
  <c r="G201" i="64"/>
  <c r="G202" i="64"/>
  <c r="G203" i="64"/>
  <c r="G204" i="64"/>
  <c r="G205" i="64"/>
  <c r="G206" i="64"/>
  <c r="G207" i="64"/>
  <c r="G208" i="64"/>
  <c r="G209" i="64"/>
  <c r="G210" i="64"/>
  <c r="G211" i="64"/>
  <c r="G212" i="64"/>
  <c r="G213" i="64"/>
  <c r="G214" i="64"/>
  <c r="G215" i="64"/>
  <c r="G216" i="64"/>
  <c r="G217" i="64"/>
  <c r="G218" i="64"/>
  <c r="G219" i="64"/>
  <c r="G220" i="64"/>
  <c r="G221" i="64"/>
  <c r="G222" i="64"/>
  <c r="G223" i="64"/>
  <c r="G224" i="64"/>
  <c r="G225" i="64"/>
  <c r="G226" i="64"/>
  <c r="G227" i="64"/>
  <c r="G228" i="64"/>
  <c r="G229" i="64"/>
  <c r="G230" i="64"/>
  <c r="G231" i="64"/>
  <c r="G232" i="64"/>
  <c r="G233" i="64"/>
  <c r="G234" i="64"/>
  <c r="G235" i="64"/>
  <c r="G236" i="64"/>
  <c r="G237" i="64"/>
  <c r="G238" i="64"/>
  <c r="G239" i="64"/>
  <c r="G240" i="64"/>
  <c r="G241" i="64"/>
  <c r="G242" i="64"/>
  <c r="G243" i="64"/>
  <c r="G244" i="64"/>
  <c r="G245" i="64"/>
  <c r="G246" i="64"/>
  <c r="G247" i="64"/>
  <c r="G248" i="64"/>
  <c r="G249" i="64"/>
  <c r="G250" i="64"/>
  <c r="G251" i="64"/>
  <c r="G252" i="64"/>
  <c r="G253" i="64"/>
  <c r="G254" i="64"/>
  <c r="G255" i="64"/>
  <c r="G256" i="64"/>
  <c r="G257" i="64"/>
  <c r="G258" i="64"/>
  <c r="G259" i="64"/>
  <c r="G260" i="64"/>
  <c r="G261" i="64"/>
  <c r="G262" i="64"/>
  <c r="G263" i="64"/>
  <c r="G264" i="64"/>
  <c r="G265" i="64"/>
  <c r="G266" i="64"/>
  <c r="G267" i="64"/>
  <c r="G268" i="64"/>
  <c r="G269" i="64"/>
  <c r="G270" i="64"/>
  <c r="G271" i="64"/>
  <c r="G272" i="64"/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H5" i="4"/>
  <c r="H6" i="4"/>
  <c r="H4" i="4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4" i="3" l="1"/>
  <c r="G4" i="73"/>
  <c r="F4" i="73"/>
  <c r="F500" i="70"/>
  <c r="G500" i="70"/>
  <c r="F501" i="70"/>
  <c r="G501" i="70"/>
  <c r="F349" i="66"/>
  <c r="G349" i="66"/>
  <c r="F350" i="66"/>
  <c r="G350" i="66"/>
  <c r="F351" i="66"/>
  <c r="G351" i="66"/>
  <c r="F352" i="66"/>
  <c r="G352" i="66"/>
  <c r="F353" i="66"/>
  <c r="G353" i="66"/>
  <c r="F354" i="66"/>
  <c r="G354" i="66"/>
  <c r="F355" i="66"/>
  <c r="G355" i="66"/>
  <c r="F356" i="66"/>
  <c r="G356" i="66"/>
  <c r="G5" i="30" l="1"/>
  <c r="F5" i="30"/>
  <c r="G4" i="30"/>
  <c r="F4" i="30"/>
  <c r="F107" i="24" l="1"/>
  <c r="G107" i="24"/>
  <c r="F108" i="24"/>
  <c r="G108" i="24"/>
  <c r="F109" i="24"/>
  <c r="G109" i="24"/>
  <c r="F110" i="24"/>
  <c r="G110" i="24"/>
  <c r="F111" i="24"/>
  <c r="G111" i="24"/>
  <c r="F112" i="24"/>
  <c r="G112" i="24"/>
  <c r="F267" i="64" l="1"/>
  <c r="F268" i="64"/>
  <c r="F269" i="64"/>
  <c r="F270" i="64"/>
  <c r="F271" i="64"/>
  <c r="F272" i="64"/>
  <c r="F12" i="42"/>
  <c r="G12" i="42"/>
  <c r="F823" i="68"/>
  <c r="G823" i="68"/>
  <c r="F824" i="68"/>
  <c r="G824" i="68"/>
  <c r="F825" i="68"/>
  <c r="G825" i="68"/>
  <c r="F826" i="68"/>
  <c r="G826" i="68"/>
  <c r="F827" i="68"/>
  <c r="G827" i="68"/>
  <c r="F828" i="68"/>
  <c r="G828" i="68"/>
  <c r="F829" i="68"/>
  <c r="G829" i="68"/>
  <c r="F830" i="68"/>
  <c r="G830" i="68"/>
  <c r="F831" i="68"/>
  <c r="G831" i="68"/>
  <c r="F832" i="68"/>
  <c r="G832" i="68"/>
  <c r="F833" i="68"/>
  <c r="G833" i="68"/>
  <c r="F834" i="68"/>
  <c r="G834" i="68"/>
  <c r="F835" i="68"/>
  <c r="G835" i="68"/>
  <c r="F836" i="68"/>
  <c r="G836" i="68"/>
  <c r="F837" i="68"/>
  <c r="G837" i="68"/>
  <c r="F838" i="68"/>
  <c r="G838" i="68"/>
  <c r="F839" i="68"/>
  <c r="G839" i="68"/>
  <c r="F827" i="67"/>
  <c r="G827" i="67"/>
  <c r="F828" i="67"/>
  <c r="G828" i="67"/>
  <c r="F829" i="67"/>
  <c r="G829" i="67"/>
  <c r="F830" i="67"/>
  <c r="G830" i="67"/>
  <c r="F831" i="67"/>
  <c r="G831" i="67"/>
  <c r="F832" i="67"/>
  <c r="G832" i="67"/>
  <c r="F833" i="67"/>
  <c r="G833" i="67"/>
  <c r="F834" i="67"/>
  <c r="G834" i="67"/>
  <c r="F835" i="67"/>
  <c r="G835" i="67"/>
  <c r="F836" i="67"/>
  <c r="G836" i="67"/>
  <c r="F13" i="47"/>
  <c r="G13" i="47"/>
  <c r="F826" i="67"/>
  <c r="G826" i="67"/>
  <c r="F821" i="68"/>
  <c r="G821" i="68"/>
  <c r="F822" i="68"/>
  <c r="G822" i="68"/>
  <c r="F106" i="24"/>
  <c r="G106" i="24"/>
  <c r="F88" i="43"/>
  <c r="F89" i="43"/>
  <c r="F90" i="43"/>
  <c r="F91" i="43"/>
  <c r="F92" i="43"/>
  <c r="F93" i="43"/>
  <c r="F94" i="43"/>
  <c r="F95" i="43"/>
  <c r="F96" i="43"/>
  <c r="F97" i="43"/>
  <c r="F98" i="43"/>
  <c r="F99" i="43"/>
  <c r="F100" i="43"/>
  <c r="F101" i="43"/>
  <c r="F102" i="43"/>
  <c r="F103" i="43"/>
  <c r="F104" i="43"/>
  <c r="F105" i="43"/>
  <c r="F106" i="43"/>
  <c r="F107" i="43"/>
  <c r="F108" i="43"/>
  <c r="F109" i="43"/>
  <c r="F110" i="43"/>
  <c r="F111" i="43"/>
  <c r="F112" i="43"/>
  <c r="F113" i="43"/>
  <c r="F114" i="43"/>
  <c r="F115" i="43"/>
  <c r="F116" i="43"/>
  <c r="F117" i="43"/>
  <c r="F118" i="43"/>
  <c r="F119" i="43"/>
  <c r="F120" i="43"/>
  <c r="F121" i="43"/>
  <c r="F122" i="43"/>
  <c r="F123" i="43"/>
  <c r="F124" i="43"/>
  <c r="F125" i="43"/>
  <c r="F126" i="43"/>
  <c r="F127" i="43"/>
  <c r="G88" i="43"/>
  <c r="G89" i="43"/>
  <c r="G90" i="43"/>
  <c r="G91" i="43"/>
  <c r="G92" i="43"/>
  <c r="G93" i="43"/>
  <c r="G94" i="43"/>
  <c r="G95" i="43"/>
  <c r="G96" i="43"/>
  <c r="G97" i="43"/>
  <c r="G98" i="43"/>
  <c r="G99" i="43"/>
  <c r="G100" i="43"/>
  <c r="G101" i="43"/>
  <c r="G102" i="43"/>
  <c r="G103" i="43"/>
  <c r="G104" i="43"/>
  <c r="G105" i="43"/>
  <c r="G106" i="43"/>
  <c r="G107" i="43"/>
  <c r="G108" i="43"/>
  <c r="G109" i="43"/>
  <c r="G110" i="43"/>
  <c r="G111" i="43"/>
  <c r="G112" i="43"/>
  <c r="G113" i="43"/>
  <c r="G114" i="43"/>
  <c r="G115" i="43"/>
  <c r="G116" i="43"/>
  <c r="G117" i="43"/>
  <c r="G118" i="43"/>
  <c r="G119" i="43"/>
  <c r="G120" i="43"/>
  <c r="G121" i="43"/>
  <c r="G122" i="43"/>
  <c r="G123" i="43"/>
  <c r="G124" i="43"/>
  <c r="G125" i="43"/>
  <c r="G126" i="43"/>
  <c r="G127" i="43"/>
  <c r="F4" i="41"/>
  <c r="F5" i="41"/>
  <c r="F6" i="41"/>
  <c r="F7" i="41"/>
  <c r="F8" i="41"/>
  <c r="F9" i="41"/>
  <c r="F10" i="41"/>
  <c r="F11" i="41"/>
  <c r="F12" i="41"/>
  <c r="F13" i="41"/>
  <c r="F14" i="41"/>
  <c r="F15" i="41"/>
  <c r="F16" i="41"/>
  <c r="F17" i="41"/>
  <c r="F5" i="46"/>
  <c r="F261" i="64"/>
  <c r="F262" i="64"/>
  <c r="F263" i="64"/>
  <c r="F264" i="64"/>
  <c r="F265" i="64"/>
  <c r="F266" i="64"/>
  <c r="G5" i="67"/>
  <c r="G6" i="67"/>
  <c r="G7" i="67"/>
  <c r="G8" i="67"/>
  <c r="G9" i="67"/>
  <c r="G10" i="67"/>
  <c r="G11" i="67"/>
  <c r="G12" i="67"/>
  <c r="G13" i="67"/>
  <c r="G14" i="67"/>
  <c r="G15" i="67"/>
  <c r="G16" i="67"/>
  <c r="G17" i="67"/>
  <c r="G18" i="67"/>
  <c r="G19" i="67"/>
  <c r="G20" i="67"/>
  <c r="G21" i="67"/>
  <c r="G22" i="67"/>
  <c r="G23" i="67"/>
  <c r="G24" i="67"/>
  <c r="G25" i="67"/>
  <c r="G26" i="67"/>
  <c r="G27" i="67"/>
  <c r="G28" i="67"/>
  <c r="G29" i="67"/>
  <c r="G30" i="67"/>
  <c r="G31" i="67"/>
  <c r="G32" i="67"/>
  <c r="G33" i="67"/>
  <c r="G34" i="67"/>
  <c r="G35" i="67"/>
  <c r="G36" i="67"/>
  <c r="G37" i="67"/>
  <c r="G38" i="67"/>
  <c r="G39" i="67"/>
  <c r="G40" i="67"/>
  <c r="G41" i="67"/>
  <c r="G42" i="67"/>
  <c r="G43" i="67"/>
  <c r="G44" i="67"/>
  <c r="G45" i="67"/>
  <c r="G46" i="67"/>
  <c r="G47" i="67"/>
  <c r="G48" i="67"/>
  <c r="G49" i="67"/>
  <c r="G50" i="67"/>
  <c r="G51" i="67"/>
  <c r="G52" i="67"/>
  <c r="G53" i="67"/>
  <c r="G54" i="67"/>
  <c r="G55" i="67"/>
  <c r="G56" i="67"/>
  <c r="G57" i="67"/>
  <c r="G58" i="67"/>
  <c r="G59" i="67"/>
  <c r="G60" i="67"/>
  <c r="G61" i="67"/>
  <c r="G62" i="67"/>
  <c r="G63" i="67"/>
  <c r="G64" i="67"/>
  <c r="G65" i="67"/>
  <c r="G66" i="67"/>
  <c r="G67" i="67"/>
  <c r="G68" i="67"/>
  <c r="G69" i="67"/>
  <c r="G70" i="67"/>
  <c r="G71" i="67"/>
  <c r="G72" i="67"/>
  <c r="G73" i="67"/>
  <c r="G74" i="67"/>
  <c r="G75" i="67"/>
  <c r="G76" i="67"/>
  <c r="G77" i="67"/>
  <c r="G78" i="67"/>
  <c r="G79" i="67"/>
  <c r="G80" i="67"/>
  <c r="G81" i="67"/>
  <c r="G82" i="67"/>
  <c r="G83" i="67"/>
  <c r="G84" i="67"/>
  <c r="G85" i="67"/>
  <c r="G86" i="67"/>
  <c r="G87" i="67"/>
  <c r="G88" i="67"/>
  <c r="G89" i="67"/>
  <c r="G90" i="67"/>
  <c r="G91" i="67"/>
  <c r="G92" i="67"/>
  <c r="G93" i="67"/>
  <c r="G94" i="67"/>
  <c r="G95" i="67"/>
  <c r="G96" i="67"/>
  <c r="G97" i="67"/>
  <c r="G98" i="67"/>
  <c r="G99" i="67"/>
  <c r="G100" i="67"/>
  <c r="G101" i="67"/>
  <c r="G102" i="67"/>
  <c r="G103" i="67"/>
  <c r="G104" i="67"/>
  <c r="G105" i="67"/>
  <c r="G106" i="67"/>
  <c r="G107" i="67"/>
  <c r="G108" i="67"/>
  <c r="G109" i="67"/>
  <c r="G110" i="67"/>
  <c r="G111" i="67"/>
  <c r="G112" i="67"/>
  <c r="G113" i="67"/>
  <c r="G114" i="67"/>
  <c r="G115" i="67"/>
  <c r="G116" i="67"/>
  <c r="G117" i="67"/>
  <c r="G118" i="67"/>
  <c r="G119" i="67"/>
  <c r="G120" i="67"/>
  <c r="G121" i="67"/>
  <c r="G122" i="67"/>
  <c r="G123" i="67"/>
  <c r="G124" i="67"/>
  <c r="G125" i="67"/>
  <c r="G126" i="67"/>
  <c r="G127" i="67"/>
  <c r="G128" i="67"/>
  <c r="G129" i="67"/>
  <c r="G130" i="67"/>
  <c r="G131" i="67"/>
  <c r="G132" i="67"/>
  <c r="G133" i="67"/>
  <c r="G134" i="67"/>
  <c r="G135" i="67"/>
  <c r="G136" i="67"/>
  <c r="G137" i="67"/>
  <c r="G138" i="67"/>
  <c r="G139" i="67"/>
  <c r="G140" i="67"/>
  <c r="G141" i="67"/>
  <c r="G142" i="67"/>
  <c r="G143" i="67"/>
  <c r="G144" i="67"/>
  <c r="G145" i="67"/>
  <c r="G146" i="67"/>
  <c r="G147" i="67"/>
  <c r="G148" i="67"/>
  <c r="G149" i="67"/>
  <c r="G150" i="67"/>
  <c r="G151" i="67"/>
  <c r="G152" i="67"/>
  <c r="G153" i="67"/>
  <c r="G154" i="67"/>
  <c r="G155" i="67"/>
  <c r="G156" i="67"/>
  <c r="G157" i="67"/>
  <c r="G158" i="67"/>
  <c r="G159" i="67"/>
  <c r="G160" i="67"/>
  <c r="G161" i="67"/>
  <c r="G162" i="67"/>
  <c r="G163" i="67"/>
  <c r="G164" i="67"/>
  <c r="G165" i="67"/>
  <c r="G166" i="67"/>
  <c r="G167" i="67"/>
  <c r="G168" i="67"/>
  <c r="G169" i="67"/>
  <c r="G170" i="67"/>
  <c r="G171" i="67"/>
  <c r="G172" i="67"/>
  <c r="G173" i="67"/>
  <c r="G174" i="67"/>
  <c r="G175" i="67"/>
  <c r="G176" i="67"/>
  <c r="G177" i="67"/>
  <c r="G178" i="67"/>
  <c r="G179" i="67"/>
  <c r="G180" i="67"/>
  <c r="G181" i="67"/>
  <c r="G182" i="67"/>
  <c r="G183" i="67"/>
  <c r="G184" i="67"/>
  <c r="G185" i="67"/>
  <c r="G186" i="67"/>
  <c r="G187" i="67"/>
  <c r="G188" i="67"/>
  <c r="G189" i="67"/>
  <c r="G190" i="67"/>
  <c r="G191" i="67"/>
  <c r="G192" i="67"/>
  <c r="G193" i="67"/>
  <c r="G194" i="67"/>
  <c r="G195" i="67"/>
  <c r="G196" i="67"/>
  <c r="G197" i="67"/>
  <c r="G198" i="67"/>
  <c r="G199" i="67"/>
  <c r="G200" i="67"/>
  <c r="G201" i="67"/>
  <c r="G202" i="67"/>
  <c r="G203" i="67"/>
  <c r="G204" i="67"/>
  <c r="G205" i="67"/>
  <c r="G206" i="67"/>
  <c r="G207" i="67"/>
  <c r="G208" i="67"/>
  <c r="G209" i="67"/>
  <c r="G210" i="67"/>
  <c r="G211" i="67"/>
  <c r="G212" i="67"/>
  <c r="G213" i="67"/>
  <c r="G214" i="67"/>
  <c r="G215" i="67"/>
  <c r="G216" i="67"/>
  <c r="G217" i="67"/>
  <c r="G218" i="67"/>
  <c r="G219" i="67"/>
  <c r="G220" i="67"/>
  <c r="G221" i="67"/>
  <c r="G222" i="67"/>
  <c r="G223" i="67"/>
  <c r="G224" i="67"/>
  <c r="G225" i="67"/>
  <c r="G226" i="67"/>
  <c r="G227" i="67"/>
  <c r="G228" i="67"/>
  <c r="G229" i="67"/>
  <c r="G230" i="67"/>
  <c r="G231" i="67"/>
  <c r="G232" i="67"/>
  <c r="G233" i="67"/>
  <c r="G234" i="67"/>
  <c r="G235" i="67"/>
  <c r="G236" i="67"/>
  <c r="G237" i="67"/>
  <c r="G238" i="67"/>
  <c r="G239" i="67"/>
  <c r="G240" i="67"/>
  <c r="G241" i="67"/>
  <c r="G242" i="67"/>
  <c r="G243" i="67"/>
  <c r="G244" i="67"/>
  <c r="G245" i="67"/>
  <c r="G246" i="67"/>
  <c r="G247" i="67"/>
  <c r="G248" i="67"/>
  <c r="G249" i="67"/>
  <c r="G250" i="67"/>
  <c r="G251" i="67"/>
  <c r="G252" i="67"/>
  <c r="G253" i="67"/>
  <c r="G254" i="67"/>
  <c r="G255" i="67"/>
  <c r="G256" i="67"/>
  <c r="G257" i="67"/>
  <c r="G258" i="67"/>
  <c r="G259" i="67"/>
  <c r="G260" i="67"/>
  <c r="G261" i="67"/>
  <c r="G262" i="67"/>
  <c r="G263" i="67"/>
  <c r="G264" i="67"/>
  <c r="G265" i="67"/>
  <c r="G266" i="67"/>
  <c r="G267" i="67"/>
  <c r="G268" i="67"/>
  <c r="G269" i="67"/>
  <c r="G270" i="67"/>
  <c r="G271" i="67"/>
  <c r="G272" i="67"/>
  <c r="G273" i="67"/>
  <c r="G274" i="67"/>
  <c r="G275" i="67"/>
  <c r="G276" i="67"/>
  <c r="G277" i="67"/>
  <c r="G278" i="67"/>
  <c r="G279" i="67"/>
  <c r="G280" i="67"/>
  <c r="G281" i="67"/>
  <c r="G282" i="67"/>
  <c r="G283" i="67"/>
  <c r="G284" i="67"/>
  <c r="G285" i="67"/>
  <c r="G286" i="67"/>
  <c r="G287" i="67"/>
  <c r="G288" i="67"/>
  <c r="G289" i="67"/>
  <c r="G290" i="67"/>
  <c r="G291" i="67"/>
  <c r="G292" i="67"/>
  <c r="G293" i="67"/>
  <c r="G294" i="67"/>
  <c r="G295" i="67"/>
  <c r="G296" i="67"/>
  <c r="G297" i="67"/>
  <c r="G298" i="67"/>
  <c r="G299" i="67"/>
  <c r="G300" i="67"/>
  <c r="G301" i="67"/>
  <c r="G302" i="67"/>
  <c r="G303" i="67"/>
  <c r="G304" i="67"/>
  <c r="G305" i="67"/>
  <c r="G306" i="67"/>
  <c r="G307" i="67"/>
  <c r="G308" i="67"/>
  <c r="G309" i="67"/>
  <c r="G310" i="67"/>
  <c r="G311" i="67"/>
  <c r="G312" i="67"/>
  <c r="G313" i="67"/>
  <c r="G314" i="67"/>
  <c r="G315" i="67"/>
  <c r="G316" i="67"/>
  <c r="G317" i="67"/>
  <c r="G318" i="67"/>
  <c r="G319" i="67"/>
  <c r="G320" i="67"/>
  <c r="G321" i="67"/>
  <c r="G322" i="67"/>
  <c r="G323" i="67"/>
  <c r="G324" i="67"/>
  <c r="G325" i="67"/>
  <c r="G326" i="67"/>
  <c r="G327" i="67"/>
  <c r="G328" i="67"/>
  <c r="G329" i="67"/>
  <c r="G330" i="67"/>
  <c r="G331" i="67"/>
  <c r="G332" i="67"/>
  <c r="G333" i="67"/>
  <c r="G334" i="67"/>
  <c r="G335" i="67"/>
  <c r="G336" i="67"/>
  <c r="G337" i="67"/>
  <c r="G338" i="67"/>
  <c r="G339" i="67"/>
  <c r="G340" i="67"/>
  <c r="G341" i="67"/>
  <c r="G342" i="67"/>
  <c r="G343" i="67"/>
  <c r="G344" i="67"/>
  <c r="G345" i="67"/>
  <c r="G346" i="67"/>
  <c r="G347" i="67"/>
  <c r="G348" i="67"/>
  <c r="G349" i="67"/>
  <c r="G350" i="67"/>
  <c r="G351" i="67"/>
  <c r="G352" i="67"/>
  <c r="G353" i="67"/>
  <c r="G354" i="67"/>
  <c r="G355" i="67"/>
  <c r="G356" i="67"/>
  <c r="G357" i="67"/>
  <c r="G358" i="67"/>
  <c r="G359" i="67"/>
  <c r="G360" i="67"/>
  <c r="G361" i="67"/>
  <c r="G362" i="67"/>
  <c r="G363" i="67"/>
  <c r="G364" i="67"/>
  <c r="G365" i="67"/>
  <c r="G366" i="67"/>
  <c r="G367" i="67"/>
  <c r="G368" i="67"/>
  <c r="G369" i="67"/>
  <c r="G370" i="67"/>
  <c r="G371" i="67"/>
  <c r="G372" i="67"/>
  <c r="G373" i="67"/>
  <c r="G374" i="67"/>
  <c r="G375" i="67"/>
  <c r="G376" i="67"/>
  <c r="G377" i="67"/>
  <c r="G378" i="67"/>
  <c r="G379" i="67"/>
  <c r="G380" i="67"/>
  <c r="G381" i="67"/>
  <c r="G382" i="67"/>
  <c r="G383" i="67"/>
  <c r="G384" i="67"/>
  <c r="G385" i="67"/>
  <c r="G386" i="67"/>
  <c r="G387" i="67"/>
  <c r="G388" i="67"/>
  <c r="G389" i="67"/>
  <c r="G390" i="67"/>
  <c r="G391" i="67"/>
  <c r="G392" i="67"/>
  <c r="G393" i="67"/>
  <c r="G394" i="67"/>
  <c r="G395" i="67"/>
  <c r="G396" i="67"/>
  <c r="G397" i="67"/>
  <c r="G398" i="67"/>
  <c r="G399" i="67"/>
  <c r="G400" i="67"/>
  <c r="G401" i="67"/>
  <c r="G402" i="67"/>
  <c r="G403" i="67"/>
  <c r="G404" i="67"/>
  <c r="G405" i="67"/>
  <c r="G406" i="67"/>
  <c r="G407" i="67"/>
  <c r="G408" i="67"/>
  <c r="G409" i="67"/>
  <c r="G410" i="67"/>
  <c r="G411" i="67"/>
  <c r="G412" i="67"/>
  <c r="G413" i="67"/>
  <c r="G414" i="67"/>
  <c r="G415" i="67"/>
  <c r="G416" i="67"/>
  <c r="G417" i="67"/>
  <c r="G418" i="67"/>
  <c r="G419" i="67"/>
  <c r="G420" i="67"/>
  <c r="G421" i="67"/>
  <c r="G422" i="67"/>
  <c r="G423" i="67"/>
  <c r="G424" i="67"/>
  <c r="G425" i="67"/>
  <c r="G426" i="67"/>
  <c r="G427" i="67"/>
  <c r="G428" i="67"/>
  <c r="G429" i="67"/>
  <c r="G430" i="67"/>
  <c r="G431" i="67"/>
  <c r="G432" i="67"/>
  <c r="G433" i="67"/>
  <c r="G434" i="67"/>
  <c r="G435" i="67"/>
  <c r="G436" i="67"/>
  <c r="G437" i="67"/>
  <c r="G438" i="67"/>
  <c r="G439" i="67"/>
  <c r="G440" i="67"/>
  <c r="G441" i="67"/>
  <c r="G442" i="67"/>
  <c r="G443" i="67"/>
  <c r="G444" i="67"/>
  <c r="G445" i="67"/>
  <c r="G446" i="67"/>
  <c r="G447" i="67"/>
  <c r="G448" i="67"/>
  <c r="G449" i="67"/>
  <c r="G450" i="67"/>
  <c r="G451" i="67"/>
  <c r="G452" i="67"/>
  <c r="G453" i="67"/>
  <c r="G454" i="67"/>
  <c r="G455" i="67"/>
  <c r="G456" i="67"/>
  <c r="G457" i="67"/>
  <c r="G458" i="67"/>
  <c r="G459" i="67"/>
  <c r="G460" i="67"/>
  <c r="G461" i="67"/>
  <c r="G462" i="67"/>
  <c r="G463" i="67"/>
  <c r="G464" i="67"/>
  <c r="G465" i="67"/>
  <c r="G466" i="67"/>
  <c r="G467" i="67"/>
  <c r="G468" i="67"/>
  <c r="G469" i="67"/>
  <c r="G470" i="67"/>
  <c r="G471" i="67"/>
  <c r="G472" i="67"/>
  <c r="G473" i="67"/>
  <c r="G474" i="67"/>
  <c r="G475" i="67"/>
  <c r="G476" i="67"/>
  <c r="G477" i="67"/>
  <c r="G478" i="67"/>
  <c r="G479" i="67"/>
  <c r="G480" i="67"/>
  <c r="G481" i="67"/>
  <c r="G482" i="67"/>
  <c r="G483" i="67"/>
  <c r="G484" i="67"/>
  <c r="G485" i="67"/>
  <c r="G486" i="67"/>
  <c r="G487" i="67"/>
  <c r="G488" i="67"/>
  <c r="G489" i="67"/>
  <c r="G490" i="67"/>
  <c r="G491" i="67"/>
  <c r="G492" i="67"/>
  <c r="G493" i="67"/>
  <c r="G494" i="67"/>
  <c r="G495" i="67"/>
  <c r="G496" i="67"/>
  <c r="G497" i="67"/>
  <c r="G498" i="67"/>
  <c r="G499" i="67"/>
  <c r="G500" i="67"/>
  <c r="G501" i="67"/>
  <c r="G502" i="67"/>
  <c r="G503" i="67"/>
  <c r="G504" i="67"/>
  <c r="G505" i="67"/>
  <c r="G506" i="67"/>
  <c r="G507" i="67"/>
  <c r="G508" i="67"/>
  <c r="G509" i="67"/>
  <c r="G510" i="67"/>
  <c r="G511" i="67"/>
  <c r="G512" i="67"/>
  <c r="G513" i="67"/>
  <c r="G514" i="67"/>
  <c r="G515" i="67"/>
  <c r="G516" i="67"/>
  <c r="G517" i="67"/>
  <c r="G518" i="67"/>
  <c r="G519" i="67"/>
  <c r="G520" i="67"/>
  <c r="G521" i="67"/>
  <c r="G522" i="67"/>
  <c r="G523" i="67"/>
  <c r="G524" i="67"/>
  <c r="G525" i="67"/>
  <c r="G526" i="67"/>
  <c r="G527" i="67"/>
  <c r="G528" i="67"/>
  <c r="G529" i="67"/>
  <c r="G530" i="67"/>
  <c r="G531" i="67"/>
  <c r="G532" i="67"/>
  <c r="G533" i="67"/>
  <c r="G534" i="67"/>
  <c r="G535" i="67"/>
  <c r="G536" i="67"/>
  <c r="G537" i="67"/>
  <c r="G538" i="67"/>
  <c r="G539" i="67"/>
  <c r="G540" i="67"/>
  <c r="G541" i="67"/>
  <c r="G542" i="67"/>
  <c r="G543" i="67"/>
  <c r="G544" i="67"/>
  <c r="G545" i="67"/>
  <c r="G546" i="67"/>
  <c r="G547" i="67"/>
  <c r="G548" i="67"/>
  <c r="G549" i="67"/>
  <c r="G550" i="67"/>
  <c r="G551" i="67"/>
  <c r="G552" i="67"/>
  <c r="G553" i="67"/>
  <c r="G554" i="67"/>
  <c r="G555" i="67"/>
  <c r="G556" i="67"/>
  <c r="G557" i="67"/>
  <c r="G558" i="67"/>
  <c r="G559" i="67"/>
  <c r="G560" i="67"/>
  <c r="G561" i="67"/>
  <c r="G562" i="67"/>
  <c r="G563" i="67"/>
  <c r="G564" i="67"/>
  <c r="G565" i="67"/>
  <c r="G566" i="67"/>
  <c r="G567" i="67"/>
  <c r="G568" i="67"/>
  <c r="G569" i="67"/>
  <c r="G570" i="67"/>
  <c r="G571" i="67"/>
  <c r="G572" i="67"/>
  <c r="G573" i="67"/>
  <c r="G574" i="67"/>
  <c r="G575" i="67"/>
  <c r="G576" i="67"/>
  <c r="G577" i="67"/>
  <c r="G578" i="67"/>
  <c r="G579" i="67"/>
  <c r="G580" i="67"/>
  <c r="G581" i="67"/>
  <c r="G582" i="67"/>
  <c r="G583" i="67"/>
  <c r="G584" i="67"/>
  <c r="G585" i="67"/>
  <c r="G586" i="67"/>
  <c r="G587" i="67"/>
  <c r="G588" i="67"/>
  <c r="G589" i="67"/>
  <c r="G590" i="67"/>
  <c r="G591" i="67"/>
  <c r="G592" i="67"/>
  <c r="G593" i="67"/>
  <c r="G594" i="67"/>
  <c r="G595" i="67"/>
  <c r="G596" i="67"/>
  <c r="G597" i="67"/>
  <c r="G598" i="67"/>
  <c r="G599" i="67"/>
  <c r="G600" i="67"/>
  <c r="G601" i="67"/>
  <c r="G602" i="67"/>
  <c r="G603" i="67"/>
  <c r="G604" i="67"/>
  <c r="G605" i="67"/>
  <c r="G606" i="67"/>
  <c r="G607" i="67"/>
  <c r="G608" i="67"/>
  <c r="G609" i="67"/>
  <c r="G610" i="67"/>
  <c r="G611" i="67"/>
  <c r="G612" i="67"/>
  <c r="G613" i="67"/>
  <c r="G614" i="67"/>
  <c r="G615" i="67"/>
  <c r="G616" i="67"/>
  <c r="G617" i="67"/>
  <c r="G618" i="67"/>
  <c r="G619" i="67"/>
  <c r="G620" i="67"/>
  <c r="G621" i="67"/>
  <c r="G622" i="67"/>
  <c r="G623" i="67"/>
  <c r="G624" i="67"/>
  <c r="G625" i="67"/>
  <c r="G626" i="67"/>
  <c r="G627" i="67"/>
  <c r="G628" i="67"/>
  <c r="G629" i="67"/>
  <c r="G630" i="67"/>
  <c r="G631" i="67"/>
  <c r="G632" i="67"/>
  <c r="G633" i="67"/>
  <c r="G634" i="67"/>
  <c r="G635" i="67"/>
  <c r="G636" i="67"/>
  <c r="G637" i="67"/>
  <c r="G638" i="67"/>
  <c r="G639" i="67"/>
  <c r="G640" i="67"/>
  <c r="G641" i="67"/>
  <c r="G642" i="67"/>
  <c r="G643" i="67"/>
  <c r="G644" i="67"/>
  <c r="G645" i="67"/>
  <c r="G646" i="67"/>
  <c r="G647" i="67"/>
  <c r="G648" i="67"/>
  <c r="G649" i="67"/>
  <c r="G650" i="67"/>
  <c r="G651" i="67"/>
  <c r="G652" i="67"/>
  <c r="G653" i="67"/>
  <c r="G654" i="67"/>
  <c r="G655" i="67"/>
  <c r="G656" i="67"/>
  <c r="G657" i="67"/>
  <c r="G658" i="67"/>
  <c r="G659" i="67"/>
  <c r="G660" i="67"/>
  <c r="G661" i="67"/>
  <c r="G662" i="67"/>
  <c r="G663" i="67"/>
  <c r="G664" i="67"/>
  <c r="G665" i="67"/>
  <c r="G666" i="67"/>
  <c r="G667" i="67"/>
  <c r="G668" i="67"/>
  <c r="G669" i="67"/>
  <c r="G670" i="67"/>
  <c r="G671" i="67"/>
  <c r="G672" i="67"/>
  <c r="G673" i="67"/>
  <c r="G674" i="67"/>
  <c r="G675" i="67"/>
  <c r="G676" i="67"/>
  <c r="G677" i="67"/>
  <c r="G678" i="67"/>
  <c r="G679" i="67"/>
  <c r="G680" i="67"/>
  <c r="G681" i="67"/>
  <c r="G682" i="67"/>
  <c r="G683" i="67"/>
  <c r="G684" i="67"/>
  <c r="G685" i="67"/>
  <c r="G686" i="67"/>
  <c r="G687" i="67"/>
  <c r="G688" i="67"/>
  <c r="G689" i="67"/>
  <c r="G690" i="67"/>
  <c r="G691" i="67"/>
  <c r="G692" i="67"/>
  <c r="G693" i="67"/>
  <c r="G694" i="67"/>
  <c r="G695" i="67"/>
  <c r="G696" i="67"/>
  <c r="G697" i="67"/>
  <c r="G698" i="67"/>
  <c r="G699" i="67"/>
  <c r="G700" i="67"/>
  <c r="G701" i="67"/>
  <c r="G702" i="67"/>
  <c r="G703" i="67"/>
  <c r="G704" i="67"/>
  <c r="G705" i="67"/>
  <c r="G706" i="67"/>
  <c r="G707" i="67"/>
  <c r="G708" i="67"/>
  <c r="G709" i="67"/>
  <c r="G710" i="67"/>
  <c r="G711" i="67"/>
  <c r="G712" i="67"/>
  <c r="G713" i="67"/>
  <c r="G714" i="67"/>
  <c r="G715" i="67"/>
  <c r="G716" i="67"/>
  <c r="G717" i="67"/>
  <c r="G718" i="67"/>
  <c r="G719" i="67"/>
  <c r="G720" i="67"/>
  <c r="G721" i="67"/>
  <c r="G722" i="67"/>
  <c r="G723" i="67"/>
  <c r="G724" i="67"/>
  <c r="G725" i="67"/>
  <c r="G726" i="67"/>
  <c r="G727" i="67"/>
  <c r="G728" i="67"/>
  <c r="G729" i="67"/>
  <c r="G730" i="67"/>
  <c r="G731" i="67"/>
  <c r="G732" i="67"/>
  <c r="G733" i="67"/>
  <c r="G734" i="67"/>
  <c r="G735" i="67"/>
  <c r="G736" i="67"/>
  <c r="G737" i="67"/>
  <c r="G738" i="67"/>
  <c r="G739" i="67"/>
  <c r="G740" i="67"/>
  <c r="G741" i="67"/>
  <c r="G742" i="67"/>
  <c r="G743" i="67"/>
  <c r="G744" i="67"/>
  <c r="G745" i="67"/>
  <c r="G746" i="67"/>
  <c r="G747" i="67"/>
  <c r="G748" i="67"/>
  <c r="G749" i="67"/>
  <c r="G750" i="67"/>
  <c r="G751" i="67"/>
  <c r="G752" i="67"/>
  <c r="G753" i="67"/>
  <c r="G754" i="67"/>
  <c r="G755" i="67"/>
  <c r="G756" i="67"/>
  <c r="G757" i="67"/>
  <c r="G758" i="67"/>
  <c r="G759" i="67"/>
  <c r="G760" i="67"/>
  <c r="G761" i="67"/>
  <c r="G762" i="67"/>
  <c r="G763" i="67"/>
  <c r="G764" i="67"/>
  <c r="G765" i="67"/>
  <c r="G766" i="67"/>
  <c r="G767" i="67"/>
  <c r="G768" i="67"/>
  <c r="G769" i="67"/>
  <c r="G770" i="67"/>
  <c r="G771" i="67"/>
  <c r="G772" i="67"/>
  <c r="G773" i="67"/>
  <c r="G774" i="67"/>
  <c r="G775" i="67"/>
  <c r="G776" i="67"/>
  <c r="G777" i="67"/>
  <c r="G778" i="67"/>
  <c r="G779" i="67"/>
  <c r="G780" i="67"/>
  <c r="G781" i="67"/>
  <c r="G782" i="67"/>
  <c r="G783" i="67"/>
  <c r="G784" i="67"/>
  <c r="G785" i="67"/>
  <c r="G786" i="67"/>
  <c r="G787" i="67"/>
  <c r="G788" i="67"/>
  <c r="G789" i="67"/>
  <c r="G790" i="67"/>
  <c r="G791" i="67"/>
  <c r="G792" i="67"/>
  <c r="G793" i="67"/>
  <c r="G794" i="67"/>
  <c r="G795" i="67"/>
  <c r="G796" i="67"/>
  <c r="G797" i="67"/>
  <c r="G798" i="67"/>
  <c r="G799" i="67"/>
  <c r="G800" i="67"/>
  <c r="G801" i="67"/>
  <c r="G802" i="67"/>
  <c r="G803" i="67"/>
  <c r="G804" i="67"/>
  <c r="G805" i="67"/>
  <c r="G806" i="67"/>
  <c r="G807" i="67"/>
  <c r="G808" i="67"/>
  <c r="G809" i="67"/>
  <c r="G810" i="67"/>
  <c r="G811" i="67"/>
  <c r="G812" i="67"/>
  <c r="G813" i="67"/>
  <c r="G814" i="67"/>
  <c r="G815" i="67"/>
  <c r="G816" i="67"/>
  <c r="G817" i="67"/>
  <c r="G818" i="67"/>
  <c r="G819" i="67"/>
  <c r="G820" i="67"/>
  <c r="G821" i="67"/>
  <c r="G822" i="67"/>
  <c r="G823" i="67"/>
  <c r="G824" i="67"/>
  <c r="G825" i="67"/>
  <c r="G4" i="67"/>
  <c r="F5" i="67"/>
  <c r="F6" i="67"/>
  <c r="F7" i="67"/>
  <c r="F8" i="67"/>
  <c r="F9" i="67"/>
  <c r="F10" i="67"/>
  <c r="F11" i="67"/>
  <c r="F12" i="67"/>
  <c r="F13" i="67"/>
  <c r="F14" i="67"/>
  <c r="F15" i="67"/>
  <c r="F16" i="67"/>
  <c r="F17" i="67"/>
  <c r="F18" i="67"/>
  <c r="F19" i="67"/>
  <c r="F20" i="67"/>
  <c r="F21" i="67"/>
  <c r="F22" i="67"/>
  <c r="F23" i="67"/>
  <c r="F24" i="67"/>
  <c r="F25" i="67"/>
  <c r="F26" i="67"/>
  <c r="F27" i="67"/>
  <c r="F28" i="67"/>
  <c r="F29" i="67"/>
  <c r="F30" i="67"/>
  <c r="F31" i="67"/>
  <c r="F32" i="67"/>
  <c r="F33" i="67"/>
  <c r="F34" i="67"/>
  <c r="F35" i="67"/>
  <c r="F36" i="67"/>
  <c r="F37" i="67"/>
  <c r="F38" i="67"/>
  <c r="F39" i="67"/>
  <c r="F40" i="67"/>
  <c r="F41" i="67"/>
  <c r="F42" i="67"/>
  <c r="F43" i="67"/>
  <c r="F44" i="67"/>
  <c r="F45" i="67"/>
  <c r="F46" i="67"/>
  <c r="F47" i="67"/>
  <c r="F48" i="67"/>
  <c r="F49" i="67"/>
  <c r="F50" i="67"/>
  <c r="F51" i="67"/>
  <c r="F52" i="67"/>
  <c r="F53" i="67"/>
  <c r="F54" i="67"/>
  <c r="F55" i="67"/>
  <c r="F56" i="67"/>
  <c r="F57" i="67"/>
  <c r="F58" i="67"/>
  <c r="F59" i="67"/>
  <c r="F60" i="67"/>
  <c r="F61" i="67"/>
  <c r="F62" i="67"/>
  <c r="F63" i="67"/>
  <c r="F64" i="67"/>
  <c r="F65" i="67"/>
  <c r="F66" i="67"/>
  <c r="F67" i="67"/>
  <c r="F68" i="67"/>
  <c r="F69" i="67"/>
  <c r="F70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5" i="67"/>
  <c r="F96" i="67"/>
  <c r="F97" i="67"/>
  <c r="F98" i="67"/>
  <c r="F99" i="67"/>
  <c r="F100" i="67"/>
  <c r="F101" i="67"/>
  <c r="F102" i="67"/>
  <c r="F103" i="67"/>
  <c r="F104" i="67"/>
  <c r="F105" i="67"/>
  <c r="F106" i="67"/>
  <c r="F107" i="67"/>
  <c r="F108" i="67"/>
  <c r="F109" i="67"/>
  <c r="F110" i="67"/>
  <c r="F111" i="67"/>
  <c r="F112" i="67"/>
  <c r="F113" i="67"/>
  <c r="F114" i="67"/>
  <c r="F115" i="67"/>
  <c r="F116" i="67"/>
  <c r="F117" i="67"/>
  <c r="F118" i="67"/>
  <c r="F119" i="67"/>
  <c r="F120" i="67"/>
  <c r="F121" i="67"/>
  <c r="F122" i="67"/>
  <c r="F123" i="67"/>
  <c r="F124" i="67"/>
  <c r="F125" i="67"/>
  <c r="F126" i="67"/>
  <c r="F127" i="67"/>
  <c r="F128" i="67"/>
  <c r="F129" i="67"/>
  <c r="F130" i="67"/>
  <c r="F131" i="67"/>
  <c r="F132" i="67"/>
  <c r="F133" i="67"/>
  <c r="F134" i="67"/>
  <c r="F135" i="67"/>
  <c r="F136" i="67"/>
  <c r="F137" i="67"/>
  <c r="F138" i="67"/>
  <c r="F139" i="67"/>
  <c r="F140" i="67"/>
  <c r="F141" i="67"/>
  <c r="F142" i="67"/>
  <c r="F143" i="67"/>
  <c r="F144" i="67"/>
  <c r="F145" i="67"/>
  <c r="F146" i="67"/>
  <c r="F147" i="67"/>
  <c r="F148" i="67"/>
  <c r="F149" i="67"/>
  <c r="F150" i="67"/>
  <c r="F151" i="67"/>
  <c r="F152" i="67"/>
  <c r="F153" i="67"/>
  <c r="F154" i="67"/>
  <c r="F155" i="67"/>
  <c r="F156" i="67"/>
  <c r="F157" i="67"/>
  <c r="F158" i="67"/>
  <c r="F159" i="67"/>
  <c r="F160" i="67"/>
  <c r="F161" i="67"/>
  <c r="F162" i="67"/>
  <c r="F163" i="67"/>
  <c r="F164" i="67"/>
  <c r="F165" i="67"/>
  <c r="F166" i="67"/>
  <c r="F167" i="67"/>
  <c r="F168" i="67"/>
  <c r="F169" i="67"/>
  <c r="F170" i="67"/>
  <c r="F171" i="67"/>
  <c r="F172" i="67"/>
  <c r="F173" i="67"/>
  <c r="F174" i="67"/>
  <c r="F175" i="67"/>
  <c r="F176" i="67"/>
  <c r="F177" i="67"/>
  <c r="F178" i="67"/>
  <c r="F179" i="67"/>
  <c r="F180" i="67"/>
  <c r="F181" i="67"/>
  <c r="F182" i="67"/>
  <c r="F183" i="67"/>
  <c r="F184" i="67"/>
  <c r="F185" i="67"/>
  <c r="F186" i="67"/>
  <c r="F187" i="67"/>
  <c r="F188" i="67"/>
  <c r="F189" i="67"/>
  <c r="F190" i="67"/>
  <c r="F191" i="67"/>
  <c r="F192" i="67"/>
  <c r="F193" i="67"/>
  <c r="F194" i="67"/>
  <c r="F195" i="67"/>
  <c r="F196" i="67"/>
  <c r="F197" i="67"/>
  <c r="F198" i="67"/>
  <c r="F199" i="67"/>
  <c r="F200" i="67"/>
  <c r="F201" i="67"/>
  <c r="F202" i="67"/>
  <c r="F203" i="67"/>
  <c r="F204" i="67"/>
  <c r="F205" i="67"/>
  <c r="F206" i="67"/>
  <c r="F207" i="67"/>
  <c r="F208" i="67"/>
  <c r="F209" i="67"/>
  <c r="F210" i="67"/>
  <c r="F211" i="67"/>
  <c r="F212" i="67"/>
  <c r="F213" i="67"/>
  <c r="F214" i="67"/>
  <c r="F215" i="67"/>
  <c r="F216" i="67"/>
  <c r="F217" i="67"/>
  <c r="F218" i="67"/>
  <c r="F219" i="67"/>
  <c r="F220" i="67"/>
  <c r="F221" i="67"/>
  <c r="F222" i="67"/>
  <c r="F223" i="67"/>
  <c r="F224" i="67"/>
  <c r="F225" i="67"/>
  <c r="F226" i="67"/>
  <c r="F227" i="67"/>
  <c r="F228" i="67"/>
  <c r="F229" i="67"/>
  <c r="F230" i="67"/>
  <c r="F231" i="67"/>
  <c r="F232" i="67"/>
  <c r="F233" i="67"/>
  <c r="F234" i="67"/>
  <c r="F235" i="67"/>
  <c r="F236" i="67"/>
  <c r="F237" i="67"/>
  <c r="F238" i="67"/>
  <c r="F239" i="67"/>
  <c r="F240" i="67"/>
  <c r="F241" i="67"/>
  <c r="F242" i="67"/>
  <c r="F243" i="67"/>
  <c r="F244" i="67"/>
  <c r="F245" i="67"/>
  <c r="F246" i="67"/>
  <c r="F247" i="67"/>
  <c r="F248" i="67"/>
  <c r="F249" i="67"/>
  <c r="F250" i="67"/>
  <c r="F251" i="67"/>
  <c r="F252" i="67"/>
  <c r="F253" i="67"/>
  <c r="F254" i="67"/>
  <c r="F255" i="67"/>
  <c r="F256" i="67"/>
  <c r="F257" i="67"/>
  <c r="F258" i="67"/>
  <c r="F259" i="67"/>
  <c r="F260" i="67"/>
  <c r="F261" i="67"/>
  <c r="F262" i="67"/>
  <c r="F263" i="67"/>
  <c r="F264" i="67"/>
  <c r="F265" i="67"/>
  <c r="F266" i="67"/>
  <c r="F267" i="67"/>
  <c r="F268" i="67"/>
  <c r="F269" i="67"/>
  <c r="F270" i="67"/>
  <c r="F271" i="67"/>
  <c r="F272" i="67"/>
  <c r="F273" i="67"/>
  <c r="F274" i="67"/>
  <c r="F275" i="67"/>
  <c r="F276" i="67"/>
  <c r="F277" i="67"/>
  <c r="F278" i="67"/>
  <c r="F279" i="67"/>
  <c r="F280" i="67"/>
  <c r="F281" i="67"/>
  <c r="F282" i="67"/>
  <c r="F283" i="67"/>
  <c r="F284" i="67"/>
  <c r="F285" i="67"/>
  <c r="F286" i="67"/>
  <c r="F287" i="67"/>
  <c r="F288" i="67"/>
  <c r="F289" i="67"/>
  <c r="F290" i="67"/>
  <c r="F291" i="67"/>
  <c r="F292" i="67"/>
  <c r="F293" i="67"/>
  <c r="F294" i="67"/>
  <c r="F295" i="67"/>
  <c r="F296" i="67"/>
  <c r="F297" i="67"/>
  <c r="F298" i="67"/>
  <c r="F299" i="67"/>
  <c r="F300" i="67"/>
  <c r="F301" i="67"/>
  <c r="F302" i="67"/>
  <c r="F303" i="67"/>
  <c r="F304" i="67"/>
  <c r="F305" i="67"/>
  <c r="F306" i="67"/>
  <c r="F307" i="67"/>
  <c r="F308" i="67"/>
  <c r="F309" i="67"/>
  <c r="F310" i="67"/>
  <c r="F311" i="67"/>
  <c r="F312" i="67"/>
  <c r="F313" i="67"/>
  <c r="F314" i="67"/>
  <c r="F315" i="67"/>
  <c r="F316" i="67"/>
  <c r="F317" i="67"/>
  <c r="F318" i="67"/>
  <c r="F319" i="67"/>
  <c r="F320" i="67"/>
  <c r="F321" i="67"/>
  <c r="F322" i="67"/>
  <c r="F323" i="67"/>
  <c r="F324" i="67"/>
  <c r="F325" i="67"/>
  <c r="F326" i="67"/>
  <c r="F327" i="67"/>
  <c r="F328" i="67"/>
  <c r="F329" i="67"/>
  <c r="F330" i="67"/>
  <c r="F331" i="67"/>
  <c r="F332" i="67"/>
  <c r="F333" i="67"/>
  <c r="F334" i="67"/>
  <c r="F335" i="67"/>
  <c r="F336" i="67"/>
  <c r="F337" i="67"/>
  <c r="F338" i="67"/>
  <c r="F339" i="67"/>
  <c r="F340" i="67"/>
  <c r="F341" i="67"/>
  <c r="F342" i="67"/>
  <c r="F343" i="67"/>
  <c r="F344" i="67"/>
  <c r="F345" i="67"/>
  <c r="F346" i="67"/>
  <c r="F347" i="67"/>
  <c r="F348" i="67"/>
  <c r="F349" i="67"/>
  <c r="F350" i="67"/>
  <c r="F351" i="67"/>
  <c r="F352" i="67"/>
  <c r="F353" i="67"/>
  <c r="F354" i="67"/>
  <c r="F355" i="67"/>
  <c r="F356" i="67"/>
  <c r="F357" i="67"/>
  <c r="F358" i="67"/>
  <c r="F359" i="67"/>
  <c r="F360" i="67"/>
  <c r="F361" i="67"/>
  <c r="F362" i="67"/>
  <c r="F363" i="67"/>
  <c r="F364" i="67"/>
  <c r="F365" i="67"/>
  <c r="F366" i="67"/>
  <c r="F367" i="67"/>
  <c r="F368" i="67"/>
  <c r="F369" i="67"/>
  <c r="F370" i="67"/>
  <c r="F371" i="67"/>
  <c r="F372" i="67"/>
  <c r="F373" i="67"/>
  <c r="F374" i="67"/>
  <c r="F375" i="67"/>
  <c r="F376" i="67"/>
  <c r="F377" i="67"/>
  <c r="F378" i="67"/>
  <c r="F379" i="67"/>
  <c r="F380" i="67"/>
  <c r="F381" i="67"/>
  <c r="F382" i="67"/>
  <c r="F383" i="67"/>
  <c r="F384" i="67"/>
  <c r="F385" i="67"/>
  <c r="F386" i="67"/>
  <c r="F387" i="67"/>
  <c r="F388" i="67"/>
  <c r="F389" i="67"/>
  <c r="F390" i="67"/>
  <c r="F391" i="67"/>
  <c r="F392" i="67"/>
  <c r="F393" i="67"/>
  <c r="F394" i="67"/>
  <c r="F395" i="67"/>
  <c r="F396" i="67"/>
  <c r="F397" i="67"/>
  <c r="F398" i="67"/>
  <c r="F399" i="67"/>
  <c r="F400" i="67"/>
  <c r="F401" i="67"/>
  <c r="F402" i="67"/>
  <c r="F403" i="67"/>
  <c r="F404" i="67"/>
  <c r="F405" i="67"/>
  <c r="F406" i="67"/>
  <c r="F407" i="67"/>
  <c r="F408" i="67"/>
  <c r="F409" i="67"/>
  <c r="F410" i="67"/>
  <c r="F411" i="67"/>
  <c r="F412" i="67"/>
  <c r="F413" i="67"/>
  <c r="F414" i="67"/>
  <c r="F415" i="67"/>
  <c r="F416" i="67"/>
  <c r="F417" i="67"/>
  <c r="F418" i="67"/>
  <c r="F419" i="67"/>
  <c r="F420" i="67"/>
  <c r="F421" i="67"/>
  <c r="F422" i="67"/>
  <c r="F423" i="67"/>
  <c r="F424" i="67"/>
  <c r="F425" i="67"/>
  <c r="F426" i="67"/>
  <c r="F427" i="67"/>
  <c r="F428" i="67"/>
  <c r="F429" i="67"/>
  <c r="F430" i="67"/>
  <c r="F431" i="67"/>
  <c r="F432" i="67"/>
  <c r="F433" i="67"/>
  <c r="F434" i="67"/>
  <c r="F435" i="67"/>
  <c r="F436" i="67"/>
  <c r="F437" i="67"/>
  <c r="F438" i="67"/>
  <c r="F439" i="67"/>
  <c r="F440" i="67"/>
  <c r="F441" i="67"/>
  <c r="F442" i="67"/>
  <c r="F443" i="67"/>
  <c r="F444" i="67"/>
  <c r="F445" i="67"/>
  <c r="F446" i="67"/>
  <c r="F447" i="67"/>
  <c r="F448" i="67"/>
  <c r="F449" i="67"/>
  <c r="F450" i="67"/>
  <c r="F451" i="67"/>
  <c r="F452" i="67"/>
  <c r="F453" i="67"/>
  <c r="F454" i="67"/>
  <c r="F455" i="67"/>
  <c r="F456" i="67"/>
  <c r="F457" i="67"/>
  <c r="F458" i="67"/>
  <c r="F459" i="67"/>
  <c r="F460" i="67"/>
  <c r="F461" i="67"/>
  <c r="F462" i="67"/>
  <c r="F463" i="67"/>
  <c r="F464" i="67"/>
  <c r="F465" i="67"/>
  <c r="F466" i="67"/>
  <c r="F467" i="67"/>
  <c r="F468" i="67"/>
  <c r="F469" i="67"/>
  <c r="F470" i="67"/>
  <c r="F471" i="67"/>
  <c r="F472" i="67"/>
  <c r="F473" i="67"/>
  <c r="F474" i="67"/>
  <c r="F475" i="67"/>
  <c r="F476" i="67"/>
  <c r="F477" i="67"/>
  <c r="F478" i="67"/>
  <c r="F479" i="67"/>
  <c r="F480" i="67"/>
  <c r="F481" i="67"/>
  <c r="F482" i="67"/>
  <c r="F483" i="67"/>
  <c r="F484" i="67"/>
  <c r="F485" i="67"/>
  <c r="F486" i="67"/>
  <c r="F487" i="67"/>
  <c r="F488" i="67"/>
  <c r="F489" i="67"/>
  <c r="F490" i="67"/>
  <c r="F491" i="67"/>
  <c r="F492" i="67"/>
  <c r="F493" i="67"/>
  <c r="F494" i="67"/>
  <c r="F495" i="67"/>
  <c r="F496" i="67"/>
  <c r="F497" i="67"/>
  <c r="F498" i="67"/>
  <c r="F499" i="67"/>
  <c r="F500" i="67"/>
  <c r="F501" i="67"/>
  <c r="F502" i="67"/>
  <c r="F503" i="67"/>
  <c r="F504" i="67"/>
  <c r="F505" i="67"/>
  <c r="F506" i="67"/>
  <c r="F507" i="67"/>
  <c r="F508" i="67"/>
  <c r="F509" i="67"/>
  <c r="F510" i="67"/>
  <c r="F511" i="67"/>
  <c r="F512" i="67"/>
  <c r="F513" i="67"/>
  <c r="F514" i="67"/>
  <c r="F515" i="67"/>
  <c r="F516" i="67"/>
  <c r="F517" i="67"/>
  <c r="F518" i="67"/>
  <c r="F519" i="67"/>
  <c r="F520" i="67"/>
  <c r="F521" i="67"/>
  <c r="F522" i="67"/>
  <c r="F523" i="67"/>
  <c r="F524" i="67"/>
  <c r="F525" i="67"/>
  <c r="F526" i="67"/>
  <c r="F527" i="67"/>
  <c r="F528" i="67"/>
  <c r="F529" i="67"/>
  <c r="F530" i="67"/>
  <c r="F531" i="67"/>
  <c r="F532" i="67"/>
  <c r="F533" i="67"/>
  <c r="F534" i="67"/>
  <c r="F535" i="67"/>
  <c r="F536" i="67"/>
  <c r="F537" i="67"/>
  <c r="F538" i="67"/>
  <c r="F539" i="67"/>
  <c r="F540" i="67"/>
  <c r="F541" i="67"/>
  <c r="F542" i="67"/>
  <c r="F543" i="67"/>
  <c r="F544" i="67"/>
  <c r="F545" i="67"/>
  <c r="F546" i="67"/>
  <c r="F547" i="67"/>
  <c r="F548" i="67"/>
  <c r="F549" i="67"/>
  <c r="F550" i="67"/>
  <c r="F551" i="67"/>
  <c r="F552" i="67"/>
  <c r="F553" i="67"/>
  <c r="F554" i="67"/>
  <c r="F555" i="67"/>
  <c r="F556" i="67"/>
  <c r="F557" i="67"/>
  <c r="F558" i="67"/>
  <c r="F559" i="67"/>
  <c r="F560" i="67"/>
  <c r="F561" i="67"/>
  <c r="F562" i="67"/>
  <c r="F563" i="67"/>
  <c r="F564" i="67"/>
  <c r="F565" i="67"/>
  <c r="F566" i="67"/>
  <c r="F567" i="67"/>
  <c r="F568" i="67"/>
  <c r="F569" i="67"/>
  <c r="F570" i="67"/>
  <c r="F571" i="67"/>
  <c r="F572" i="67"/>
  <c r="F573" i="67"/>
  <c r="F574" i="67"/>
  <c r="F575" i="67"/>
  <c r="F576" i="67"/>
  <c r="F577" i="67"/>
  <c r="F578" i="67"/>
  <c r="F579" i="67"/>
  <c r="F580" i="67"/>
  <c r="F581" i="67"/>
  <c r="F582" i="67"/>
  <c r="F583" i="67"/>
  <c r="F584" i="67"/>
  <c r="F585" i="67"/>
  <c r="F586" i="67"/>
  <c r="F587" i="67"/>
  <c r="F588" i="67"/>
  <c r="F589" i="67"/>
  <c r="F590" i="67"/>
  <c r="F591" i="67"/>
  <c r="F592" i="67"/>
  <c r="F593" i="67"/>
  <c r="F594" i="67"/>
  <c r="F595" i="67"/>
  <c r="F596" i="67"/>
  <c r="F597" i="67"/>
  <c r="F598" i="67"/>
  <c r="F599" i="67"/>
  <c r="F600" i="67"/>
  <c r="F601" i="67"/>
  <c r="F602" i="67"/>
  <c r="F603" i="67"/>
  <c r="F604" i="67"/>
  <c r="F605" i="67"/>
  <c r="F606" i="67"/>
  <c r="F607" i="67"/>
  <c r="F608" i="67"/>
  <c r="F609" i="67"/>
  <c r="F610" i="67"/>
  <c r="F611" i="67"/>
  <c r="F612" i="67"/>
  <c r="F613" i="67"/>
  <c r="F614" i="67"/>
  <c r="F615" i="67"/>
  <c r="F616" i="67"/>
  <c r="F617" i="67"/>
  <c r="F618" i="67"/>
  <c r="F619" i="67"/>
  <c r="F620" i="67"/>
  <c r="F621" i="67"/>
  <c r="F622" i="67"/>
  <c r="F623" i="67"/>
  <c r="F624" i="67"/>
  <c r="F625" i="67"/>
  <c r="F626" i="67"/>
  <c r="F627" i="67"/>
  <c r="F628" i="67"/>
  <c r="F629" i="67"/>
  <c r="F630" i="67"/>
  <c r="F631" i="67"/>
  <c r="F632" i="67"/>
  <c r="F633" i="67"/>
  <c r="F634" i="67"/>
  <c r="F635" i="67"/>
  <c r="F636" i="67"/>
  <c r="F637" i="67"/>
  <c r="F638" i="67"/>
  <c r="F639" i="67"/>
  <c r="F640" i="67"/>
  <c r="F641" i="67"/>
  <c r="F642" i="67"/>
  <c r="F643" i="67"/>
  <c r="F644" i="67"/>
  <c r="F645" i="67"/>
  <c r="F646" i="67"/>
  <c r="F647" i="67"/>
  <c r="F648" i="67"/>
  <c r="F649" i="67"/>
  <c r="F650" i="67"/>
  <c r="F651" i="67"/>
  <c r="F652" i="67"/>
  <c r="F653" i="67"/>
  <c r="F654" i="67"/>
  <c r="F655" i="67"/>
  <c r="F656" i="67"/>
  <c r="F657" i="67"/>
  <c r="F658" i="67"/>
  <c r="F659" i="67"/>
  <c r="F660" i="67"/>
  <c r="F661" i="67"/>
  <c r="F662" i="67"/>
  <c r="F663" i="67"/>
  <c r="F664" i="67"/>
  <c r="F665" i="67"/>
  <c r="F666" i="67"/>
  <c r="F667" i="67"/>
  <c r="F668" i="67"/>
  <c r="F669" i="67"/>
  <c r="F670" i="67"/>
  <c r="F671" i="67"/>
  <c r="F672" i="67"/>
  <c r="F673" i="67"/>
  <c r="F674" i="67"/>
  <c r="F675" i="67"/>
  <c r="F676" i="67"/>
  <c r="F677" i="67"/>
  <c r="F678" i="67"/>
  <c r="F679" i="67"/>
  <c r="F680" i="67"/>
  <c r="F681" i="67"/>
  <c r="F682" i="67"/>
  <c r="F683" i="67"/>
  <c r="F684" i="67"/>
  <c r="F685" i="67"/>
  <c r="F686" i="67"/>
  <c r="F687" i="67"/>
  <c r="F688" i="67"/>
  <c r="F689" i="67"/>
  <c r="F690" i="67"/>
  <c r="F691" i="67"/>
  <c r="F692" i="67"/>
  <c r="F693" i="67"/>
  <c r="F694" i="67"/>
  <c r="F695" i="67"/>
  <c r="F696" i="67"/>
  <c r="F697" i="67"/>
  <c r="F698" i="67"/>
  <c r="F699" i="67"/>
  <c r="F700" i="67"/>
  <c r="F701" i="67"/>
  <c r="F702" i="67"/>
  <c r="F703" i="67"/>
  <c r="F704" i="67"/>
  <c r="F705" i="67"/>
  <c r="F706" i="67"/>
  <c r="F707" i="67"/>
  <c r="F708" i="67"/>
  <c r="F709" i="67"/>
  <c r="F710" i="67"/>
  <c r="F711" i="67"/>
  <c r="F712" i="67"/>
  <c r="F713" i="67"/>
  <c r="F714" i="67"/>
  <c r="F715" i="67"/>
  <c r="F716" i="67"/>
  <c r="F717" i="67"/>
  <c r="F718" i="67"/>
  <c r="F719" i="67"/>
  <c r="F720" i="67"/>
  <c r="F721" i="67"/>
  <c r="F722" i="67"/>
  <c r="F723" i="67"/>
  <c r="F724" i="67"/>
  <c r="F725" i="67"/>
  <c r="F726" i="67"/>
  <c r="F727" i="67"/>
  <c r="F728" i="67"/>
  <c r="F729" i="67"/>
  <c r="F730" i="67"/>
  <c r="F731" i="67"/>
  <c r="F732" i="67"/>
  <c r="F733" i="67"/>
  <c r="F734" i="67"/>
  <c r="F735" i="67"/>
  <c r="F736" i="67"/>
  <c r="F737" i="67"/>
  <c r="F738" i="67"/>
  <c r="F739" i="67"/>
  <c r="F740" i="67"/>
  <c r="F741" i="67"/>
  <c r="F742" i="67"/>
  <c r="F743" i="67"/>
  <c r="F744" i="67"/>
  <c r="F745" i="67"/>
  <c r="F746" i="67"/>
  <c r="F747" i="67"/>
  <c r="F748" i="67"/>
  <c r="F749" i="67"/>
  <c r="F750" i="67"/>
  <c r="F751" i="67"/>
  <c r="F752" i="67"/>
  <c r="F753" i="67"/>
  <c r="F754" i="67"/>
  <c r="F755" i="67"/>
  <c r="F756" i="67"/>
  <c r="F757" i="67"/>
  <c r="F758" i="67"/>
  <c r="F759" i="67"/>
  <c r="F760" i="67"/>
  <c r="F761" i="67"/>
  <c r="F762" i="67"/>
  <c r="F763" i="67"/>
  <c r="F764" i="67"/>
  <c r="F765" i="67"/>
  <c r="F766" i="67"/>
  <c r="F767" i="67"/>
  <c r="F768" i="67"/>
  <c r="F769" i="67"/>
  <c r="F770" i="67"/>
  <c r="F771" i="67"/>
  <c r="F772" i="67"/>
  <c r="F773" i="67"/>
  <c r="F774" i="67"/>
  <c r="F775" i="67"/>
  <c r="F776" i="67"/>
  <c r="F777" i="67"/>
  <c r="F778" i="67"/>
  <c r="F779" i="67"/>
  <c r="F780" i="67"/>
  <c r="F781" i="67"/>
  <c r="F782" i="67"/>
  <c r="F783" i="67"/>
  <c r="F784" i="67"/>
  <c r="F785" i="67"/>
  <c r="F786" i="67"/>
  <c r="F787" i="67"/>
  <c r="F788" i="67"/>
  <c r="F789" i="67"/>
  <c r="F790" i="67"/>
  <c r="F791" i="67"/>
  <c r="F792" i="67"/>
  <c r="F793" i="67"/>
  <c r="F794" i="67"/>
  <c r="F795" i="67"/>
  <c r="F796" i="67"/>
  <c r="F797" i="67"/>
  <c r="F798" i="67"/>
  <c r="F799" i="67"/>
  <c r="F800" i="67"/>
  <c r="F801" i="67"/>
  <c r="F802" i="67"/>
  <c r="F803" i="67"/>
  <c r="F804" i="67"/>
  <c r="F805" i="67"/>
  <c r="F806" i="67"/>
  <c r="F807" i="67"/>
  <c r="F808" i="67"/>
  <c r="F809" i="67"/>
  <c r="F810" i="67"/>
  <c r="F811" i="67"/>
  <c r="F812" i="67"/>
  <c r="F813" i="67"/>
  <c r="F814" i="67"/>
  <c r="F815" i="67"/>
  <c r="F816" i="67"/>
  <c r="F817" i="67"/>
  <c r="F818" i="67"/>
  <c r="F819" i="67"/>
  <c r="F820" i="67"/>
  <c r="F821" i="67"/>
  <c r="F822" i="67"/>
  <c r="F823" i="67"/>
  <c r="F824" i="67"/>
  <c r="F825" i="67"/>
  <c r="F4" i="67"/>
  <c r="F5" i="70"/>
  <c r="G5" i="70"/>
  <c r="F6" i="70"/>
  <c r="G6" i="70"/>
  <c r="F7" i="70"/>
  <c r="G7" i="70"/>
  <c r="F8" i="70"/>
  <c r="G8" i="70"/>
  <c r="F9" i="70"/>
  <c r="G9" i="70"/>
  <c r="F10" i="70"/>
  <c r="G10" i="70"/>
  <c r="F11" i="70"/>
  <c r="G11" i="70"/>
  <c r="F12" i="70"/>
  <c r="G12" i="70"/>
  <c r="F13" i="70"/>
  <c r="G13" i="70"/>
  <c r="F14" i="70"/>
  <c r="G14" i="70"/>
  <c r="F15" i="70"/>
  <c r="G15" i="70"/>
  <c r="F16" i="70"/>
  <c r="G16" i="70"/>
  <c r="F17" i="70"/>
  <c r="G17" i="70"/>
  <c r="F18" i="70"/>
  <c r="G18" i="70"/>
  <c r="F19" i="70"/>
  <c r="G19" i="70"/>
  <c r="F20" i="70"/>
  <c r="G20" i="70"/>
  <c r="F21" i="70"/>
  <c r="G21" i="70"/>
  <c r="F22" i="70"/>
  <c r="G22" i="70"/>
  <c r="F23" i="70"/>
  <c r="G23" i="70"/>
  <c r="F24" i="70"/>
  <c r="G24" i="70"/>
  <c r="F25" i="70"/>
  <c r="G25" i="70"/>
  <c r="F26" i="70"/>
  <c r="G26" i="70"/>
  <c r="F27" i="70"/>
  <c r="G27" i="70"/>
  <c r="F28" i="70"/>
  <c r="G28" i="70"/>
  <c r="F29" i="70"/>
  <c r="G29" i="70"/>
  <c r="F30" i="70"/>
  <c r="G30" i="70"/>
  <c r="F31" i="70"/>
  <c r="G31" i="70"/>
  <c r="F32" i="70"/>
  <c r="G32" i="70"/>
  <c r="F33" i="70"/>
  <c r="G33" i="70"/>
  <c r="F34" i="70"/>
  <c r="G34" i="70"/>
  <c r="F35" i="70"/>
  <c r="G35" i="70"/>
  <c r="F36" i="70"/>
  <c r="G36" i="70"/>
  <c r="F37" i="70"/>
  <c r="G37" i="70"/>
  <c r="F38" i="70"/>
  <c r="G38" i="70"/>
  <c r="F39" i="70"/>
  <c r="G39" i="70"/>
  <c r="F40" i="70"/>
  <c r="G40" i="70"/>
  <c r="F41" i="70"/>
  <c r="G41" i="70"/>
  <c r="F42" i="70"/>
  <c r="G42" i="70"/>
  <c r="F43" i="70"/>
  <c r="G43" i="70"/>
  <c r="F44" i="70"/>
  <c r="G44" i="70"/>
  <c r="F45" i="70"/>
  <c r="G45" i="70"/>
  <c r="F46" i="70"/>
  <c r="G46" i="70"/>
  <c r="F47" i="70"/>
  <c r="G47" i="70"/>
  <c r="F48" i="70"/>
  <c r="G48" i="70"/>
  <c r="F49" i="70"/>
  <c r="G49" i="70"/>
  <c r="F50" i="70"/>
  <c r="G50" i="70"/>
  <c r="F51" i="70"/>
  <c r="G51" i="70"/>
  <c r="F52" i="70"/>
  <c r="G52" i="70"/>
  <c r="F53" i="70"/>
  <c r="G53" i="70"/>
  <c r="F54" i="70"/>
  <c r="G54" i="70"/>
  <c r="F55" i="70"/>
  <c r="G55" i="70"/>
  <c r="F56" i="70"/>
  <c r="G56" i="70"/>
  <c r="F57" i="70"/>
  <c r="G57" i="70"/>
  <c r="F58" i="70"/>
  <c r="G58" i="70"/>
  <c r="F59" i="70"/>
  <c r="G59" i="70"/>
  <c r="F60" i="70"/>
  <c r="G60" i="70"/>
  <c r="F61" i="70"/>
  <c r="G61" i="70"/>
  <c r="F62" i="70"/>
  <c r="G62" i="70"/>
  <c r="F63" i="70"/>
  <c r="G63" i="70"/>
  <c r="F64" i="70"/>
  <c r="G64" i="70"/>
  <c r="F65" i="70"/>
  <c r="G65" i="70"/>
  <c r="F66" i="70"/>
  <c r="G66" i="70"/>
  <c r="F67" i="70"/>
  <c r="G67" i="70"/>
  <c r="F68" i="70"/>
  <c r="G68" i="70"/>
  <c r="F69" i="70"/>
  <c r="G69" i="70"/>
  <c r="F70" i="70"/>
  <c r="G70" i="70"/>
  <c r="F71" i="70"/>
  <c r="G71" i="70"/>
  <c r="F72" i="70"/>
  <c r="G72" i="70"/>
  <c r="F73" i="70"/>
  <c r="G73" i="70"/>
  <c r="F74" i="70"/>
  <c r="G74" i="70"/>
  <c r="F75" i="70"/>
  <c r="G75" i="70"/>
  <c r="F76" i="70"/>
  <c r="G76" i="70"/>
  <c r="F77" i="70"/>
  <c r="G77" i="70"/>
  <c r="F78" i="70"/>
  <c r="G78" i="70"/>
  <c r="F79" i="70"/>
  <c r="G79" i="70"/>
  <c r="F80" i="70"/>
  <c r="G80" i="70"/>
  <c r="F81" i="70"/>
  <c r="G81" i="70"/>
  <c r="F82" i="70"/>
  <c r="G82" i="70"/>
  <c r="F83" i="70"/>
  <c r="G83" i="70"/>
  <c r="F84" i="70"/>
  <c r="G84" i="70"/>
  <c r="F85" i="70"/>
  <c r="G85" i="70"/>
  <c r="F86" i="70"/>
  <c r="G86" i="70"/>
  <c r="F87" i="70"/>
  <c r="G87" i="70"/>
  <c r="F88" i="70"/>
  <c r="G88" i="70"/>
  <c r="F89" i="70"/>
  <c r="G89" i="70"/>
  <c r="F90" i="70"/>
  <c r="G90" i="70"/>
  <c r="F91" i="70"/>
  <c r="G91" i="70"/>
  <c r="F92" i="70"/>
  <c r="G92" i="70"/>
  <c r="F93" i="70"/>
  <c r="G93" i="70"/>
  <c r="F94" i="70"/>
  <c r="G94" i="70"/>
  <c r="F95" i="70"/>
  <c r="G95" i="70"/>
  <c r="F96" i="70"/>
  <c r="G96" i="70"/>
  <c r="F97" i="70"/>
  <c r="G97" i="70"/>
  <c r="F98" i="70"/>
  <c r="G98" i="70"/>
  <c r="F99" i="70"/>
  <c r="G99" i="70"/>
  <c r="F100" i="70"/>
  <c r="G100" i="70"/>
  <c r="F101" i="70"/>
  <c r="G101" i="70"/>
  <c r="F102" i="70"/>
  <c r="G102" i="70"/>
  <c r="F103" i="70"/>
  <c r="G103" i="70"/>
  <c r="F104" i="70"/>
  <c r="G104" i="70"/>
  <c r="F105" i="70"/>
  <c r="G105" i="70"/>
  <c r="F106" i="70"/>
  <c r="G106" i="70"/>
  <c r="F107" i="70"/>
  <c r="G107" i="70"/>
  <c r="F108" i="70"/>
  <c r="G108" i="70"/>
  <c r="F109" i="70"/>
  <c r="G109" i="70"/>
  <c r="F110" i="70"/>
  <c r="G110" i="70"/>
  <c r="F111" i="70"/>
  <c r="G111" i="70"/>
  <c r="F112" i="70"/>
  <c r="G112" i="70"/>
  <c r="F113" i="70"/>
  <c r="G113" i="70"/>
  <c r="F114" i="70"/>
  <c r="G114" i="70"/>
  <c r="F115" i="70"/>
  <c r="G115" i="70"/>
  <c r="F116" i="70"/>
  <c r="G116" i="70"/>
  <c r="F117" i="70"/>
  <c r="G117" i="70"/>
  <c r="F118" i="70"/>
  <c r="G118" i="70"/>
  <c r="F119" i="70"/>
  <c r="G119" i="70"/>
  <c r="F120" i="70"/>
  <c r="G120" i="70"/>
  <c r="F121" i="70"/>
  <c r="G121" i="70"/>
  <c r="F122" i="70"/>
  <c r="G122" i="70"/>
  <c r="F123" i="70"/>
  <c r="G123" i="70"/>
  <c r="F124" i="70"/>
  <c r="G124" i="70"/>
  <c r="F125" i="70"/>
  <c r="G125" i="70"/>
  <c r="F126" i="70"/>
  <c r="G126" i="70"/>
  <c r="F127" i="70"/>
  <c r="G127" i="70"/>
  <c r="F128" i="70"/>
  <c r="G128" i="70"/>
  <c r="F129" i="70"/>
  <c r="G129" i="70"/>
  <c r="F130" i="70"/>
  <c r="G130" i="70"/>
  <c r="F131" i="70"/>
  <c r="G131" i="70"/>
  <c r="F132" i="70"/>
  <c r="G132" i="70"/>
  <c r="F133" i="70"/>
  <c r="G133" i="70"/>
  <c r="F134" i="70"/>
  <c r="G134" i="70"/>
  <c r="F135" i="70"/>
  <c r="G135" i="70"/>
  <c r="F136" i="70"/>
  <c r="G136" i="70"/>
  <c r="F137" i="70"/>
  <c r="G137" i="70"/>
  <c r="F138" i="70"/>
  <c r="G138" i="70"/>
  <c r="F139" i="70"/>
  <c r="G139" i="70"/>
  <c r="F140" i="70"/>
  <c r="G140" i="70"/>
  <c r="F141" i="70"/>
  <c r="G141" i="70"/>
  <c r="F142" i="70"/>
  <c r="G142" i="70"/>
  <c r="F143" i="70"/>
  <c r="G143" i="70"/>
  <c r="F144" i="70"/>
  <c r="G144" i="70"/>
  <c r="F145" i="70"/>
  <c r="G145" i="70"/>
  <c r="F146" i="70"/>
  <c r="G146" i="70"/>
  <c r="F147" i="70"/>
  <c r="G147" i="70"/>
  <c r="F148" i="70"/>
  <c r="G148" i="70"/>
  <c r="F149" i="70"/>
  <c r="G149" i="70"/>
  <c r="F150" i="70"/>
  <c r="G150" i="70"/>
  <c r="F151" i="70"/>
  <c r="G151" i="70"/>
  <c r="F152" i="70"/>
  <c r="G152" i="70"/>
  <c r="F153" i="70"/>
  <c r="G153" i="70"/>
  <c r="F154" i="70"/>
  <c r="G154" i="70"/>
  <c r="F155" i="70"/>
  <c r="G155" i="70"/>
  <c r="F156" i="70"/>
  <c r="G156" i="70"/>
  <c r="F157" i="70"/>
  <c r="G157" i="70"/>
  <c r="F158" i="70"/>
  <c r="G158" i="70"/>
  <c r="F159" i="70"/>
  <c r="G159" i="70"/>
  <c r="F160" i="70"/>
  <c r="G160" i="70"/>
  <c r="F161" i="70"/>
  <c r="G161" i="70"/>
  <c r="F162" i="70"/>
  <c r="G162" i="70"/>
  <c r="F163" i="70"/>
  <c r="G163" i="70"/>
  <c r="F164" i="70"/>
  <c r="G164" i="70"/>
  <c r="F165" i="70"/>
  <c r="G165" i="70"/>
  <c r="F166" i="70"/>
  <c r="G166" i="70"/>
  <c r="F167" i="70"/>
  <c r="G167" i="70"/>
  <c r="F168" i="70"/>
  <c r="G168" i="70"/>
  <c r="F169" i="70"/>
  <c r="G169" i="70"/>
  <c r="F170" i="70"/>
  <c r="G170" i="70"/>
  <c r="F171" i="70"/>
  <c r="G171" i="70"/>
  <c r="F172" i="70"/>
  <c r="G172" i="70"/>
  <c r="F173" i="70"/>
  <c r="G173" i="70"/>
  <c r="F174" i="70"/>
  <c r="G174" i="70"/>
  <c r="F175" i="70"/>
  <c r="G175" i="70"/>
  <c r="F176" i="70"/>
  <c r="G176" i="70"/>
  <c r="F177" i="70"/>
  <c r="G177" i="70"/>
  <c r="F178" i="70"/>
  <c r="G178" i="70"/>
  <c r="F179" i="70"/>
  <c r="G179" i="70"/>
  <c r="F180" i="70"/>
  <c r="G180" i="70"/>
  <c r="F181" i="70"/>
  <c r="G181" i="70"/>
  <c r="F182" i="70"/>
  <c r="G182" i="70"/>
  <c r="F183" i="70"/>
  <c r="G183" i="70"/>
  <c r="F184" i="70"/>
  <c r="G184" i="70"/>
  <c r="F185" i="70"/>
  <c r="G185" i="70"/>
  <c r="F186" i="70"/>
  <c r="G186" i="70"/>
  <c r="F187" i="70"/>
  <c r="G187" i="70"/>
  <c r="F188" i="70"/>
  <c r="G188" i="70"/>
  <c r="F189" i="70"/>
  <c r="G189" i="70"/>
  <c r="F190" i="70"/>
  <c r="G190" i="70"/>
  <c r="F191" i="70"/>
  <c r="G191" i="70"/>
  <c r="F192" i="70"/>
  <c r="G192" i="70"/>
  <c r="F193" i="70"/>
  <c r="G193" i="70"/>
  <c r="F194" i="70"/>
  <c r="G194" i="70"/>
  <c r="F195" i="70"/>
  <c r="G195" i="70"/>
  <c r="F196" i="70"/>
  <c r="G196" i="70"/>
  <c r="F197" i="70"/>
  <c r="G197" i="70"/>
  <c r="F198" i="70"/>
  <c r="G198" i="70"/>
  <c r="F199" i="70"/>
  <c r="G199" i="70"/>
  <c r="F200" i="70"/>
  <c r="G200" i="70"/>
  <c r="F201" i="70"/>
  <c r="G201" i="70"/>
  <c r="F202" i="70"/>
  <c r="G202" i="70"/>
  <c r="F203" i="70"/>
  <c r="G203" i="70"/>
  <c r="F204" i="70"/>
  <c r="G204" i="70"/>
  <c r="F205" i="70"/>
  <c r="G205" i="70"/>
  <c r="F206" i="70"/>
  <c r="G206" i="70"/>
  <c r="F207" i="70"/>
  <c r="G207" i="70"/>
  <c r="F208" i="70"/>
  <c r="G208" i="70"/>
  <c r="F209" i="70"/>
  <c r="G209" i="70"/>
  <c r="F210" i="70"/>
  <c r="G210" i="70"/>
  <c r="F211" i="70"/>
  <c r="G211" i="70"/>
  <c r="F212" i="70"/>
  <c r="G212" i="70"/>
  <c r="F213" i="70"/>
  <c r="G213" i="70"/>
  <c r="F214" i="70"/>
  <c r="G214" i="70"/>
  <c r="F215" i="70"/>
  <c r="G215" i="70"/>
  <c r="F216" i="70"/>
  <c r="G216" i="70"/>
  <c r="F217" i="70"/>
  <c r="G217" i="70"/>
  <c r="F218" i="70"/>
  <c r="G218" i="70"/>
  <c r="F219" i="70"/>
  <c r="G219" i="70"/>
  <c r="F220" i="70"/>
  <c r="G220" i="70"/>
  <c r="F221" i="70"/>
  <c r="G221" i="70"/>
  <c r="F222" i="70"/>
  <c r="G222" i="70"/>
  <c r="F223" i="70"/>
  <c r="G223" i="70"/>
  <c r="F224" i="70"/>
  <c r="G224" i="70"/>
  <c r="F225" i="70"/>
  <c r="G225" i="70"/>
  <c r="F226" i="70"/>
  <c r="G226" i="70"/>
  <c r="F227" i="70"/>
  <c r="G227" i="70"/>
  <c r="F228" i="70"/>
  <c r="G228" i="70"/>
  <c r="F229" i="70"/>
  <c r="G229" i="70"/>
  <c r="F230" i="70"/>
  <c r="G230" i="70"/>
  <c r="F231" i="70"/>
  <c r="G231" i="70"/>
  <c r="F232" i="70"/>
  <c r="G232" i="70"/>
  <c r="F233" i="70"/>
  <c r="G233" i="70"/>
  <c r="F234" i="70"/>
  <c r="G234" i="70"/>
  <c r="F235" i="70"/>
  <c r="G235" i="70"/>
  <c r="F236" i="70"/>
  <c r="G236" i="70"/>
  <c r="F237" i="70"/>
  <c r="G237" i="70"/>
  <c r="F238" i="70"/>
  <c r="G238" i="70"/>
  <c r="F239" i="70"/>
  <c r="G239" i="70"/>
  <c r="F240" i="70"/>
  <c r="G240" i="70"/>
  <c r="F241" i="70"/>
  <c r="G241" i="70"/>
  <c r="F242" i="70"/>
  <c r="G242" i="70"/>
  <c r="F243" i="70"/>
  <c r="G243" i="70"/>
  <c r="F244" i="70"/>
  <c r="G244" i="70"/>
  <c r="F245" i="70"/>
  <c r="G245" i="70"/>
  <c r="F246" i="70"/>
  <c r="G246" i="70"/>
  <c r="F247" i="70"/>
  <c r="G247" i="70"/>
  <c r="F248" i="70"/>
  <c r="G248" i="70"/>
  <c r="F249" i="70"/>
  <c r="G249" i="70"/>
  <c r="F250" i="70"/>
  <c r="G250" i="70"/>
  <c r="F251" i="70"/>
  <c r="G251" i="70"/>
  <c r="F252" i="70"/>
  <c r="G252" i="70"/>
  <c r="F253" i="70"/>
  <c r="G253" i="70"/>
  <c r="F254" i="70"/>
  <c r="G254" i="70"/>
  <c r="F255" i="70"/>
  <c r="G255" i="70"/>
  <c r="F256" i="70"/>
  <c r="G256" i="70"/>
  <c r="F257" i="70"/>
  <c r="G257" i="70"/>
  <c r="F258" i="70"/>
  <c r="G258" i="70"/>
  <c r="F259" i="70"/>
  <c r="G259" i="70"/>
  <c r="F260" i="70"/>
  <c r="G260" i="70"/>
  <c r="F261" i="70"/>
  <c r="G261" i="70"/>
  <c r="F262" i="70"/>
  <c r="G262" i="70"/>
  <c r="F263" i="70"/>
  <c r="G263" i="70"/>
  <c r="F264" i="70"/>
  <c r="G264" i="70"/>
  <c r="F265" i="70"/>
  <c r="G265" i="70"/>
  <c r="F266" i="70"/>
  <c r="G266" i="70"/>
  <c r="F267" i="70"/>
  <c r="G267" i="70"/>
  <c r="F268" i="70"/>
  <c r="G268" i="70"/>
  <c r="F269" i="70"/>
  <c r="G269" i="70"/>
  <c r="F270" i="70"/>
  <c r="G270" i="70"/>
  <c r="F271" i="70"/>
  <c r="G271" i="70"/>
  <c r="F272" i="70"/>
  <c r="G272" i="70"/>
  <c r="F273" i="70"/>
  <c r="G273" i="70"/>
  <c r="F274" i="70"/>
  <c r="G274" i="70"/>
  <c r="F275" i="70"/>
  <c r="G275" i="70"/>
  <c r="F276" i="70"/>
  <c r="G276" i="70"/>
  <c r="F277" i="70"/>
  <c r="G277" i="70"/>
  <c r="F278" i="70"/>
  <c r="G278" i="70"/>
  <c r="F279" i="70"/>
  <c r="G279" i="70"/>
  <c r="F280" i="70"/>
  <c r="G280" i="70"/>
  <c r="F281" i="70"/>
  <c r="G281" i="70"/>
  <c r="F282" i="70"/>
  <c r="G282" i="70"/>
  <c r="F283" i="70"/>
  <c r="G283" i="70"/>
  <c r="F284" i="70"/>
  <c r="G284" i="70"/>
  <c r="F285" i="70"/>
  <c r="G285" i="70"/>
  <c r="F286" i="70"/>
  <c r="G286" i="70"/>
  <c r="F287" i="70"/>
  <c r="G287" i="70"/>
  <c r="F288" i="70"/>
  <c r="G288" i="70"/>
  <c r="F289" i="70"/>
  <c r="G289" i="70"/>
  <c r="F290" i="70"/>
  <c r="G290" i="70"/>
  <c r="F291" i="70"/>
  <c r="G291" i="70"/>
  <c r="F292" i="70"/>
  <c r="G292" i="70"/>
  <c r="F293" i="70"/>
  <c r="G293" i="70"/>
  <c r="F294" i="70"/>
  <c r="G294" i="70"/>
  <c r="F295" i="70"/>
  <c r="G295" i="70"/>
  <c r="F296" i="70"/>
  <c r="G296" i="70"/>
  <c r="F297" i="70"/>
  <c r="G297" i="70"/>
  <c r="F298" i="70"/>
  <c r="G298" i="70"/>
  <c r="F299" i="70"/>
  <c r="G299" i="70"/>
  <c r="F300" i="70"/>
  <c r="G300" i="70"/>
  <c r="F301" i="70"/>
  <c r="G301" i="70"/>
  <c r="F302" i="70"/>
  <c r="G302" i="70"/>
  <c r="F303" i="70"/>
  <c r="G303" i="70"/>
  <c r="F304" i="70"/>
  <c r="G304" i="70"/>
  <c r="F305" i="70"/>
  <c r="G305" i="70"/>
  <c r="F306" i="70"/>
  <c r="G306" i="70"/>
  <c r="F307" i="70"/>
  <c r="G307" i="70"/>
  <c r="F308" i="70"/>
  <c r="G308" i="70"/>
  <c r="F309" i="70"/>
  <c r="G309" i="70"/>
  <c r="F310" i="70"/>
  <c r="G310" i="70"/>
  <c r="F311" i="70"/>
  <c r="G311" i="70"/>
  <c r="F312" i="70"/>
  <c r="G312" i="70"/>
  <c r="F313" i="70"/>
  <c r="G313" i="70"/>
  <c r="F314" i="70"/>
  <c r="G314" i="70"/>
  <c r="F315" i="70"/>
  <c r="G315" i="70"/>
  <c r="F316" i="70"/>
  <c r="G316" i="70"/>
  <c r="F317" i="70"/>
  <c r="G317" i="70"/>
  <c r="F318" i="70"/>
  <c r="G318" i="70"/>
  <c r="F319" i="70"/>
  <c r="G319" i="70"/>
  <c r="F320" i="70"/>
  <c r="G320" i="70"/>
  <c r="F321" i="70"/>
  <c r="G321" i="70"/>
  <c r="F322" i="70"/>
  <c r="G322" i="70"/>
  <c r="F323" i="70"/>
  <c r="G323" i="70"/>
  <c r="F324" i="70"/>
  <c r="G324" i="70"/>
  <c r="F325" i="70"/>
  <c r="G325" i="70"/>
  <c r="F326" i="70"/>
  <c r="G326" i="70"/>
  <c r="F327" i="70"/>
  <c r="G327" i="70"/>
  <c r="F328" i="70"/>
  <c r="G328" i="70"/>
  <c r="F329" i="70"/>
  <c r="G329" i="70"/>
  <c r="F330" i="70"/>
  <c r="G330" i="70"/>
  <c r="F331" i="70"/>
  <c r="G331" i="70"/>
  <c r="F332" i="70"/>
  <c r="G332" i="70"/>
  <c r="F333" i="70"/>
  <c r="G333" i="70"/>
  <c r="F334" i="70"/>
  <c r="G334" i="70"/>
  <c r="F335" i="70"/>
  <c r="G335" i="70"/>
  <c r="F336" i="70"/>
  <c r="G336" i="70"/>
  <c r="F337" i="70"/>
  <c r="G337" i="70"/>
  <c r="F338" i="70"/>
  <c r="G338" i="70"/>
  <c r="F339" i="70"/>
  <c r="G339" i="70"/>
  <c r="F340" i="70"/>
  <c r="G340" i="70"/>
  <c r="F341" i="70"/>
  <c r="G341" i="70"/>
  <c r="F342" i="70"/>
  <c r="G342" i="70"/>
  <c r="F343" i="70"/>
  <c r="G343" i="70"/>
  <c r="F344" i="70"/>
  <c r="G344" i="70"/>
  <c r="F345" i="70"/>
  <c r="G345" i="70"/>
  <c r="F346" i="70"/>
  <c r="G346" i="70"/>
  <c r="F347" i="70"/>
  <c r="G347" i="70"/>
  <c r="F348" i="70"/>
  <c r="G348" i="70"/>
  <c r="F349" i="70"/>
  <c r="G349" i="70"/>
  <c r="F350" i="70"/>
  <c r="G350" i="70"/>
  <c r="F351" i="70"/>
  <c r="G351" i="70"/>
  <c r="F352" i="70"/>
  <c r="G352" i="70"/>
  <c r="F353" i="70"/>
  <c r="G353" i="70"/>
  <c r="F354" i="70"/>
  <c r="G354" i="70"/>
  <c r="F355" i="70"/>
  <c r="G355" i="70"/>
  <c r="F356" i="70"/>
  <c r="G356" i="70"/>
  <c r="F357" i="70"/>
  <c r="G357" i="70"/>
  <c r="F358" i="70"/>
  <c r="G358" i="70"/>
  <c r="F359" i="70"/>
  <c r="G359" i="70"/>
  <c r="F360" i="70"/>
  <c r="G360" i="70"/>
  <c r="F361" i="70"/>
  <c r="G361" i="70"/>
  <c r="F362" i="70"/>
  <c r="G362" i="70"/>
  <c r="F363" i="70"/>
  <c r="G363" i="70"/>
  <c r="F364" i="70"/>
  <c r="G364" i="70"/>
  <c r="F365" i="70"/>
  <c r="G365" i="70"/>
  <c r="F366" i="70"/>
  <c r="G366" i="70"/>
  <c r="F367" i="70"/>
  <c r="G367" i="70"/>
  <c r="F368" i="70"/>
  <c r="G368" i="70"/>
  <c r="F369" i="70"/>
  <c r="G369" i="70"/>
  <c r="F370" i="70"/>
  <c r="G370" i="70"/>
  <c r="F371" i="70"/>
  <c r="G371" i="70"/>
  <c r="F372" i="70"/>
  <c r="G372" i="70"/>
  <c r="F373" i="70"/>
  <c r="G373" i="70"/>
  <c r="F374" i="70"/>
  <c r="G374" i="70"/>
  <c r="F375" i="70"/>
  <c r="G375" i="70"/>
  <c r="F376" i="70"/>
  <c r="G376" i="70"/>
  <c r="F377" i="70"/>
  <c r="G377" i="70"/>
  <c r="F378" i="70"/>
  <c r="G378" i="70"/>
  <c r="F379" i="70"/>
  <c r="G379" i="70"/>
  <c r="F380" i="70"/>
  <c r="G380" i="70"/>
  <c r="F381" i="70"/>
  <c r="G381" i="70"/>
  <c r="F382" i="70"/>
  <c r="G382" i="70"/>
  <c r="F383" i="70"/>
  <c r="G383" i="70"/>
  <c r="F384" i="70"/>
  <c r="G384" i="70"/>
  <c r="F385" i="70"/>
  <c r="G385" i="70"/>
  <c r="F386" i="70"/>
  <c r="G386" i="70"/>
  <c r="F387" i="70"/>
  <c r="G387" i="70"/>
  <c r="F388" i="70"/>
  <c r="G388" i="70"/>
  <c r="F389" i="70"/>
  <c r="G389" i="70"/>
  <c r="F390" i="70"/>
  <c r="G390" i="70"/>
  <c r="F391" i="70"/>
  <c r="G391" i="70"/>
  <c r="F392" i="70"/>
  <c r="G392" i="70"/>
  <c r="F393" i="70"/>
  <c r="G393" i="70"/>
  <c r="F394" i="70"/>
  <c r="G394" i="70"/>
  <c r="F395" i="70"/>
  <c r="G395" i="70"/>
  <c r="F396" i="70"/>
  <c r="G396" i="70"/>
  <c r="F397" i="70"/>
  <c r="G397" i="70"/>
  <c r="F398" i="70"/>
  <c r="G398" i="70"/>
  <c r="F399" i="70"/>
  <c r="G399" i="70"/>
  <c r="F400" i="70"/>
  <c r="G400" i="70"/>
  <c r="F401" i="70"/>
  <c r="G401" i="70"/>
  <c r="F402" i="70"/>
  <c r="G402" i="70"/>
  <c r="F403" i="70"/>
  <c r="G403" i="70"/>
  <c r="F404" i="70"/>
  <c r="G404" i="70"/>
  <c r="F405" i="70"/>
  <c r="G405" i="70"/>
  <c r="F406" i="70"/>
  <c r="G406" i="70"/>
  <c r="F407" i="70"/>
  <c r="G407" i="70"/>
  <c r="F408" i="70"/>
  <c r="G408" i="70"/>
  <c r="F409" i="70"/>
  <c r="G409" i="70"/>
  <c r="F410" i="70"/>
  <c r="G410" i="70"/>
  <c r="F411" i="70"/>
  <c r="G411" i="70"/>
  <c r="F412" i="70"/>
  <c r="G412" i="70"/>
  <c r="F413" i="70"/>
  <c r="G413" i="70"/>
  <c r="F414" i="70"/>
  <c r="G414" i="70"/>
  <c r="F415" i="70"/>
  <c r="G415" i="70"/>
  <c r="F416" i="70"/>
  <c r="G416" i="70"/>
  <c r="F417" i="70"/>
  <c r="G417" i="70"/>
  <c r="F418" i="70"/>
  <c r="G418" i="70"/>
  <c r="F419" i="70"/>
  <c r="G419" i="70"/>
  <c r="F420" i="70"/>
  <c r="G420" i="70"/>
  <c r="F421" i="70"/>
  <c r="G421" i="70"/>
  <c r="F422" i="70"/>
  <c r="G422" i="70"/>
  <c r="F423" i="70"/>
  <c r="G423" i="70"/>
  <c r="F424" i="70"/>
  <c r="G424" i="70"/>
  <c r="F425" i="70"/>
  <c r="G425" i="70"/>
  <c r="F426" i="70"/>
  <c r="G426" i="70"/>
  <c r="F427" i="70"/>
  <c r="G427" i="70"/>
  <c r="F428" i="70"/>
  <c r="G428" i="70"/>
  <c r="F429" i="70"/>
  <c r="G429" i="70"/>
  <c r="F430" i="70"/>
  <c r="G430" i="70"/>
  <c r="F431" i="70"/>
  <c r="G431" i="70"/>
  <c r="F432" i="70"/>
  <c r="G432" i="70"/>
  <c r="F433" i="70"/>
  <c r="G433" i="70"/>
  <c r="F434" i="70"/>
  <c r="G434" i="70"/>
  <c r="F435" i="70"/>
  <c r="G435" i="70"/>
  <c r="F436" i="70"/>
  <c r="G436" i="70"/>
  <c r="F437" i="70"/>
  <c r="G437" i="70"/>
  <c r="F438" i="70"/>
  <c r="G438" i="70"/>
  <c r="F439" i="70"/>
  <c r="G439" i="70"/>
  <c r="F440" i="70"/>
  <c r="G440" i="70"/>
  <c r="F441" i="70"/>
  <c r="G441" i="70"/>
  <c r="F442" i="70"/>
  <c r="G442" i="70"/>
  <c r="F443" i="70"/>
  <c r="G443" i="70"/>
  <c r="F444" i="70"/>
  <c r="G444" i="70"/>
  <c r="F445" i="70"/>
  <c r="G445" i="70"/>
  <c r="F446" i="70"/>
  <c r="G446" i="70"/>
  <c r="F447" i="70"/>
  <c r="G447" i="70"/>
  <c r="F448" i="70"/>
  <c r="G448" i="70"/>
  <c r="F449" i="70"/>
  <c r="G449" i="70"/>
  <c r="F450" i="70"/>
  <c r="G450" i="70"/>
  <c r="F451" i="70"/>
  <c r="G451" i="70"/>
  <c r="F452" i="70"/>
  <c r="G452" i="70"/>
  <c r="F453" i="70"/>
  <c r="G453" i="70"/>
  <c r="F454" i="70"/>
  <c r="G454" i="70"/>
  <c r="F455" i="70"/>
  <c r="G455" i="70"/>
  <c r="F456" i="70"/>
  <c r="G456" i="70"/>
  <c r="F457" i="70"/>
  <c r="G457" i="70"/>
  <c r="F458" i="70"/>
  <c r="G458" i="70"/>
  <c r="F459" i="70"/>
  <c r="G459" i="70"/>
  <c r="F460" i="70"/>
  <c r="G460" i="70"/>
  <c r="F461" i="70"/>
  <c r="G461" i="70"/>
  <c r="F462" i="70"/>
  <c r="G462" i="70"/>
  <c r="F463" i="70"/>
  <c r="G463" i="70"/>
  <c r="F464" i="70"/>
  <c r="G464" i="70"/>
  <c r="F465" i="70"/>
  <c r="G465" i="70"/>
  <c r="F466" i="70"/>
  <c r="G466" i="70"/>
  <c r="F467" i="70"/>
  <c r="G467" i="70"/>
  <c r="F468" i="70"/>
  <c r="G468" i="70"/>
  <c r="F469" i="70"/>
  <c r="G469" i="70"/>
  <c r="F470" i="70"/>
  <c r="G470" i="70"/>
  <c r="F471" i="70"/>
  <c r="G471" i="70"/>
  <c r="F472" i="70"/>
  <c r="G472" i="70"/>
  <c r="F473" i="70"/>
  <c r="G473" i="70"/>
  <c r="F474" i="70"/>
  <c r="G474" i="70"/>
  <c r="F475" i="70"/>
  <c r="G475" i="70"/>
  <c r="F476" i="70"/>
  <c r="G476" i="70"/>
  <c r="F477" i="70"/>
  <c r="G477" i="70"/>
  <c r="F478" i="70"/>
  <c r="G478" i="70"/>
  <c r="F479" i="70"/>
  <c r="G479" i="70"/>
  <c r="F480" i="70"/>
  <c r="G480" i="70"/>
  <c r="F481" i="70"/>
  <c r="G481" i="70"/>
  <c r="F482" i="70"/>
  <c r="G482" i="70"/>
  <c r="F483" i="70"/>
  <c r="G483" i="70"/>
  <c r="F484" i="70"/>
  <c r="G484" i="70"/>
  <c r="F485" i="70"/>
  <c r="G485" i="70"/>
  <c r="F486" i="70"/>
  <c r="G486" i="70"/>
  <c r="F487" i="70"/>
  <c r="G487" i="70"/>
  <c r="F488" i="70"/>
  <c r="G488" i="70"/>
  <c r="F489" i="70"/>
  <c r="G489" i="70"/>
  <c r="F490" i="70"/>
  <c r="G490" i="70"/>
  <c r="F491" i="70"/>
  <c r="G491" i="70"/>
  <c r="F492" i="70"/>
  <c r="G492" i="70"/>
  <c r="F493" i="70"/>
  <c r="G493" i="70"/>
  <c r="F494" i="70"/>
  <c r="G494" i="70"/>
  <c r="F495" i="70"/>
  <c r="G495" i="70"/>
  <c r="F496" i="70"/>
  <c r="G496" i="70"/>
  <c r="F497" i="70"/>
  <c r="G497" i="70"/>
  <c r="F498" i="70"/>
  <c r="G498" i="70"/>
  <c r="F499" i="70"/>
  <c r="G499" i="70"/>
  <c r="G4" i="70"/>
  <c r="F4" i="70"/>
  <c r="F5" i="69"/>
  <c r="G5" i="69"/>
  <c r="F6" i="69"/>
  <c r="G6" i="69"/>
  <c r="F7" i="69"/>
  <c r="G7" i="69"/>
  <c r="F8" i="69"/>
  <c r="G8" i="69"/>
  <c r="F9" i="69"/>
  <c r="G9" i="69"/>
  <c r="F10" i="69"/>
  <c r="G10" i="69"/>
  <c r="F11" i="69"/>
  <c r="G11" i="69"/>
  <c r="F12" i="69"/>
  <c r="G12" i="69"/>
  <c r="F13" i="69"/>
  <c r="G13" i="69"/>
  <c r="F14" i="69"/>
  <c r="G14" i="69"/>
  <c r="F15" i="69"/>
  <c r="G15" i="69"/>
  <c r="F16" i="69"/>
  <c r="G16" i="69"/>
  <c r="F17" i="69"/>
  <c r="G17" i="69"/>
  <c r="F18" i="69"/>
  <c r="G18" i="69"/>
  <c r="F19" i="69"/>
  <c r="G19" i="69"/>
  <c r="F20" i="69"/>
  <c r="G20" i="69"/>
  <c r="F21" i="69"/>
  <c r="G21" i="69"/>
  <c r="F22" i="69"/>
  <c r="G22" i="69"/>
  <c r="F23" i="69"/>
  <c r="G23" i="69"/>
  <c r="F24" i="69"/>
  <c r="G24" i="69"/>
  <c r="F25" i="69"/>
  <c r="G25" i="69"/>
  <c r="F26" i="69"/>
  <c r="G26" i="69"/>
  <c r="F27" i="69"/>
  <c r="G27" i="69"/>
  <c r="F28" i="69"/>
  <c r="G28" i="69"/>
  <c r="F29" i="69"/>
  <c r="G29" i="69"/>
  <c r="F30" i="69"/>
  <c r="G30" i="69"/>
  <c r="F31" i="69"/>
  <c r="G31" i="69"/>
  <c r="F32" i="69"/>
  <c r="G32" i="69"/>
  <c r="F33" i="69"/>
  <c r="G33" i="69"/>
  <c r="F34" i="69"/>
  <c r="G34" i="69"/>
  <c r="F35" i="69"/>
  <c r="G35" i="69"/>
  <c r="F36" i="69"/>
  <c r="G36" i="69"/>
  <c r="F37" i="69"/>
  <c r="G37" i="69"/>
  <c r="F38" i="69"/>
  <c r="G38" i="69"/>
  <c r="F39" i="69"/>
  <c r="G39" i="69"/>
  <c r="F40" i="69"/>
  <c r="G40" i="69"/>
  <c r="F41" i="69"/>
  <c r="G41" i="69"/>
  <c r="F42" i="69"/>
  <c r="G42" i="69"/>
  <c r="F43" i="69"/>
  <c r="G43" i="69"/>
  <c r="F44" i="69"/>
  <c r="G44" i="69"/>
  <c r="F45" i="69"/>
  <c r="G45" i="69"/>
  <c r="F46" i="69"/>
  <c r="G46" i="69"/>
  <c r="F47" i="69"/>
  <c r="G47" i="69"/>
  <c r="F48" i="69"/>
  <c r="G48" i="69"/>
  <c r="F49" i="69"/>
  <c r="G49" i="69"/>
  <c r="F50" i="69"/>
  <c r="G50" i="69"/>
  <c r="F51" i="69"/>
  <c r="G51" i="69"/>
  <c r="F52" i="69"/>
  <c r="G52" i="69"/>
  <c r="F53" i="69"/>
  <c r="G53" i="69"/>
  <c r="F54" i="69"/>
  <c r="G54" i="69"/>
  <c r="F55" i="69"/>
  <c r="G55" i="69"/>
  <c r="F56" i="69"/>
  <c r="G56" i="69"/>
  <c r="F57" i="69"/>
  <c r="G57" i="69"/>
  <c r="F58" i="69"/>
  <c r="G58" i="69"/>
  <c r="F59" i="69"/>
  <c r="G59" i="69"/>
  <c r="F60" i="69"/>
  <c r="G60" i="69"/>
  <c r="F61" i="69"/>
  <c r="G61" i="69"/>
  <c r="F62" i="69"/>
  <c r="G62" i="69"/>
  <c r="F63" i="69"/>
  <c r="G63" i="69"/>
  <c r="F64" i="69"/>
  <c r="G64" i="69"/>
  <c r="F65" i="69"/>
  <c r="G65" i="69"/>
  <c r="F66" i="69"/>
  <c r="G66" i="69"/>
  <c r="F67" i="69"/>
  <c r="G67" i="69"/>
  <c r="F68" i="69"/>
  <c r="G68" i="69"/>
  <c r="F69" i="69"/>
  <c r="G69" i="69"/>
  <c r="F70" i="69"/>
  <c r="G70" i="69"/>
  <c r="F71" i="69"/>
  <c r="G71" i="69"/>
  <c r="F72" i="69"/>
  <c r="G72" i="69"/>
  <c r="F73" i="69"/>
  <c r="G73" i="69"/>
  <c r="F74" i="69"/>
  <c r="G74" i="69"/>
  <c r="F75" i="69"/>
  <c r="G75" i="69"/>
  <c r="F76" i="69"/>
  <c r="G76" i="69"/>
  <c r="F77" i="69"/>
  <c r="G77" i="69"/>
  <c r="F78" i="69"/>
  <c r="G78" i="69"/>
  <c r="F79" i="69"/>
  <c r="G79" i="69"/>
  <c r="F80" i="69"/>
  <c r="G80" i="69"/>
  <c r="F81" i="69"/>
  <c r="G81" i="69"/>
  <c r="F82" i="69"/>
  <c r="G82" i="69"/>
  <c r="F83" i="69"/>
  <c r="G83" i="69"/>
  <c r="F84" i="69"/>
  <c r="G84" i="69"/>
  <c r="F85" i="69"/>
  <c r="G85" i="69"/>
  <c r="F86" i="69"/>
  <c r="G86" i="69"/>
  <c r="F87" i="69"/>
  <c r="G87" i="69"/>
  <c r="F88" i="69"/>
  <c r="G88" i="69"/>
  <c r="F89" i="69"/>
  <c r="G89" i="69"/>
  <c r="F90" i="69"/>
  <c r="G90" i="69"/>
  <c r="F91" i="69"/>
  <c r="G91" i="69"/>
  <c r="F92" i="69"/>
  <c r="G92" i="69"/>
  <c r="F93" i="69"/>
  <c r="G93" i="69"/>
  <c r="F94" i="69"/>
  <c r="G94" i="69"/>
  <c r="F95" i="69"/>
  <c r="G95" i="69"/>
  <c r="F96" i="69"/>
  <c r="G96" i="69"/>
  <c r="F97" i="69"/>
  <c r="G97" i="69"/>
  <c r="F98" i="69"/>
  <c r="G98" i="69"/>
  <c r="F99" i="69"/>
  <c r="G99" i="69"/>
  <c r="F100" i="69"/>
  <c r="G100" i="69"/>
  <c r="F101" i="69"/>
  <c r="G101" i="69"/>
  <c r="F102" i="69"/>
  <c r="G102" i="69"/>
  <c r="F103" i="69"/>
  <c r="G103" i="69"/>
  <c r="F104" i="69"/>
  <c r="G104" i="69"/>
  <c r="F105" i="69"/>
  <c r="G105" i="69"/>
  <c r="F106" i="69"/>
  <c r="G106" i="69"/>
  <c r="F107" i="69"/>
  <c r="G107" i="69"/>
  <c r="F108" i="69"/>
  <c r="G108" i="69"/>
  <c r="F109" i="69"/>
  <c r="G109" i="69"/>
  <c r="F110" i="69"/>
  <c r="G110" i="69"/>
  <c r="F111" i="69"/>
  <c r="G111" i="69"/>
  <c r="F112" i="69"/>
  <c r="G112" i="69"/>
  <c r="F113" i="69"/>
  <c r="G113" i="69"/>
  <c r="F114" i="69"/>
  <c r="G114" i="69"/>
  <c r="F115" i="69"/>
  <c r="G115" i="69"/>
  <c r="F116" i="69"/>
  <c r="G116" i="69"/>
  <c r="F117" i="69"/>
  <c r="G117" i="69"/>
  <c r="F118" i="69"/>
  <c r="G118" i="69"/>
  <c r="F119" i="69"/>
  <c r="G119" i="69"/>
  <c r="F120" i="69"/>
  <c r="G120" i="69"/>
  <c r="F121" i="69"/>
  <c r="G121" i="69"/>
  <c r="F122" i="69"/>
  <c r="G122" i="69"/>
  <c r="F123" i="69"/>
  <c r="G123" i="69"/>
  <c r="F124" i="69"/>
  <c r="G124" i="69"/>
  <c r="F125" i="69"/>
  <c r="G125" i="69"/>
  <c r="F126" i="69"/>
  <c r="G126" i="69"/>
  <c r="F127" i="69"/>
  <c r="G127" i="69"/>
  <c r="F128" i="69"/>
  <c r="G128" i="69"/>
  <c r="F129" i="69"/>
  <c r="G129" i="69"/>
  <c r="F130" i="69"/>
  <c r="G130" i="69"/>
  <c r="F131" i="69"/>
  <c r="G131" i="69"/>
  <c r="F132" i="69"/>
  <c r="G132" i="69"/>
  <c r="F133" i="69"/>
  <c r="G133" i="69"/>
  <c r="F134" i="69"/>
  <c r="G134" i="69"/>
  <c r="F135" i="69"/>
  <c r="G135" i="69"/>
  <c r="F136" i="69"/>
  <c r="G136" i="69"/>
  <c r="F137" i="69"/>
  <c r="G137" i="69"/>
  <c r="F138" i="69"/>
  <c r="G138" i="69"/>
  <c r="F139" i="69"/>
  <c r="G139" i="69"/>
  <c r="F140" i="69"/>
  <c r="G140" i="69"/>
  <c r="F141" i="69"/>
  <c r="G141" i="69"/>
  <c r="F142" i="69"/>
  <c r="G142" i="69"/>
  <c r="F143" i="69"/>
  <c r="G143" i="69"/>
  <c r="G4" i="69"/>
  <c r="F4" i="69"/>
  <c r="F5" i="66"/>
  <c r="G5" i="66"/>
  <c r="F6" i="66"/>
  <c r="G6" i="66"/>
  <c r="F7" i="66"/>
  <c r="G7" i="66"/>
  <c r="F8" i="66"/>
  <c r="G8" i="66"/>
  <c r="F9" i="66"/>
  <c r="G9" i="66"/>
  <c r="F10" i="66"/>
  <c r="G10" i="66"/>
  <c r="F11" i="66"/>
  <c r="G11" i="66"/>
  <c r="F12" i="66"/>
  <c r="G12" i="66"/>
  <c r="F13" i="66"/>
  <c r="G13" i="66"/>
  <c r="F14" i="66"/>
  <c r="G14" i="66"/>
  <c r="F15" i="66"/>
  <c r="G15" i="66"/>
  <c r="F16" i="66"/>
  <c r="G16" i="66"/>
  <c r="F17" i="66"/>
  <c r="G17" i="66"/>
  <c r="F18" i="66"/>
  <c r="G18" i="66"/>
  <c r="F19" i="66"/>
  <c r="G19" i="66"/>
  <c r="F20" i="66"/>
  <c r="G20" i="66"/>
  <c r="F21" i="66"/>
  <c r="G21" i="66"/>
  <c r="F22" i="66"/>
  <c r="G22" i="66"/>
  <c r="F23" i="66"/>
  <c r="G23" i="66"/>
  <c r="F24" i="66"/>
  <c r="G24" i="66"/>
  <c r="F25" i="66"/>
  <c r="G25" i="66"/>
  <c r="F26" i="66"/>
  <c r="G26" i="66"/>
  <c r="F27" i="66"/>
  <c r="G27" i="66"/>
  <c r="F28" i="66"/>
  <c r="G28" i="66"/>
  <c r="F29" i="66"/>
  <c r="G29" i="66"/>
  <c r="F30" i="66"/>
  <c r="G30" i="66"/>
  <c r="F31" i="66"/>
  <c r="G31" i="66"/>
  <c r="F32" i="66"/>
  <c r="G32" i="66"/>
  <c r="F33" i="66"/>
  <c r="G33" i="66"/>
  <c r="F34" i="66"/>
  <c r="G34" i="66"/>
  <c r="F35" i="66"/>
  <c r="G35" i="66"/>
  <c r="F36" i="66"/>
  <c r="G36" i="66"/>
  <c r="F37" i="66"/>
  <c r="G37" i="66"/>
  <c r="F38" i="66"/>
  <c r="G38" i="66"/>
  <c r="F39" i="66"/>
  <c r="G39" i="66"/>
  <c r="F40" i="66"/>
  <c r="G40" i="66"/>
  <c r="F41" i="66"/>
  <c r="G41" i="66"/>
  <c r="F42" i="66"/>
  <c r="G42" i="66"/>
  <c r="F43" i="66"/>
  <c r="G43" i="66"/>
  <c r="F44" i="66"/>
  <c r="G44" i="66"/>
  <c r="F45" i="66"/>
  <c r="G45" i="66"/>
  <c r="F46" i="66"/>
  <c r="G46" i="66"/>
  <c r="F47" i="66"/>
  <c r="G47" i="66"/>
  <c r="F48" i="66"/>
  <c r="G48" i="66"/>
  <c r="F49" i="66"/>
  <c r="G49" i="66"/>
  <c r="F50" i="66"/>
  <c r="G50" i="66"/>
  <c r="F51" i="66"/>
  <c r="G51" i="66"/>
  <c r="F52" i="66"/>
  <c r="G52" i="66"/>
  <c r="F53" i="66"/>
  <c r="G53" i="66"/>
  <c r="F54" i="66"/>
  <c r="G54" i="66"/>
  <c r="F55" i="66"/>
  <c r="G55" i="66"/>
  <c r="F56" i="66"/>
  <c r="G56" i="66"/>
  <c r="F57" i="66"/>
  <c r="G57" i="66"/>
  <c r="F58" i="66"/>
  <c r="G58" i="66"/>
  <c r="F59" i="66"/>
  <c r="G59" i="66"/>
  <c r="F60" i="66"/>
  <c r="G60" i="66"/>
  <c r="F61" i="66"/>
  <c r="G61" i="66"/>
  <c r="F62" i="66"/>
  <c r="G62" i="66"/>
  <c r="F63" i="66"/>
  <c r="G63" i="66"/>
  <c r="F64" i="66"/>
  <c r="G64" i="66"/>
  <c r="F65" i="66"/>
  <c r="G65" i="66"/>
  <c r="F66" i="66"/>
  <c r="G66" i="66"/>
  <c r="F67" i="66"/>
  <c r="G67" i="66"/>
  <c r="F68" i="66"/>
  <c r="G68" i="66"/>
  <c r="F69" i="66"/>
  <c r="G69" i="66"/>
  <c r="F70" i="66"/>
  <c r="G70" i="66"/>
  <c r="F71" i="66"/>
  <c r="G71" i="66"/>
  <c r="F72" i="66"/>
  <c r="G72" i="66"/>
  <c r="F73" i="66"/>
  <c r="G73" i="66"/>
  <c r="F74" i="66"/>
  <c r="G74" i="66"/>
  <c r="F75" i="66"/>
  <c r="G75" i="66"/>
  <c r="F76" i="66"/>
  <c r="G76" i="66"/>
  <c r="F77" i="66"/>
  <c r="G77" i="66"/>
  <c r="F78" i="66"/>
  <c r="G78" i="66"/>
  <c r="F79" i="66"/>
  <c r="G79" i="66"/>
  <c r="F80" i="66"/>
  <c r="G80" i="66"/>
  <c r="F81" i="66"/>
  <c r="G81" i="66"/>
  <c r="F82" i="66"/>
  <c r="G82" i="66"/>
  <c r="F83" i="66"/>
  <c r="G83" i="66"/>
  <c r="F84" i="66"/>
  <c r="G84" i="66"/>
  <c r="F85" i="66"/>
  <c r="G85" i="66"/>
  <c r="F86" i="66"/>
  <c r="G86" i="66"/>
  <c r="F87" i="66"/>
  <c r="G87" i="66"/>
  <c r="F88" i="66"/>
  <c r="G88" i="66"/>
  <c r="F89" i="66"/>
  <c r="G89" i="66"/>
  <c r="F90" i="66"/>
  <c r="G90" i="66"/>
  <c r="F91" i="66"/>
  <c r="G91" i="66"/>
  <c r="F92" i="66"/>
  <c r="G92" i="66"/>
  <c r="F93" i="66"/>
  <c r="G93" i="66"/>
  <c r="F94" i="66"/>
  <c r="G94" i="66"/>
  <c r="F95" i="66"/>
  <c r="G95" i="66"/>
  <c r="F96" i="66"/>
  <c r="G96" i="66"/>
  <c r="F97" i="66"/>
  <c r="G97" i="66"/>
  <c r="F98" i="66"/>
  <c r="G98" i="66"/>
  <c r="F99" i="66"/>
  <c r="G99" i="66"/>
  <c r="F100" i="66"/>
  <c r="G100" i="66"/>
  <c r="F101" i="66"/>
  <c r="G101" i="66"/>
  <c r="F102" i="66"/>
  <c r="G102" i="66"/>
  <c r="F103" i="66"/>
  <c r="G103" i="66"/>
  <c r="F104" i="66"/>
  <c r="G104" i="66"/>
  <c r="F105" i="66"/>
  <c r="G105" i="66"/>
  <c r="F106" i="66"/>
  <c r="G106" i="66"/>
  <c r="F107" i="66"/>
  <c r="G107" i="66"/>
  <c r="F108" i="66"/>
  <c r="G108" i="66"/>
  <c r="F109" i="66"/>
  <c r="G109" i="66"/>
  <c r="F110" i="66"/>
  <c r="G110" i="66"/>
  <c r="F111" i="66"/>
  <c r="G111" i="66"/>
  <c r="F112" i="66"/>
  <c r="G112" i="66"/>
  <c r="F113" i="66"/>
  <c r="G113" i="66"/>
  <c r="F114" i="66"/>
  <c r="G114" i="66"/>
  <c r="F115" i="66"/>
  <c r="G115" i="66"/>
  <c r="F116" i="66"/>
  <c r="G116" i="66"/>
  <c r="F117" i="66"/>
  <c r="G117" i="66"/>
  <c r="F118" i="66"/>
  <c r="G118" i="66"/>
  <c r="F119" i="66"/>
  <c r="G119" i="66"/>
  <c r="F120" i="66"/>
  <c r="G120" i="66"/>
  <c r="F121" i="66"/>
  <c r="G121" i="66"/>
  <c r="F122" i="66"/>
  <c r="G122" i="66"/>
  <c r="F123" i="66"/>
  <c r="G123" i="66"/>
  <c r="F124" i="66"/>
  <c r="G124" i="66"/>
  <c r="F125" i="66"/>
  <c r="G125" i="66"/>
  <c r="F126" i="66"/>
  <c r="G126" i="66"/>
  <c r="F127" i="66"/>
  <c r="G127" i="66"/>
  <c r="F128" i="66"/>
  <c r="G128" i="66"/>
  <c r="F129" i="66"/>
  <c r="G129" i="66"/>
  <c r="F130" i="66"/>
  <c r="G130" i="66"/>
  <c r="F131" i="66"/>
  <c r="G131" i="66"/>
  <c r="F132" i="66"/>
  <c r="G132" i="66"/>
  <c r="F133" i="66"/>
  <c r="G133" i="66"/>
  <c r="F134" i="66"/>
  <c r="G134" i="66"/>
  <c r="F135" i="66"/>
  <c r="G135" i="66"/>
  <c r="F136" i="66"/>
  <c r="G136" i="66"/>
  <c r="F137" i="66"/>
  <c r="G137" i="66"/>
  <c r="F138" i="66"/>
  <c r="G138" i="66"/>
  <c r="F139" i="66"/>
  <c r="G139" i="66"/>
  <c r="F140" i="66"/>
  <c r="G140" i="66"/>
  <c r="F141" i="66"/>
  <c r="G141" i="66"/>
  <c r="F142" i="66"/>
  <c r="G142" i="66"/>
  <c r="F143" i="66"/>
  <c r="G143" i="66"/>
  <c r="F144" i="66"/>
  <c r="G144" i="66"/>
  <c r="F145" i="66"/>
  <c r="G145" i="66"/>
  <c r="F146" i="66"/>
  <c r="G146" i="66"/>
  <c r="F147" i="66"/>
  <c r="G147" i="66"/>
  <c r="F148" i="66"/>
  <c r="G148" i="66"/>
  <c r="F149" i="66"/>
  <c r="G149" i="66"/>
  <c r="F150" i="66"/>
  <c r="G150" i="66"/>
  <c r="F151" i="66"/>
  <c r="G151" i="66"/>
  <c r="F152" i="66"/>
  <c r="G152" i="66"/>
  <c r="F153" i="66"/>
  <c r="G153" i="66"/>
  <c r="F154" i="66"/>
  <c r="G154" i="66"/>
  <c r="F155" i="66"/>
  <c r="G155" i="66"/>
  <c r="F156" i="66"/>
  <c r="G156" i="66"/>
  <c r="F157" i="66"/>
  <c r="G157" i="66"/>
  <c r="F158" i="66"/>
  <c r="G158" i="66"/>
  <c r="F159" i="66"/>
  <c r="G159" i="66"/>
  <c r="F160" i="66"/>
  <c r="G160" i="66"/>
  <c r="F161" i="66"/>
  <c r="G161" i="66"/>
  <c r="F162" i="66"/>
  <c r="G162" i="66"/>
  <c r="F163" i="66"/>
  <c r="G163" i="66"/>
  <c r="F164" i="66"/>
  <c r="G164" i="66"/>
  <c r="F165" i="66"/>
  <c r="G165" i="66"/>
  <c r="F166" i="66"/>
  <c r="G166" i="66"/>
  <c r="F167" i="66"/>
  <c r="G167" i="66"/>
  <c r="F168" i="66"/>
  <c r="G168" i="66"/>
  <c r="F169" i="66"/>
  <c r="G169" i="66"/>
  <c r="F170" i="66"/>
  <c r="G170" i="66"/>
  <c r="F171" i="66"/>
  <c r="G171" i="66"/>
  <c r="F172" i="66"/>
  <c r="G172" i="66"/>
  <c r="F173" i="66"/>
  <c r="G173" i="66"/>
  <c r="F174" i="66"/>
  <c r="G174" i="66"/>
  <c r="F175" i="66"/>
  <c r="G175" i="66"/>
  <c r="F176" i="66"/>
  <c r="G176" i="66"/>
  <c r="F177" i="66"/>
  <c r="G177" i="66"/>
  <c r="F178" i="66"/>
  <c r="G178" i="66"/>
  <c r="F179" i="66"/>
  <c r="G179" i="66"/>
  <c r="F180" i="66"/>
  <c r="G180" i="66"/>
  <c r="F181" i="66"/>
  <c r="G181" i="66"/>
  <c r="F182" i="66"/>
  <c r="G182" i="66"/>
  <c r="F183" i="66"/>
  <c r="G183" i="66"/>
  <c r="F184" i="66"/>
  <c r="G184" i="66"/>
  <c r="F185" i="66"/>
  <c r="G185" i="66"/>
  <c r="F186" i="66"/>
  <c r="G186" i="66"/>
  <c r="F187" i="66"/>
  <c r="G187" i="66"/>
  <c r="F188" i="66"/>
  <c r="G188" i="66"/>
  <c r="F189" i="66"/>
  <c r="G189" i="66"/>
  <c r="F190" i="66"/>
  <c r="G190" i="66"/>
  <c r="F191" i="66"/>
  <c r="G191" i="66"/>
  <c r="F192" i="66"/>
  <c r="G192" i="66"/>
  <c r="F193" i="66"/>
  <c r="G193" i="66"/>
  <c r="F194" i="66"/>
  <c r="G194" i="66"/>
  <c r="F195" i="66"/>
  <c r="G195" i="66"/>
  <c r="F196" i="66"/>
  <c r="G196" i="66"/>
  <c r="F197" i="66"/>
  <c r="G197" i="66"/>
  <c r="F198" i="66"/>
  <c r="G198" i="66"/>
  <c r="F199" i="66"/>
  <c r="G199" i="66"/>
  <c r="F200" i="66"/>
  <c r="G200" i="66"/>
  <c r="F201" i="66"/>
  <c r="G201" i="66"/>
  <c r="F202" i="66"/>
  <c r="G202" i="66"/>
  <c r="F203" i="66"/>
  <c r="G203" i="66"/>
  <c r="F204" i="66"/>
  <c r="G204" i="66"/>
  <c r="F205" i="66"/>
  <c r="G205" i="66"/>
  <c r="F206" i="66"/>
  <c r="G206" i="66"/>
  <c r="F207" i="66"/>
  <c r="G207" i="66"/>
  <c r="F208" i="66"/>
  <c r="G208" i="66"/>
  <c r="F209" i="66"/>
  <c r="G209" i="66"/>
  <c r="F210" i="66"/>
  <c r="G210" i="66"/>
  <c r="F211" i="66"/>
  <c r="G211" i="66"/>
  <c r="F212" i="66"/>
  <c r="G212" i="66"/>
  <c r="F213" i="66"/>
  <c r="G213" i="66"/>
  <c r="F214" i="66"/>
  <c r="G214" i="66"/>
  <c r="F215" i="66"/>
  <c r="G215" i="66"/>
  <c r="F216" i="66"/>
  <c r="G216" i="66"/>
  <c r="F217" i="66"/>
  <c r="G217" i="66"/>
  <c r="F218" i="66"/>
  <c r="G218" i="66"/>
  <c r="F219" i="66"/>
  <c r="G219" i="66"/>
  <c r="F220" i="66"/>
  <c r="G220" i="66"/>
  <c r="F221" i="66"/>
  <c r="G221" i="66"/>
  <c r="F222" i="66"/>
  <c r="G222" i="66"/>
  <c r="F223" i="66"/>
  <c r="G223" i="66"/>
  <c r="F224" i="66"/>
  <c r="G224" i="66"/>
  <c r="F225" i="66"/>
  <c r="G225" i="66"/>
  <c r="F226" i="66"/>
  <c r="G226" i="66"/>
  <c r="F227" i="66"/>
  <c r="G227" i="66"/>
  <c r="F228" i="66"/>
  <c r="G228" i="66"/>
  <c r="F229" i="66"/>
  <c r="G229" i="66"/>
  <c r="F230" i="66"/>
  <c r="G230" i="66"/>
  <c r="F231" i="66"/>
  <c r="G231" i="66"/>
  <c r="F232" i="66"/>
  <c r="G232" i="66"/>
  <c r="F233" i="66"/>
  <c r="G233" i="66"/>
  <c r="F234" i="66"/>
  <c r="G234" i="66"/>
  <c r="F235" i="66"/>
  <c r="G235" i="66"/>
  <c r="F236" i="66"/>
  <c r="G236" i="66"/>
  <c r="F237" i="66"/>
  <c r="G237" i="66"/>
  <c r="F238" i="66"/>
  <c r="G238" i="66"/>
  <c r="F239" i="66"/>
  <c r="G239" i="66"/>
  <c r="F240" i="66"/>
  <c r="G240" i="66"/>
  <c r="F241" i="66"/>
  <c r="G241" i="66"/>
  <c r="F242" i="66"/>
  <c r="G242" i="66"/>
  <c r="F243" i="66"/>
  <c r="G243" i="66"/>
  <c r="F244" i="66"/>
  <c r="G244" i="66"/>
  <c r="F245" i="66"/>
  <c r="G245" i="66"/>
  <c r="F246" i="66"/>
  <c r="G246" i="66"/>
  <c r="F247" i="66"/>
  <c r="G247" i="66"/>
  <c r="F248" i="66"/>
  <c r="G248" i="66"/>
  <c r="F249" i="66"/>
  <c r="G249" i="66"/>
  <c r="F250" i="66"/>
  <c r="G250" i="66"/>
  <c r="F251" i="66"/>
  <c r="G251" i="66"/>
  <c r="F252" i="66"/>
  <c r="G252" i="66"/>
  <c r="F253" i="66"/>
  <c r="G253" i="66"/>
  <c r="F254" i="66"/>
  <c r="G254" i="66"/>
  <c r="F255" i="66"/>
  <c r="G255" i="66"/>
  <c r="F256" i="66"/>
  <c r="G256" i="66"/>
  <c r="F257" i="66"/>
  <c r="G257" i="66"/>
  <c r="F258" i="66"/>
  <c r="G258" i="66"/>
  <c r="F259" i="66"/>
  <c r="G259" i="66"/>
  <c r="F260" i="66"/>
  <c r="G260" i="66"/>
  <c r="F261" i="66"/>
  <c r="G261" i="66"/>
  <c r="F262" i="66"/>
  <c r="G262" i="66"/>
  <c r="F263" i="66"/>
  <c r="G263" i="66"/>
  <c r="F264" i="66"/>
  <c r="G264" i="66"/>
  <c r="F265" i="66"/>
  <c r="G265" i="66"/>
  <c r="F266" i="66"/>
  <c r="G266" i="66"/>
  <c r="F267" i="66"/>
  <c r="G267" i="66"/>
  <c r="F268" i="66"/>
  <c r="G268" i="66"/>
  <c r="F269" i="66"/>
  <c r="G269" i="66"/>
  <c r="F270" i="66"/>
  <c r="G270" i="66"/>
  <c r="F271" i="66"/>
  <c r="G271" i="66"/>
  <c r="F272" i="66"/>
  <c r="G272" i="66"/>
  <c r="F273" i="66"/>
  <c r="G273" i="66"/>
  <c r="F274" i="66"/>
  <c r="G274" i="66"/>
  <c r="F275" i="66"/>
  <c r="G275" i="66"/>
  <c r="F276" i="66"/>
  <c r="G276" i="66"/>
  <c r="F277" i="66"/>
  <c r="G277" i="66"/>
  <c r="F278" i="66"/>
  <c r="G278" i="66"/>
  <c r="F279" i="66"/>
  <c r="G279" i="66"/>
  <c r="F280" i="66"/>
  <c r="G280" i="66"/>
  <c r="F281" i="66"/>
  <c r="G281" i="66"/>
  <c r="F282" i="66"/>
  <c r="G282" i="66"/>
  <c r="F283" i="66"/>
  <c r="G283" i="66"/>
  <c r="F284" i="66"/>
  <c r="G284" i="66"/>
  <c r="F285" i="66"/>
  <c r="G285" i="66"/>
  <c r="F286" i="66"/>
  <c r="G286" i="66"/>
  <c r="F287" i="66"/>
  <c r="G287" i="66"/>
  <c r="F288" i="66"/>
  <c r="G288" i="66"/>
  <c r="F289" i="66"/>
  <c r="G289" i="66"/>
  <c r="F290" i="66"/>
  <c r="G290" i="66"/>
  <c r="F291" i="66"/>
  <c r="G291" i="66"/>
  <c r="F292" i="66"/>
  <c r="G292" i="66"/>
  <c r="F293" i="66"/>
  <c r="G293" i="66"/>
  <c r="F294" i="66"/>
  <c r="G294" i="66"/>
  <c r="F295" i="66"/>
  <c r="G295" i="66"/>
  <c r="F296" i="66"/>
  <c r="G296" i="66"/>
  <c r="F297" i="66"/>
  <c r="G297" i="66"/>
  <c r="F298" i="66"/>
  <c r="G298" i="66"/>
  <c r="F299" i="66"/>
  <c r="G299" i="66"/>
  <c r="F300" i="66"/>
  <c r="G300" i="66"/>
  <c r="F301" i="66"/>
  <c r="G301" i="66"/>
  <c r="F302" i="66"/>
  <c r="G302" i="66"/>
  <c r="F303" i="66"/>
  <c r="G303" i="66"/>
  <c r="F304" i="66"/>
  <c r="G304" i="66"/>
  <c r="F305" i="66"/>
  <c r="G305" i="66"/>
  <c r="F306" i="66"/>
  <c r="G306" i="66"/>
  <c r="F307" i="66"/>
  <c r="G307" i="66"/>
  <c r="F308" i="66"/>
  <c r="G308" i="66"/>
  <c r="F309" i="66"/>
  <c r="G309" i="66"/>
  <c r="F310" i="66"/>
  <c r="G310" i="66"/>
  <c r="F311" i="66"/>
  <c r="G311" i="66"/>
  <c r="F312" i="66"/>
  <c r="G312" i="66"/>
  <c r="F313" i="66"/>
  <c r="G313" i="66"/>
  <c r="F314" i="66"/>
  <c r="G314" i="66"/>
  <c r="F315" i="66"/>
  <c r="G315" i="66"/>
  <c r="F316" i="66"/>
  <c r="G316" i="66"/>
  <c r="F317" i="66"/>
  <c r="G317" i="66"/>
  <c r="F318" i="66"/>
  <c r="G318" i="66"/>
  <c r="F319" i="66"/>
  <c r="G319" i="66"/>
  <c r="F320" i="66"/>
  <c r="G320" i="66"/>
  <c r="F321" i="66"/>
  <c r="G321" i="66"/>
  <c r="F322" i="66"/>
  <c r="G322" i="66"/>
  <c r="F323" i="66"/>
  <c r="G323" i="66"/>
  <c r="F324" i="66"/>
  <c r="G324" i="66"/>
  <c r="F325" i="66"/>
  <c r="G325" i="66"/>
  <c r="F326" i="66"/>
  <c r="G326" i="66"/>
  <c r="F327" i="66"/>
  <c r="G327" i="66"/>
  <c r="F328" i="66"/>
  <c r="G328" i="66"/>
  <c r="F329" i="66"/>
  <c r="G329" i="66"/>
  <c r="F330" i="66"/>
  <c r="G330" i="66"/>
  <c r="F331" i="66"/>
  <c r="G331" i="66"/>
  <c r="F332" i="66"/>
  <c r="G332" i="66"/>
  <c r="F333" i="66"/>
  <c r="G333" i="66"/>
  <c r="F334" i="66"/>
  <c r="G334" i="66"/>
  <c r="F335" i="66"/>
  <c r="G335" i="66"/>
  <c r="F336" i="66"/>
  <c r="G336" i="66"/>
  <c r="F337" i="66"/>
  <c r="G337" i="66"/>
  <c r="F338" i="66"/>
  <c r="G338" i="66"/>
  <c r="F339" i="66"/>
  <c r="G339" i="66"/>
  <c r="F340" i="66"/>
  <c r="G340" i="66"/>
  <c r="F341" i="66"/>
  <c r="G341" i="66"/>
  <c r="F342" i="66"/>
  <c r="G342" i="66"/>
  <c r="F343" i="66"/>
  <c r="G343" i="66"/>
  <c r="F344" i="66"/>
  <c r="G344" i="66"/>
  <c r="F345" i="66"/>
  <c r="G345" i="66"/>
  <c r="F346" i="66"/>
  <c r="G346" i="66"/>
  <c r="F347" i="66"/>
  <c r="G347" i="66"/>
  <c r="F348" i="66"/>
  <c r="G348" i="66"/>
  <c r="G4" i="66"/>
  <c r="F4" i="66"/>
  <c r="F5" i="65"/>
  <c r="G5" i="65"/>
  <c r="F6" i="65"/>
  <c r="G6" i="65"/>
  <c r="F7" i="65"/>
  <c r="G7" i="65"/>
  <c r="F8" i="65"/>
  <c r="G8" i="65"/>
  <c r="F9" i="65"/>
  <c r="G9" i="65"/>
  <c r="F10" i="65"/>
  <c r="G10" i="65"/>
  <c r="F11" i="65"/>
  <c r="G11" i="65"/>
  <c r="F12" i="65"/>
  <c r="G12" i="65"/>
  <c r="F13" i="65"/>
  <c r="G13" i="65"/>
  <c r="F14" i="65"/>
  <c r="G14" i="65"/>
  <c r="F15" i="65"/>
  <c r="G15" i="65"/>
  <c r="F16" i="65"/>
  <c r="G16" i="65"/>
  <c r="F17" i="65"/>
  <c r="G17" i="65"/>
  <c r="F18" i="65"/>
  <c r="G18" i="65"/>
  <c r="F19" i="65"/>
  <c r="G19" i="65"/>
  <c r="F20" i="65"/>
  <c r="G20" i="65"/>
  <c r="F21" i="65"/>
  <c r="G21" i="65"/>
  <c r="F22" i="65"/>
  <c r="G22" i="65"/>
  <c r="F23" i="65"/>
  <c r="G23" i="65"/>
  <c r="F24" i="65"/>
  <c r="G24" i="65"/>
  <c r="F25" i="65"/>
  <c r="G25" i="65"/>
  <c r="F26" i="65"/>
  <c r="G26" i="65"/>
  <c r="F27" i="65"/>
  <c r="G27" i="65"/>
  <c r="F28" i="65"/>
  <c r="G28" i="65"/>
  <c r="F29" i="65"/>
  <c r="G29" i="65"/>
  <c r="F30" i="65"/>
  <c r="G30" i="65"/>
  <c r="F31" i="65"/>
  <c r="G31" i="65"/>
  <c r="F32" i="65"/>
  <c r="G32" i="65"/>
  <c r="F33" i="65"/>
  <c r="G33" i="65"/>
  <c r="F34" i="65"/>
  <c r="G34" i="65"/>
  <c r="F35" i="65"/>
  <c r="G35" i="65"/>
  <c r="F36" i="65"/>
  <c r="G36" i="65"/>
  <c r="F37" i="65"/>
  <c r="G37" i="65"/>
  <c r="F38" i="65"/>
  <c r="G38" i="65"/>
  <c r="F39" i="65"/>
  <c r="G39" i="65"/>
  <c r="F40" i="65"/>
  <c r="G40" i="65"/>
  <c r="F41" i="65"/>
  <c r="G41" i="65"/>
  <c r="F42" i="65"/>
  <c r="G42" i="65"/>
  <c r="F43" i="65"/>
  <c r="G43" i="65"/>
  <c r="F44" i="65"/>
  <c r="G44" i="65"/>
  <c r="F45" i="65"/>
  <c r="G45" i="65"/>
  <c r="F46" i="65"/>
  <c r="G46" i="65"/>
  <c r="F47" i="65"/>
  <c r="G47" i="65"/>
  <c r="F48" i="65"/>
  <c r="G48" i="65"/>
  <c r="F49" i="65"/>
  <c r="G49" i="65"/>
  <c r="F50" i="65"/>
  <c r="G50" i="65"/>
  <c r="F51" i="65"/>
  <c r="G51" i="65"/>
  <c r="F52" i="65"/>
  <c r="G52" i="65"/>
  <c r="F53" i="65"/>
  <c r="G53" i="65"/>
  <c r="F54" i="65"/>
  <c r="G54" i="65"/>
  <c r="F55" i="65"/>
  <c r="G55" i="65"/>
  <c r="F56" i="65"/>
  <c r="G56" i="65"/>
  <c r="F57" i="65"/>
  <c r="G57" i="65"/>
  <c r="F58" i="65"/>
  <c r="G58" i="65"/>
  <c r="F59" i="65"/>
  <c r="G59" i="65"/>
  <c r="F60" i="65"/>
  <c r="G60" i="65"/>
  <c r="F61" i="65"/>
  <c r="G61" i="65"/>
  <c r="F62" i="65"/>
  <c r="G62" i="65"/>
  <c r="F63" i="65"/>
  <c r="G63" i="65"/>
  <c r="F64" i="65"/>
  <c r="G64" i="65"/>
  <c r="F65" i="65"/>
  <c r="G65" i="65"/>
  <c r="F66" i="65"/>
  <c r="G66" i="65"/>
  <c r="F67" i="65"/>
  <c r="G67" i="65"/>
  <c r="F68" i="65"/>
  <c r="G68" i="65"/>
  <c r="F69" i="65"/>
  <c r="G69" i="65"/>
  <c r="F70" i="65"/>
  <c r="G70" i="65"/>
  <c r="F71" i="65"/>
  <c r="G71" i="65"/>
  <c r="F72" i="65"/>
  <c r="G72" i="65"/>
  <c r="F73" i="65"/>
  <c r="G73" i="65"/>
  <c r="F74" i="65"/>
  <c r="G74" i="65"/>
  <c r="F75" i="65"/>
  <c r="G75" i="65"/>
  <c r="F76" i="65"/>
  <c r="G76" i="65"/>
  <c r="F77" i="65"/>
  <c r="G77" i="65"/>
  <c r="F78" i="65"/>
  <c r="G78" i="65"/>
  <c r="F79" i="65"/>
  <c r="G79" i="65"/>
  <c r="F80" i="65"/>
  <c r="G80" i="65"/>
  <c r="F81" i="65"/>
  <c r="G81" i="65"/>
  <c r="F82" i="65"/>
  <c r="G82" i="65"/>
  <c r="F83" i="65"/>
  <c r="G83" i="65"/>
  <c r="F84" i="65"/>
  <c r="G84" i="65"/>
  <c r="F85" i="65"/>
  <c r="G85" i="65"/>
  <c r="F86" i="65"/>
  <c r="G86" i="65"/>
  <c r="F87" i="65"/>
  <c r="G87" i="65"/>
  <c r="F88" i="65"/>
  <c r="G88" i="65"/>
  <c r="F89" i="65"/>
  <c r="G89" i="65"/>
  <c r="F90" i="65"/>
  <c r="G90" i="65"/>
  <c r="F91" i="65"/>
  <c r="G91" i="65"/>
  <c r="F92" i="65"/>
  <c r="G92" i="65"/>
  <c r="F93" i="65"/>
  <c r="G93" i="65"/>
  <c r="F94" i="65"/>
  <c r="G94" i="65"/>
  <c r="F95" i="65"/>
  <c r="G95" i="65"/>
  <c r="F96" i="65"/>
  <c r="G96" i="65"/>
  <c r="F97" i="65"/>
  <c r="G97" i="65"/>
  <c r="F98" i="65"/>
  <c r="G98" i="65"/>
  <c r="F99" i="65"/>
  <c r="G99" i="65"/>
  <c r="F100" i="65"/>
  <c r="G100" i="65"/>
  <c r="F101" i="65"/>
  <c r="G101" i="65"/>
  <c r="G4" i="65"/>
  <c r="F4" i="65"/>
  <c r="F5" i="68"/>
  <c r="G5" i="68"/>
  <c r="F6" i="68"/>
  <c r="G6" i="68"/>
  <c r="F7" i="68"/>
  <c r="G7" i="68"/>
  <c r="F8" i="68"/>
  <c r="G8" i="68"/>
  <c r="F9" i="68"/>
  <c r="G9" i="68"/>
  <c r="F10" i="68"/>
  <c r="G10" i="68"/>
  <c r="F11" i="68"/>
  <c r="G11" i="68"/>
  <c r="F12" i="68"/>
  <c r="G12" i="68"/>
  <c r="F13" i="68"/>
  <c r="G13" i="68"/>
  <c r="F14" i="68"/>
  <c r="G14" i="68"/>
  <c r="F15" i="68"/>
  <c r="G15" i="68"/>
  <c r="F16" i="68"/>
  <c r="G16" i="68"/>
  <c r="F17" i="68"/>
  <c r="G17" i="68"/>
  <c r="F18" i="68"/>
  <c r="G18" i="68"/>
  <c r="F19" i="68"/>
  <c r="G19" i="68"/>
  <c r="F20" i="68"/>
  <c r="G20" i="68"/>
  <c r="F21" i="68"/>
  <c r="G21" i="68"/>
  <c r="F22" i="68"/>
  <c r="G22" i="68"/>
  <c r="F23" i="68"/>
  <c r="G23" i="68"/>
  <c r="F24" i="68"/>
  <c r="G24" i="68"/>
  <c r="F25" i="68"/>
  <c r="G25" i="68"/>
  <c r="F26" i="68"/>
  <c r="G26" i="68"/>
  <c r="F27" i="68"/>
  <c r="G27" i="68"/>
  <c r="F28" i="68"/>
  <c r="G28" i="68"/>
  <c r="F29" i="68"/>
  <c r="G29" i="68"/>
  <c r="F30" i="68"/>
  <c r="G30" i="68"/>
  <c r="F31" i="68"/>
  <c r="G31" i="68"/>
  <c r="F32" i="68"/>
  <c r="G32" i="68"/>
  <c r="F33" i="68"/>
  <c r="G33" i="68"/>
  <c r="F34" i="68"/>
  <c r="G34" i="68"/>
  <c r="F35" i="68"/>
  <c r="G35" i="68"/>
  <c r="F36" i="68"/>
  <c r="G36" i="68"/>
  <c r="F37" i="68"/>
  <c r="G37" i="68"/>
  <c r="F38" i="68"/>
  <c r="G38" i="68"/>
  <c r="F39" i="68"/>
  <c r="G39" i="68"/>
  <c r="F40" i="68"/>
  <c r="G40" i="68"/>
  <c r="F41" i="68"/>
  <c r="G41" i="68"/>
  <c r="F42" i="68"/>
  <c r="G42" i="68"/>
  <c r="F43" i="68"/>
  <c r="G43" i="68"/>
  <c r="F44" i="68"/>
  <c r="G44" i="68"/>
  <c r="F45" i="68"/>
  <c r="G45" i="68"/>
  <c r="F46" i="68"/>
  <c r="G46" i="68"/>
  <c r="F47" i="68"/>
  <c r="G47" i="68"/>
  <c r="F48" i="68"/>
  <c r="G48" i="68"/>
  <c r="F49" i="68"/>
  <c r="G49" i="68"/>
  <c r="F50" i="68"/>
  <c r="G50" i="68"/>
  <c r="F51" i="68"/>
  <c r="G51" i="68"/>
  <c r="F52" i="68"/>
  <c r="G52" i="68"/>
  <c r="F53" i="68"/>
  <c r="G53" i="68"/>
  <c r="F54" i="68"/>
  <c r="G54" i="68"/>
  <c r="F55" i="68"/>
  <c r="G55" i="68"/>
  <c r="F56" i="68"/>
  <c r="G56" i="68"/>
  <c r="F57" i="68"/>
  <c r="G57" i="68"/>
  <c r="F58" i="68"/>
  <c r="G58" i="68"/>
  <c r="F59" i="68"/>
  <c r="G59" i="68"/>
  <c r="F60" i="68"/>
  <c r="G60" i="68"/>
  <c r="F61" i="68"/>
  <c r="G61" i="68"/>
  <c r="F62" i="68"/>
  <c r="G62" i="68"/>
  <c r="F63" i="68"/>
  <c r="G63" i="68"/>
  <c r="F64" i="68"/>
  <c r="G64" i="68"/>
  <c r="F65" i="68"/>
  <c r="G65" i="68"/>
  <c r="F66" i="68"/>
  <c r="G66" i="68"/>
  <c r="F67" i="68"/>
  <c r="G67" i="68"/>
  <c r="F68" i="68"/>
  <c r="G68" i="68"/>
  <c r="F69" i="68"/>
  <c r="G69" i="68"/>
  <c r="F70" i="68"/>
  <c r="G70" i="68"/>
  <c r="F71" i="68"/>
  <c r="G71" i="68"/>
  <c r="F72" i="68"/>
  <c r="G72" i="68"/>
  <c r="F73" i="68"/>
  <c r="G73" i="68"/>
  <c r="F74" i="68"/>
  <c r="G74" i="68"/>
  <c r="F75" i="68"/>
  <c r="G75" i="68"/>
  <c r="F76" i="68"/>
  <c r="G76" i="68"/>
  <c r="F77" i="68"/>
  <c r="G77" i="68"/>
  <c r="F78" i="68"/>
  <c r="G78" i="68"/>
  <c r="F79" i="68"/>
  <c r="G79" i="68"/>
  <c r="F80" i="68"/>
  <c r="G80" i="68"/>
  <c r="F81" i="68"/>
  <c r="G81" i="68"/>
  <c r="F82" i="68"/>
  <c r="G82" i="68"/>
  <c r="F83" i="68"/>
  <c r="G83" i="68"/>
  <c r="F84" i="68"/>
  <c r="G84" i="68"/>
  <c r="F85" i="68"/>
  <c r="G85" i="68"/>
  <c r="F86" i="68"/>
  <c r="G86" i="68"/>
  <c r="F87" i="68"/>
  <c r="G87" i="68"/>
  <c r="F88" i="68"/>
  <c r="G88" i="68"/>
  <c r="F89" i="68"/>
  <c r="G89" i="68"/>
  <c r="F90" i="68"/>
  <c r="G90" i="68"/>
  <c r="F91" i="68"/>
  <c r="G91" i="68"/>
  <c r="F92" i="68"/>
  <c r="G92" i="68"/>
  <c r="F93" i="68"/>
  <c r="G93" i="68"/>
  <c r="F94" i="68"/>
  <c r="G94" i="68"/>
  <c r="F95" i="68"/>
  <c r="G95" i="68"/>
  <c r="F96" i="68"/>
  <c r="G96" i="68"/>
  <c r="F97" i="68"/>
  <c r="G97" i="68"/>
  <c r="F98" i="68"/>
  <c r="G98" i="68"/>
  <c r="F99" i="68"/>
  <c r="G99" i="68"/>
  <c r="F100" i="68"/>
  <c r="G100" i="68"/>
  <c r="F101" i="68"/>
  <c r="G101" i="68"/>
  <c r="F102" i="68"/>
  <c r="G102" i="68"/>
  <c r="F103" i="68"/>
  <c r="G103" i="68"/>
  <c r="F104" i="68"/>
  <c r="G104" i="68"/>
  <c r="F105" i="68"/>
  <c r="G105" i="68"/>
  <c r="F106" i="68"/>
  <c r="G106" i="68"/>
  <c r="F107" i="68"/>
  <c r="G107" i="68"/>
  <c r="F108" i="68"/>
  <c r="G108" i="68"/>
  <c r="F109" i="68"/>
  <c r="G109" i="68"/>
  <c r="F110" i="68"/>
  <c r="G110" i="68"/>
  <c r="F111" i="68"/>
  <c r="G111" i="68"/>
  <c r="F112" i="68"/>
  <c r="G112" i="68"/>
  <c r="F113" i="68"/>
  <c r="G113" i="68"/>
  <c r="F114" i="68"/>
  <c r="G114" i="68"/>
  <c r="F115" i="68"/>
  <c r="G115" i="68"/>
  <c r="F116" i="68"/>
  <c r="G116" i="68"/>
  <c r="F117" i="68"/>
  <c r="G117" i="68"/>
  <c r="F118" i="68"/>
  <c r="G118" i="68"/>
  <c r="F119" i="68"/>
  <c r="G119" i="68"/>
  <c r="F120" i="68"/>
  <c r="G120" i="68"/>
  <c r="F121" i="68"/>
  <c r="G121" i="68"/>
  <c r="F122" i="68"/>
  <c r="G122" i="68"/>
  <c r="F123" i="68"/>
  <c r="G123" i="68"/>
  <c r="F124" i="68"/>
  <c r="G124" i="68"/>
  <c r="F125" i="68"/>
  <c r="G125" i="68"/>
  <c r="F126" i="68"/>
  <c r="G126" i="68"/>
  <c r="F127" i="68"/>
  <c r="G127" i="68"/>
  <c r="F128" i="68"/>
  <c r="G128" i="68"/>
  <c r="F129" i="68"/>
  <c r="G129" i="68"/>
  <c r="F130" i="68"/>
  <c r="G130" i="68"/>
  <c r="F131" i="68"/>
  <c r="G131" i="68"/>
  <c r="F132" i="68"/>
  <c r="G132" i="68"/>
  <c r="F133" i="68"/>
  <c r="G133" i="68"/>
  <c r="F134" i="68"/>
  <c r="G134" i="68"/>
  <c r="F135" i="68"/>
  <c r="G135" i="68"/>
  <c r="F136" i="68"/>
  <c r="G136" i="68"/>
  <c r="F137" i="68"/>
  <c r="G137" i="68"/>
  <c r="F138" i="68"/>
  <c r="G138" i="68"/>
  <c r="F139" i="68"/>
  <c r="G139" i="68"/>
  <c r="F140" i="68"/>
  <c r="G140" i="68"/>
  <c r="F141" i="68"/>
  <c r="G141" i="68"/>
  <c r="F142" i="68"/>
  <c r="G142" i="68"/>
  <c r="F143" i="68"/>
  <c r="G143" i="68"/>
  <c r="F144" i="68"/>
  <c r="G144" i="68"/>
  <c r="F145" i="68"/>
  <c r="G145" i="68"/>
  <c r="F146" i="68"/>
  <c r="G146" i="68"/>
  <c r="F147" i="68"/>
  <c r="G147" i="68"/>
  <c r="F148" i="68"/>
  <c r="G148" i="68"/>
  <c r="F149" i="68"/>
  <c r="G149" i="68"/>
  <c r="F150" i="68"/>
  <c r="G150" i="68"/>
  <c r="F151" i="68"/>
  <c r="G151" i="68"/>
  <c r="F152" i="68"/>
  <c r="G152" i="68"/>
  <c r="F153" i="68"/>
  <c r="G153" i="68"/>
  <c r="F154" i="68"/>
  <c r="G154" i="68"/>
  <c r="F155" i="68"/>
  <c r="G155" i="68"/>
  <c r="F156" i="68"/>
  <c r="G156" i="68"/>
  <c r="F157" i="68"/>
  <c r="G157" i="68"/>
  <c r="F158" i="68"/>
  <c r="G158" i="68"/>
  <c r="F159" i="68"/>
  <c r="G159" i="68"/>
  <c r="F160" i="68"/>
  <c r="G160" i="68"/>
  <c r="F161" i="68"/>
  <c r="G161" i="68"/>
  <c r="F162" i="68"/>
  <c r="G162" i="68"/>
  <c r="F163" i="68"/>
  <c r="G163" i="68"/>
  <c r="F164" i="68"/>
  <c r="G164" i="68"/>
  <c r="F165" i="68"/>
  <c r="G165" i="68"/>
  <c r="F166" i="68"/>
  <c r="G166" i="68"/>
  <c r="F167" i="68"/>
  <c r="G167" i="68"/>
  <c r="F168" i="68"/>
  <c r="G168" i="68"/>
  <c r="F169" i="68"/>
  <c r="G169" i="68"/>
  <c r="F170" i="68"/>
  <c r="G170" i="68"/>
  <c r="F171" i="68"/>
  <c r="G171" i="68"/>
  <c r="F172" i="68"/>
  <c r="G172" i="68"/>
  <c r="F173" i="68"/>
  <c r="G173" i="68"/>
  <c r="F174" i="68"/>
  <c r="G174" i="68"/>
  <c r="F175" i="68"/>
  <c r="G175" i="68"/>
  <c r="F176" i="68"/>
  <c r="G176" i="68"/>
  <c r="F177" i="68"/>
  <c r="G177" i="68"/>
  <c r="F178" i="68"/>
  <c r="G178" i="68"/>
  <c r="F179" i="68"/>
  <c r="G179" i="68"/>
  <c r="F180" i="68"/>
  <c r="G180" i="68"/>
  <c r="F181" i="68"/>
  <c r="G181" i="68"/>
  <c r="F182" i="68"/>
  <c r="G182" i="68"/>
  <c r="F183" i="68"/>
  <c r="G183" i="68"/>
  <c r="F184" i="68"/>
  <c r="G184" i="68"/>
  <c r="F185" i="68"/>
  <c r="G185" i="68"/>
  <c r="F186" i="68"/>
  <c r="G186" i="68"/>
  <c r="F187" i="68"/>
  <c r="G187" i="68"/>
  <c r="F188" i="68"/>
  <c r="G188" i="68"/>
  <c r="F189" i="68"/>
  <c r="G189" i="68"/>
  <c r="F190" i="68"/>
  <c r="G190" i="68"/>
  <c r="F191" i="68"/>
  <c r="G191" i="68"/>
  <c r="F192" i="68"/>
  <c r="G192" i="68"/>
  <c r="F193" i="68"/>
  <c r="G193" i="68"/>
  <c r="F194" i="68"/>
  <c r="G194" i="68"/>
  <c r="F195" i="68"/>
  <c r="G195" i="68"/>
  <c r="F196" i="68"/>
  <c r="G196" i="68"/>
  <c r="F197" i="68"/>
  <c r="G197" i="68"/>
  <c r="F198" i="68"/>
  <c r="G198" i="68"/>
  <c r="F199" i="68"/>
  <c r="G199" i="68"/>
  <c r="F200" i="68"/>
  <c r="G200" i="68"/>
  <c r="F201" i="68"/>
  <c r="G201" i="68"/>
  <c r="F202" i="68"/>
  <c r="G202" i="68"/>
  <c r="F203" i="68"/>
  <c r="G203" i="68"/>
  <c r="F204" i="68"/>
  <c r="G204" i="68"/>
  <c r="F205" i="68"/>
  <c r="G205" i="68"/>
  <c r="F206" i="68"/>
  <c r="G206" i="68"/>
  <c r="F207" i="68"/>
  <c r="G207" i="68"/>
  <c r="F208" i="68"/>
  <c r="G208" i="68"/>
  <c r="F209" i="68"/>
  <c r="G209" i="68"/>
  <c r="F210" i="68"/>
  <c r="G210" i="68"/>
  <c r="F211" i="68"/>
  <c r="G211" i="68"/>
  <c r="F212" i="68"/>
  <c r="G212" i="68"/>
  <c r="F213" i="68"/>
  <c r="G213" i="68"/>
  <c r="F214" i="68"/>
  <c r="G214" i="68"/>
  <c r="F215" i="68"/>
  <c r="G215" i="68"/>
  <c r="F216" i="68"/>
  <c r="G216" i="68"/>
  <c r="F217" i="68"/>
  <c r="G217" i="68"/>
  <c r="F218" i="68"/>
  <c r="G218" i="68"/>
  <c r="F219" i="68"/>
  <c r="G219" i="68"/>
  <c r="F220" i="68"/>
  <c r="G220" i="68"/>
  <c r="F221" i="68"/>
  <c r="G221" i="68"/>
  <c r="F222" i="68"/>
  <c r="G222" i="68"/>
  <c r="F223" i="68"/>
  <c r="G223" i="68"/>
  <c r="F224" i="68"/>
  <c r="G224" i="68"/>
  <c r="F225" i="68"/>
  <c r="G225" i="68"/>
  <c r="F226" i="68"/>
  <c r="G226" i="68"/>
  <c r="F227" i="68"/>
  <c r="G227" i="68"/>
  <c r="F228" i="68"/>
  <c r="G228" i="68"/>
  <c r="F229" i="68"/>
  <c r="G229" i="68"/>
  <c r="F230" i="68"/>
  <c r="G230" i="68"/>
  <c r="F231" i="68"/>
  <c r="G231" i="68"/>
  <c r="F232" i="68"/>
  <c r="G232" i="68"/>
  <c r="F233" i="68"/>
  <c r="G233" i="68"/>
  <c r="F234" i="68"/>
  <c r="G234" i="68"/>
  <c r="F235" i="68"/>
  <c r="G235" i="68"/>
  <c r="F236" i="68"/>
  <c r="G236" i="68"/>
  <c r="F237" i="68"/>
  <c r="G237" i="68"/>
  <c r="F238" i="68"/>
  <c r="G238" i="68"/>
  <c r="F239" i="68"/>
  <c r="G239" i="68"/>
  <c r="F240" i="68"/>
  <c r="G240" i="68"/>
  <c r="F241" i="68"/>
  <c r="G241" i="68"/>
  <c r="F242" i="68"/>
  <c r="G242" i="68"/>
  <c r="F243" i="68"/>
  <c r="G243" i="68"/>
  <c r="F244" i="68"/>
  <c r="G244" i="68"/>
  <c r="F245" i="68"/>
  <c r="G245" i="68"/>
  <c r="F246" i="68"/>
  <c r="G246" i="68"/>
  <c r="F247" i="68"/>
  <c r="G247" i="68"/>
  <c r="F248" i="68"/>
  <c r="G248" i="68"/>
  <c r="F249" i="68"/>
  <c r="G249" i="68"/>
  <c r="F250" i="68"/>
  <c r="G250" i="68"/>
  <c r="F251" i="68"/>
  <c r="G251" i="68"/>
  <c r="F252" i="68"/>
  <c r="G252" i="68"/>
  <c r="F253" i="68"/>
  <c r="G253" i="68"/>
  <c r="F254" i="68"/>
  <c r="G254" i="68"/>
  <c r="F255" i="68"/>
  <c r="G255" i="68"/>
  <c r="F256" i="68"/>
  <c r="G256" i="68"/>
  <c r="F257" i="68"/>
  <c r="G257" i="68"/>
  <c r="F258" i="68"/>
  <c r="G258" i="68"/>
  <c r="F259" i="68"/>
  <c r="G259" i="68"/>
  <c r="F260" i="68"/>
  <c r="G260" i="68"/>
  <c r="F261" i="68"/>
  <c r="G261" i="68"/>
  <c r="F262" i="68"/>
  <c r="G262" i="68"/>
  <c r="F263" i="68"/>
  <c r="G263" i="68"/>
  <c r="F264" i="68"/>
  <c r="G264" i="68"/>
  <c r="F265" i="68"/>
  <c r="G265" i="68"/>
  <c r="F266" i="68"/>
  <c r="G266" i="68"/>
  <c r="F267" i="68"/>
  <c r="G267" i="68"/>
  <c r="F268" i="68"/>
  <c r="G268" i="68"/>
  <c r="F269" i="68"/>
  <c r="G269" i="68"/>
  <c r="F270" i="68"/>
  <c r="G270" i="68"/>
  <c r="F271" i="68"/>
  <c r="G271" i="68"/>
  <c r="F272" i="68"/>
  <c r="G272" i="68"/>
  <c r="F273" i="68"/>
  <c r="G273" i="68"/>
  <c r="F274" i="68"/>
  <c r="G274" i="68"/>
  <c r="F275" i="68"/>
  <c r="G275" i="68"/>
  <c r="F276" i="68"/>
  <c r="G276" i="68"/>
  <c r="F277" i="68"/>
  <c r="G277" i="68"/>
  <c r="F278" i="68"/>
  <c r="G278" i="68"/>
  <c r="F279" i="68"/>
  <c r="G279" i="68"/>
  <c r="F280" i="68"/>
  <c r="G280" i="68"/>
  <c r="F281" i="68"/>
  <c r="G281" i="68"/>
  <c r="F282" i="68"/>
  <c r="G282" i="68"/>
  <c r="F283" i="68"/>
  <c r="G283" i="68"/>
  <c r="F284" i="68"/>
  <c r="G284" i="68"/>
  <c r="F285" i="68"/>
  <c r="G285" i="68"/>
  <c r="F286" i="68"/>
  <c r="G286" i="68"/>
  <c r="F287" i="68"/>
  <c r="G287" i="68"/>
  <c r="F288" i="68"/>
  <c r="G288" i="68"/>
  <c r="F289" i="68"/>
  <c r="G289" i="68"/>
  <c r="F290" i="68"/>
  <c r="G290" i="68"/>
  <c r="F291" i="68"/>
  <c r="G291" i="68"/>
  <c r="F292" i="68"/>
  <c r="G292" i="68"/>
  <c r="F293" i="68"/>
  <c r="G293" i="68"/>
  <c r="F294" i="68"/>
  <c r="G294" i="68"/>
  <c r="F295" i="68"/>
  <c r="G295" i="68"/>
  <c r="F296" i="68"/>
  <c r="G296" i="68"/>
  <c r="F297" i="68"/>
  <c r="G297" i="68"/>
  <c r="F298" i="68"/>
  <c r="G298" i="68"/>
  <c r="F299" i="68"/>
  <c r="G299" i="68"/>
  <c r="F300" i="68"/>
  <c r="G300" i="68"/>
  <c r="F301" i="68"/>
  <c r="G301" i="68"/>
  <c r="F302" i="68"/>
  <c r="G302" i="68"/>
  <c r="F303" i="68"/>
  <c r="G303" i="68"/>
  <c r="F304" i="68"/>
  <c r="G304" i="68"/>
  <c r="F305" i="68"/>
  <c r="G305" i="68"/>
  <c r="F306" i="68"/>
  <c r="G306" i="68"/>
  <c r="F307" i="68"/>
  <c r="G307" i="68"/>
  <c r="F308" i="68"/>
  <c r="G308" i="68"/>
  <c r="F309" i="68"/>
  <c r="G309" i="68"/>
  <c r="F310" i="68"/>
  <c r="G310" i="68"/>
  <c r="F311" i="68"/>
  <c r="G311" i="68"/>
  <c r="F312" i="68"/>
  <c r="G312" i="68"/>
  <c r="F313" i="68"/>
  <c r="G313" i="68"/>
  <c r="F314" i="68"/>
  <c r="G314" i="68"/>
  <c r="F315" i="68"/>
  <c r="G315" i="68"/>
  <c r="F316" i="68"/>
  <c r="G316" i="68"/>
  <c r="F317" i="68"/>
  <c r="G317" i="68"/>
  <c r="F318" i="68"/>
  <c r="G318" i="68"/>
  <c r="F319" i="68"/>
  <c r="G319" i="68"/>
  <c r="F320" i="68"/>
  <c r="G320" i="68"/>
  <c r="F321" i="68"/>
  <c r="G321" i="68"/>
  <c r="F322" i="68"/>
  <c r="G322" i="68"/>
  <c r="F323" i="68"/>
  <c r="G323" i="68"/>
  <c r="F324" i="68"/>
  <c r="G324" i="68"/>
  <c r="F325" i="68"/>
  <c r="G325" i="68"/>
  <c r="F326" i="68"/>
  <c r="G326" i="68"/>
  <c r="F327" i="68"/>
  <c r="G327" i="68"/>
  <c r="F328" i="68"/>
  <c r="G328" i="68"/>
  <c r="F329" i="68"/>
  <c r="G329" i="68"/>
  <c r="F330" i="68"/>
  <c r="G330" i="68"/>
  <c r="F331" i="68"/>
  <c r="G331" i="68"/>
  <c r="F332" i="68"/>
  <c r="G332" i="68"/>
  <c r="F333" i="68"/>
  <c r="G333" i="68"/>
  <c r="F334" i="68"/>
  <c r="G334" i="68"/>
  <c r="F335" i="68"/>
  <c r="G335" i="68"/>
  <c r="F336" i="68"/>
  <c r="G336" i="68"/>
  <c r="F337" i="68"/>
  <c r="G337" i="68"/>
  <c r="F338" i="68"/>
  <c r="G338" i="68"/>
  <c r="F339" i="68"/>
  <c r="G339" i="68"/>
  <c r="F340" i="68"/>
  <c r="G340" i="68"/>
  <c r="F341" i="68"/>
  <c r="G341" i="68"/>
  <c r="F342" i="68"/>
  <c r="G342" i="68"/>
  <c r="F343" i="68"/>
  <c r="G343" i="68"/>
  <c r="F344" i="68"/>
  <c r="G344" i="68"/>
  <c r="F345" i="68"/>
  <c r="G345" i="68"/>
  <c r="F346" i="68"/>
  <c r="G346" i="68"/>
  <c r="F347" i="68"/>
  <c r="G347" i="68"/>
  <c r="F348" i="68"/>
  <c r="G348" i="68"/>
  <c r="F349" i="68"/>
  <c r="G349" i="68"/>
  <c r="F350" i="68"/>
  <c r="G350" i="68"/>
  <c r="F351" i="68"/>
  <c r="G351" i="68"/>
  <c r="F352" i="68"/>
  <c r="G352" i="68"/>
  <c r="F353" i="68"/>
  <c r="G353" i="68"/>
  <c r="F354" i="68"/>
  <c r="G354" i="68"/>
  <c r="F355" i="68"/>
  <c r="G355" i="68"/>
  <c r="F356" i="68"/>
  <c r="G356" i="68"/>
  <c r="F357" i="68"/>
  <c r="G357" i="68"/>
  <c r="F358" i="68"/>
  <c r="G358" i="68"/>
  <c r="F359" i="68"/>
  <c r="G359" i="68"/>
  <c r="F360" i="68"/>
  <c r="G360" i="68"/>
  <c r="F361" i="68"/>
  <c r="G361" i="68"/>
  <c r="F362" i="68"/>
  <c r="G362" i="68"/>
  <c r="F363" i="68"/>
  <c r="G363" i="68"/>
  <c r="F364" i="68"/>
  <c r="G364" i="68"/>
  <c r="F365" i="68"/>
  <c r="G365" i="68"/>
  <c r="F366" i="68"/>
  <c r="G366" i="68"/>
  <c r="F367" i="68"/>
  <c r="G367" i="68"/>
  <c r="F368" i="68"/>
  <c r="G368" i="68"/>
  <c r="F369" i="68"/>
  <c r="G369" i="68"/>
  <c r="F370" i="68"/>
  <c r="G370" i="68"/>
  <c r="F371" i="68"/>
  <c r="G371" i="68"/>
  <c r="F372" i="68"/>
  <c r="G372" i="68"/>
  <c r="F373" i="68"/>
  <c r="G373" i="68"/>
  <c r="F374" i="68"/>
  <c r="G374" i="68"/>
  <c r="F375" i="68"/>
  <c r="G375" i="68"/>
  <c r="F376" i="68"/>
  <c r="G376" i="68"/>
  <c r="F377" i="68"/>
  <c r="G377" i="68"/>
  <c r="F378" i="68"/>
  <c r="G378" i="68"/>
  <c r="F379" i="68"/>
  <c r="G379" i="68"/>
  <c r="F380" i="68"/>
  <c r="G380" i="68"/>
  <c r="F381" i="68"/>
  <c r="G381" i="68"/>
  <c r="F382" i="68"/>
  <c r="G382" i="68"/>
  <c r="F383" i="68"/>
  <c r="G383" i="68"/>
  <c r="F384" i="68"/>
  <c r="G384" i="68"/>
  <c r="F385" i="68"/>
  <c r="G385" i="68"/>
  <c r="F386" i="68"/>
  <c r="G386" i="68"/>
  <c r="F387" i="68"/>
  <c r="G387" i="68"/>
  <c r="F388" i="68"/>
  <c r="G388" i="68"/>
  <c r="F389" i="68"/>
  <c r="G389" i="68"/>
  <c r="F390" i="68"/>
  <c r="G390" i="68"/>
  <c r="F391" i="68"/>
  <c r="G391" i="68"/>
  <c r="F392" i="68"/>
  <c r="G392" i="68"/>
  <c r="F393" i="68"/>
  <c r="G393" i="68"/>
  <c r="F394" i="68"/>
  <c r="G394" i="68"/>
  <c r="F395" i="68"/>
  <c r="G395" i="68"/>
  <c r="F396" i="68"/>
  <c r="G396" i="68"/>
  <c r="F397" i="68"/>
  <c r="G397" i="68"/>
  <c r="F398" i="68"/>
  <c r="G398" i="68"/>
  <c r="F399" i="68"/>
  <c r="G399" i="68"/>
  <c r="F400" i="68"/>
  <c r="G400" i="68"/>
  <c r="F401" i="68"/>
  <c r="G401" i="68"/>
  <c r="F402" i="68"/>
  <c r="G402" i="68"/>
  <c r="F403" i="68"/>
  <c r="G403" i="68"/>
  <c r="F404" i="68"/>
  <c r="G404" i="68"/>
  <c r="F405" i="68"/>
  <c r="G405" i="68"/>
  <c r="F406" i="68"/>
  <c r="G406" i="68"/>
  <c r="F407" i="68"/>
  <c r="G407" i="68"/>
  <c r="F408" i="68"/>
  <c r="G408" i="68"/>
  <c r="F409" i="68"/>
  <c r="G409" i="68"/>
  <c r="F410" i="68"/>
  <c r="G410" i="68"/>
  <c r="F411" i="68"/>
  <c r="G411" i="68"/>
  <c r="F412" i="68"/>
  <c r="G412" i="68"/>
  <c r="F413" i="68"/>
  <c r="G413" i="68"/>
  <c r="F414" i="68"/>
  <c r="G414" i="68"/>
  <c r="F415" i="68"/>
  <c r="G415" i="68"/>
  <c r="F416" i="68"/>
  <c r="G416" i="68"/>
  <c r="F417" i="68"/>
  <c r="G417" i="68"/>
  <c r="F418" i="68"/>
  <c r="G418" i="68"/>
  <c r="F419" i="68"/>
  <c r="G419" i="68"/>
  <c r="F420" i="68"/>
  <c r="G420" i="68"/>
  <c r="F421" i="68"/>
  <c r="G421" i="68"/>
  <c r="F422" i="68"/>
  <c r="G422" i="68"/>
  <c r="F423" i="68"/>
  <c r="G423" i="68"/>
  <c r="F424" i="68"/>
  <c r="G424" i="68"/>
  <c r="F425" i="68"/>
  <c r="G425" i="68"/>
  <c r="F426" i="68"/>
  <c r="G426" i="68"/>
  <c r="F427" i="68"/>
  <c r="G427" i="68"/>
  <c r="F428" i="68"/>
  <c r="G428" i="68"/>
  <c r="F429" i="68"/>
  <c r="G429" i="68"/>
  <c r="F430" i="68"/>
  <c r="G430" i="68"/>
  <c r="F431" i="68"/>
  <c r="G431" i="68"/>
  <c r="F432" i="68"/>
  <c r="G432" i="68"/>
  <c r="F433" i="68"/>
  <c r="G433" i="68"/>
  <c r="F434" i="68"/>
  <c r="G434" i="68"/>
  <c r="F435" i="68"/>
  <c r="G435" i="68"/>
  <c r="F436" i="68"/>
  <c r="G436" i="68"/>
  <c r="F437" i="68"/>
  <c r="G437" i="68"/>
  <c r="F438" i="68"/>
  <c r="G438" i="68"/>
  <c r="F439" i="68"/>
  <c r="G439" i="68"/>
  <c r="F440" i="68"/>
  <c r="G440" i="68"/>
  <c r="F441" i="68"/>
  <c r="G441" i="68"/>
  <c r="F442" i="68"/>
  <c r="G442" i="68"/>
  <c r="F443" i="68"/>
  <c r="G443" i="68"/>
  <c r="F444" i="68"/>
  <c r="G444" i="68"/>
  <c r="F445" i="68"/>
  <c r="G445" i="68"/>
  <c r="F446" i="68"/>
  <c r="G446" i="68"/>
  <c r="F447" i="68"/>
  <c r="G447" i="68"/>
  <c r="F448" i="68"/>
  <c r="G448" i="68"/>
  <c r="F449" i="68"/>
  <c r="G449" i="68"/>
  <c r="F450" i="68"/>
  <c r="G450" i="68"/>
  <c r="F451" i="68"/>
  <c r="G451" i="68"/>
  <c r="F452" i="68"/>
  <c r="G452" i="68"/>
  <c r="F453" i="68"/>
  <c r="G453" i="68"/>
  <c r="F454" i="68"/>
  <c r="G454" i="68"/>
  <c r="F455" i="68"/>
  <c r="G455" i="68"/>
  <c r="F456" i="68"/>
  <c r="G456" i="68"/>
  <c r="F457" i="68"/>
  <c r="G457" i="68"/>
  <c r="F458" i="68"/>
  <c r="G458" i="68"/>
  <c r="F459" i="68"/>
  <c r="G459" i="68"/>
  <c r="F460" i="68"/>
  <c r="G460" i="68"/>
  <c r="F461" i="68"/>
  <c r="G461" i="68"/>
  <c r="F462" i="68"/>
  <c r="G462" i="68"/>
  <c r="F463" i="68"/>
  <c r="G463" i="68"/>
  <c r="F464" i="68"/>
  <c r="G464" i="68"/>
  <c r="F465" i="68"/>
  <c r="G465" i="68"/>
  <c r="F466" i="68"/>
  <c r="G466" i="68"/>
  <c r="F467" i="68"/>
  <c r="G467" i="68"/>
  <c r="F468" i="68"/>
  <c r="G468" i="68"/>
  <c r="F469" i="68"/>
  <c r="G469" i="68"/>
  <c r="F470" i="68"/>
  <c r="G470" i="68"/>
  <c r="F471" i="68"/>
  <c r="G471" i="68"/>
  <c r="F472" i="68"/>
  <c r="G472" i="68"/>
  <c r="F473" i="68"/>
  <c r="G473" i="68"/>
  <c r="F474" i="68"/>
  <c r="G474" i="68"/>
  <c r="F475" i="68"/>
  <c r="G475" i="68"/>
  <c r="F476" i="68"/>
  <c r="G476" i="68"/>
  <c r="F477" i="68"/>
  <c r="G477" i="68"/>
  <c r="F478" i="68"/>
  <c r="G478" i="68"/>
  <c r="F479" i="68"/>
  <c r="G479" i="68"/>
  <c r="F480" i="68"/>
  <c r="G480" i="68"/>
  <c r="F481" i="68"/>
  <c r="G481" i="68"/>
  <c r="F482" i="68"/>
  <c r="G482" i="68"/>
  <c r="F483" i="68"/>
  <c r="G483" i="68"/>
  <c r="F484" i="68"/>
  <c r="G484" i="68"/>
  <c r="F485" i="68"/>
  <c r="G485" i="68"/>
  <c r="F486" i="68"/>
  <c r="G486" i="68"/>
  <c r="F487" i="68"/>
  <c r="G487" i="68"/>
  <c r="F488" i="68"/>
  <c r="G488" i="68"/>
  <c r="F489" i="68"/>
  <c r="G489" i="68"/>
  <c r="F490" i="68"/>
  <c r="G490" i="68"/>
  <c r="F491" i="68"/>
  <c r="G491" i="68"/>
  <c r="F492" i="68"/>
  <c r="G492" i="68"/>
  <c r="F493" i="68"/>
  <c r="G493" i="68"/>
  <c r="F494" i="68"/>
  <c r="G494" i="68"/>
  <c r="F495" i="68"/>
  <c r="G495" i="68"/>
  <c r="F496" i="68"/>
  <c r="G496" i="68"/>
  <c r="F497" i="68"/>
  <c r="G497" i="68"/>
  <c r="F498" i="68"/>
  <c r="G498" i="68"/>
  <c r="F499" i="68"/>
  <c r="G499" i="68"/>
  <c r="F500" i="68"/>
  <c r="G500" i="68"/>
  <c r="F501" i="68"/>
  <c r="G501" i="68"/>
  <c r="F502" i="68"/>
  <c r="G502" i="68"/>
  <c r="F503" i="68"/>
  <c r="G503" i="68"/>
  <c r="F504" i="68"/>
  <c r="G504" i="68"/>
  <c r="F505" i="68"/>
  <c r="G505" i="68"/>
  <c r="F506" i="68"/>
  <c r="G506" i="68"/>
  <c r="F507" i="68"/>
  <c r="G507" i="68"/>
  <c r="F508" i="68"/>
  <c r="G508" i="68"/>
  <c r="F509" i="68"/>
  <c r="G509" i="68"/>
  <c r="F510" i="68"/>
  <c r="G510" i="68"/>
  <c r="F511" i="68"/>
  <c r="G511" i="68"/>
  <c r="F512" i="68"/>
  <c r="G512" i="68"/>
  <c r="F513" i="68"/>
  <c r="G513" i="68"/>
  <c r="F514" i="68"/>
  <c r="G514" i="68"/>
  <c r="F515" i="68"/>
  <c r="G515" i="68"/>
  <c r="F516" i="68"/>
  <c r="G516" i="68"/>
  <c r="F517" i="68"/>
  <c r="G517" i="68"/>
  <c r="F518" i="68"/>
  <c r="G518" i="68"/>
  <c r="F519" i="68"/>
  <c r="G519" i="68"/>
  <c r="F520" i="68"/>
  <c r="G520" i="68"/>
  <c r="F521" i="68"/>
  <c r="G521" i="68"/>
  <c r="F522" i="68"/>
  <c r="G522" i="68"/>
  <c r="F523" i="68"/>
  <c r="G523" i="68"/>
  <c r="F524" i="68"/>
  <c r="G524" i="68"/>
  <c r="F525" i="68"/>
  <c r="G525" i="68"/>
  <c r="F526" i="68"/>
  <c r="G526" i="68"/>
  <c r="F527" i="68"/>
  <c r="G527" i="68"/>
  <c r="F528" i="68"/>
  <c r="G528" i="68"/>
  <c r="F529" i="68"/>
  <c r="G529" i="68"/>
  <c r="F530" i="68"/>
  <c r="G530" i="68"/>
  <c r="F531" i="68"/>
  <c r="G531" i="68"/>
  <c r="F532" i="68"/>
  <c r="G532" i="68"/>
  <c r="F533" i="68"/>
  <c r="G533" i="68"/>
  <c r="F534" i="68"/>
  <c r="G534" i="68"/>
  <c r="F535" i="68"/>
  <c r="G535" i="68"/>
  <c r="F536" i="68"/>
  <c r="G536" i="68"/>
  <c r="F537" i="68"/>
  <c r="G537" i="68"/>
  <c r="F538" i="68"/>
  <c r="G538" i="68"/>
  <c r="F539" i="68"/>
  <c r="G539" i="68"/>
  <c r="F540" i="68"/>
  <c r="G540" i="68"/>
  <c r="F541" i="68"/>
  <c r="G541" i="68"/>
  <c r="F542" i="68"/>
  <c r="G542" i="68"/>
  <c r="F543" i="68"/>
  <c r="G543" i="68"/>
  <c r="F544" i="68"/>
  <c r="G544" i="68"/>
  <c r="F545" i="68"/>
  <c r="G545" i="68"/>
  <c r="F546" i="68"/>
  <c r="G546" i="68"/>
  <c r="F547" i="68"/>
  <c r="G547" i="68"/>
  <c r="F548" i="68"/>
  <c r="G548" i="68"/>
  <c r="F549" i="68"/>
  <c r="G549" i="68"/>
  <c r="F550" i="68"/>
  <c r="G550" i="68"/>
  <c r="F551" i="68"/>
  <c r="G551" i="68"/>
  <c r="F552" i="68"/>
  <c r="G552" i="68"/>
  <c r="F553" i="68"/>
  <c r="G553" i="68"/>
  <c r="F554" i="68"/>
  <c r="G554" i="68"/>
  <c r="F555" i="68"/>
  <c r="G555" i="68"/>
  <c r="F556" i="68"/>
  <c r="G556" i="68"/>
  <c r="F557" i="68"/>
  <c r="G557" i="68"/>
  <c r="F558" i="68"/>
  <c r="G558" i="68"/>
  <c r="F559" i="68"/>
  <c r="G559" i="68"/>
  <c r="F560" i="68"/>
  <c r="G560" i="68"/>
  <c r="F561" i="68"/>
  <c r="G561" i="68"/>
  <c r="F562" i="68"/>
  <c r="G562" i="68"/>
  <c r="F563" i="68"/>
  <c r="G563" i="68"/>
  <c r="F564" i="68"/>
  <c r="G564" i="68"/>
  <c r="F565" i="68"/>
  <c r="G565" i="68"/>
  <c r="F566" i="68"/>
  <c r="G566" i="68"/>
  <c r="F567" i="68"/>
  <c r="G567" i="68"/>
  <c r="F568" i="68"/>
  <c r="G568" i="68"/>
  <c r="F569" i="68"/>
  <c r="G569" i="68"/>
  <c r="F570" i="68"/>
  <c r="G570" i="68"/>
  <c r="F571" i="68"/>
  <c r="G571" i="68"/>
  <c r="F572" i="68"/>
  <c r="G572" i="68"/>
  <c r="F573" i="68"/>
  <c r="G573" i="68"/>
  <c r="F574" i="68"/>
  <c r="G574" i="68"/>
  <c r="F575" i="68"/>
  <c r="G575" i="68"/>
  <c r="F576" i="68"/>
  <c r="G576" i="68"/>
  <c r="F577" i="68"/>
  <c r="G577" i="68"/>
  <c r="F578" i="68"/>
  <c r="G578" i="68"/>
  <c r="F579" i="68"/>
  <c r="G579" i="68"/>
  <c r="F580" i="68"/>
  <c r="G580" i="68"/>
  <c r="F581" i="68"/>
  <c r="G581" i="68"/>
  <c r="F582" i="68"/>
  <c r="G582" i="68"/>
  <c r="F583" i="68"/>
  <c r="G583" i="68"/>
  <c r="F584" i="68"/>
  <c r="G584" i="68"/>
  <c r="F585" i="68"/>
  <c r="G585" i="68"/>
  <c r="F586" i="68"/>
  <c r="G586" i="68"/>
  <c r="F587" i="68"/>
  <c r="G587" i="68"/>
  <c r="F588" i="68"/>
  <c r="G588" i="68"/>
  <c r="F589" i="68"/>
  <c r="G589" i="68"/>
  <c r="F590" i="68"/>
  <c r="G590" i="68"/>
  <c r="F591" i="68"/>
  <c r="G591" i="68"/>
  <c r="F592" i="68"/>
  <c r="G592" i="68"/>
  <c r="F593" i="68"/>
  <c r="G593" i="68"/>
  <c r="F594" i="68"/>
  <c r="G594" i="68"/>
  <c r="F595" i="68"/>
  <c r="G595" i="68"/>
  <c r="F596" i="68"/>
  <c r="G596" i="68"/>
  <c r="F597" i="68"/>
  <c r="G597" i="68"/>
  <c r="F598" i="68"/>
  <c r="G598" i="68"/>
  <c r="F599" i="68"/>
  <c r="G599" i="68"/>
  <c r="F600" i="68"/>
  <c r="G600" i="68"/>
  <c r="F601" i="68"/>
  <c r="G601" i="68"/>
  <c r="F602" i="68"/>
  <c r="G602" i="68"/>
  <c r="F603" i="68"/>
  <c r="G603" i="68"/>
  <c r="F604" i="68"/>
  <c r="G604" i="68"/>
  <c r="F605" i="68"/>
  <c r="G605" i="68"/>
  <c r="F606" i="68"/>
  <c r="G606" i="68"/>
  <c r="F607" i="68"/>
  <c r="G607" i="68"/>
  <c r="F608" i="68"/>
  <c r="G608" i="68"/>
  <c r="F609" i="68"/>
  <c r="G609" i="68"/>
  <c r="F610" i="68"/>
  <c r="G610" i="68"/>
  <c r="F611" i="68"/>
  <c r="G611" i="68"/>
  <c r="F612" i="68"/>
  <c r="G612" i="68"/>
  <c r="F613" i="68"/>
  <c r="G613" i="68"/>
  <c r="F614" i="68"/>
  <c r="G614" i="68"/>
  <c r="F615" i="68"/>
  <c r="G615" i="68"/>
  <c r="F616" i="68"/>
  <c r="G616" i="68"/>
  <c r="F617" i="68"/>
  <c r="G617" i="68"/>
  <c r="F618" i="68"/>
  <c r="G618" i="68"/>
  <c r="F619" i="68"/>
  <c r="G619" i="68"/>
  <c r="F620" i="68"/>
  <c r="G620" i="68"/>
  <c r="F621" i="68"/>
  <c r="G621" i="68"/>
  <c r="F622" i="68"/>
  <c r="G622" i="68"/>
  <c r="F623" i="68"/>
  <c r="G623" i="68"/>
  <c r="F624" i="68"/>
  <c r="G624" i="68"/>
  <c r="F625" i="68"/>
  <c r="G625" i="68"/>
  <c r="F626" i="68"/>
  <c r="G626" i="68"/>
  <c r="F627" i="68"/>
  <c r="G627" i="68"/>
  <c r="F628" i="68"/>
  <c r="G628" i="68"/>
  <c r="F629" i="68"/>
  <c r="G629" i="68"/>
  <c r="F630" i="68"/>
  <c r="G630" i="68"/>
  <c r="F631" i="68"/>
  <c r="G631" i="68"/>
  <c r="F632" i="68"/>
  <c r="G632" i="68"/>
  <c r="F633" i="68"/>
  <c r="G633" i="68"/>
  <c r="F634" i="68"/>
  <c r="G634" i="68"/>
  <c r="F635" i="68"/>
  <c r="G635" i="68"/>
  <c r="F636" i="68"/>
  <c r="G636" i="68"/>
  <c r="F637" i="68"/>
  <c r="G637" i="68"/>
  <c r="F638" i="68"/>
  <c r="G638" i="68"/>
  <c r="F639" i="68"/>
  <c r="G639" i="68"/>
  <c r="F640" i="68"/>
  <c r="G640" i="68"/>
  <c r="F641" i="68"/>
  <c r="G641" i="68"/>
  <c r="F642" i="68"/>
  <c r="G642" i="68"/>
  <c r="F643" i="68"/>
  <c r="G643" i="68"/>
  <c r="F644" i="68"/>
  <c r="G644" i="68"/>
  <c r="F645" i="68"/>
  <c r="G645" i="68"/>
  <c r="F646" i="68"/>
  <c r="G646" i="68"/>
  <c r="F647" i="68"/>
  <c r="G647" i="68"/>
  <c r="F648" i="68"/>
  <c r="G648" i="68"/>
  <c r="F649" i="68"/>
  <c r="G649" i="68"/>
  <c r="F650" i="68"/>
  <c r="G650" i="68"/>
  <c r="F651" i="68"/>
  <c r="G651" i="68"/>
  <c r="F652" i="68"/>
  <c r="G652" i="68"/>
  <c r="F653" i="68"/>
  <c r="G653" i="68"/>
  <c r="F654" i="68"/>
  <c r="G654" i="68"/>
  <c r="F655" i="68"/>
  <c r="G655" i="68"/>
  <c r="F656" i="68"/>
  <c r="G656" i="68"/>
  <c r="F657" i="68"/>
  <c r="G657" i="68"/>
  <c r="F658" i="68"/>
  <c r="G658" i="68"/>
  <c r="F659" i="68"/>
  <c r="G659" i="68"/>
  <c r="F660" i="68"/>
  <c r="G660" i="68"/>
  <c r="F661" i="68"/>
  <c r="G661" i="68"/>
  <c r="F662" i="68"/>
  <c r="G662" i="68"/>
  <c r="F663" i="68"/>
  <c r="G663" i="68"/>
  <c r="F664" i="68"/>
  <c r="G664" i="68"/>
  <c r="F665" i="68"/>
  <c r="G665" i="68"/>
  <c r="F666" i="68"/>
  <c r="G666" i="68"/>
  <c r="F667" i="68"/>
  <c r="G667" i="68"/>
  <c r="F668" i="68"/>
  <c r="G668" i="68"/>
  <c r="F669" i="68"/>
  <c r="G669" i="68"/>
  <c r="F670" i="68"/>
  <c r="G670" i="68"/>
  <c r="F671" i="68"/>
  <c r="G671" i="68"/>
  <c r="F672" i="68"/>
  <c r="G672" i="68"/>
  <c r="F673" i="68"/>
  <c r="G673" i="68"/>
  <c r="F674" i="68"/>
  <c r="G674" i="68"/>
  <c r="F675" i="68"/>
  <c r="G675" i="68"/>
  <c r="F676" i="68"/>
  <c r="G676" i="68"/>
  <c r="F677" i="68"/>
  <c r="G677" i="68"/>
  <c r="F678" i="68"/>
  <c r="G678" i="68"/>
  <c r="F679" i="68"/>
  <c r="G679" i="68"/>
  <c r="F680" i="68"/>
  <c r="G680" i="68"/>
  <c r="F681" i="68"/>
  <c r="G681" i="68"/>
  <c r="F682" i="68"/>
  <c r="G682" i="68"/>
  <c r="F683" i="68"/>
  <c r="G683" i="68"/>
  <c r="F684" i="68"/>
  <c r="G684" i="68"/>
  <c r="F685" i="68"/>
  <c r="G685" i="68"/>
  <c r="F686" i="68"/>
  <c r="G686" i="68"/>
  <c r="F687" i="68"/>
  <c r="G687" i="68"/>
  <c r="F688" i="68"/>
  <c r="G688" i="68"/>
  <c r="F689" i="68"/>
  <c r="G689" i="68"/>
  <c r="F690" i="68"/>
  <c r="G690" i="68"/>
  <c r="F691" i="68"/>
  <c r="G691" i="68"/>
  <c r="F692" i="68"/>
  <c r="G692" i="68"/>
  <c r="F693" i="68"/>
  <c r="G693" i="68"/>
  <c r="F694" i="68"/>
  <c r="G694" i="68"/>
  <c r="F695" i="68"/>
  <c r="G695" i="68"/>
  <c r="F696" i="68"/>
  <c r="G696" i="68"/>
  <c r="F697" i="68"/>
  <c r="G697" i="68"/>
  <c r="F698" i="68"/>
  <c r="G698" i="68"/>
  <c r="F699" i="68"/>
  <c r="G699" i="68"/>
  <c r="F700" i="68"/>
  <c r="G700" i="68"/>
  <c r="F701" i="68"/>
  <c r="G701" i="68"/>
  <c r="F702" i="68"/>
  <c r="G702" i="68"/>
  <c r="F703" i="68"/>
  <c r="G703" i="68"/>
  <c r="F704" i="68"/>
  <c r="G704" i="68"/>
  <c r="F705" i="68"/>
  <c r="G705" i="68"/>
  <c r="F706" i="68"/>
  <c r="G706" i="68"/>
  <c r="F707" i="68"/>
  <c r="G707" i="68"/>
  <c r="F708" i="68"/>
  <c r="G708" i="68"/>
  <c r="F709" i="68"/>
  <c r="G709" i="68"/>
  <c r="F710" i="68"/>
  <c r="G710" i="68"/>
  <c r="F711" i="68"/>
  <c r="G711" i="68"/>
  <c r="F712" i="68"/>
  <c r="G712" i="68"/>
  <c r="F713" i="68"/>
  <c r="G713" i="68"/>
  <c r="F714" i="68"/>
  <c r="G714" i="68"/>
  <c r="F715" i="68"/>
  <c r="G715" i="68"/>
  <c r="F716" i="68"/>
  <c r="G716" i="68"/>
  <c r="F717" i="68"/>
  <c r="G717" i="68"/>
  <c r="F718" i="68"/>
  <c r="G718" i="68"/>
  <c r="F719" i="68"/>
  <c r="G719" i="68"/>
  <c r="F720" i="68"/>
  <c r="G720" i="68"/>
  <c r="F721" i="68"/>
  <c r="G721" i="68"/>
  <c r="F722" i="68"/>
  <c r="G722" i="68"/>
  <c r="F723" i="68"/>
  <c r="G723" i="68"/>
  <c r="F724" i="68"/>
  <c r="G724" i="68"/>
  <c r="F725" i="68"/>
  <c r="G725" i="68"/>
  <c r="F726" i="68"/>
  <c r="G726" i="68"/>
  <c r="F727" i="68"/>
  <c r="G727" i="68"/>
  <c r="F728" i="68"/>
  <c r="G728" i="68"/>
  <c r="F729" i="68"/>
  <c r="G729" i="68"/>
  <c r="F730" i="68"/>
  <c r="G730" i="68"/>
  <c r="F731" i="68"/>
  <c r="G731" i="68"/>
  <c r="F732" i="68"/>
  <c r="G732" i="68"/>
  <c r="F733" i="68"/>
  <c r="G733" i="68"/>
  <c r="F734" i="68"/>
  <c r="G734" i="68"/>
  <c r="F735" i="68"/>
  <c r="G735" i="68"/>
  <c r="F736" i="68"/>
  <c r="G736" i="68"/>
  <c r="F737" i="68"/>
  <c r="G737" i="68"/>
  <c r="F738" i="68"/>
  <c r="G738" i="68"/>
  <c r="F739" i="68"/>
  <c r="G739" i="68"/>
  <c r="F740" i="68"/>
  <c r="G740" i="68"/>
  <c r="F741" i="68"/>
  <c r="G741" i="68"/>
  <c r="F742" i="68"/>
  <c r="G742" i="68"/>
  <c r="F743" i="68"/>
  <c r="G743" i="68"/>
  <c r="F744" i="68"/>
  <c r="G744" i="68"/>
  <c r="F745" i="68"/>
  <c r="G745" i="68"/>
  <c r="F746" i="68"/>
  <c r="G746" i="68"/>
  <c r="F747" i="68"/>
  <c r="G747" i="68"/>
  <c r="F748" i="68"/>
  <c r="G748" i="68"/>
  <c r="F749" i="68"/>
  <c r="G749" i="68"/>
  <c r="F750" i="68"/>
  <c r="G750" i="68"/>
  <c r="F751" i="68"/>
  <c r="G751" i="68"/>
  <c r="F752" i="68"/>
  <c r="G752" i="68"/>
  <c r="F753" i="68"/>
  <c r="G753" i="68"/>
  <c r="F754" i="68"/>
  <c r="G754" i="68"/>
  <c r="F755" i="68"/>
  <c r="G755" i="68"/>
  <c r="F756" i="68"/>
  <c r="G756" i="68"/>
  <c r="F757" i="68"/>
  <c r="G757" i="68"/>
  <c r="F758" i="68"/>
  <c r="G758" i="68"/>
  <c r="F759" i="68"/>
  <c r="G759" i="68"/>
  <c r="F760" i="68"/>
  <c r="G760" i="68"/>
  <c r="F761" i="68"/>
  <c r="G761" i="68"/>
  <c r="F762" i="68"/>
  <c r="G762" i="68"/>
  <c r="F763" i="68"/>
  <c r="G763" i="68"/>
  <c r="F764" i="68"/>
  <c r="G764" i="68"/>
  <c r="F765" i="68"/>
  <c r="G765" i="68"/>
  <c r="F766" i="68"/>
  <c r="G766" i="68"/>
  <c r="F767" i="68"/>
  <c r="G767" i="68"/>
  <c r="F768" i="68"/>
  <c r="G768" i="68"/>
  <c r="F769" i="68"/>
  <c r="G769" i="68"/>
  <c r="F770" i="68"/>
  <c r="G770" i="68"/>
  <c r="F771" i="68"/>
  <c r="G771" i="68"/>
  <c r="F772" i="68"/>
  <c r="G772" i="68"/>
  <c r="F773" i="68"/>
  <c r="G773" i="68"/>
  <c r="F774" i="68"/>
  <c r="G774" i="68"/>
  <c r="F775" i="68"/>
  <c r="G775" i="68"/>
  <c r="F776" i="68"/>
  <c r="G776" i="68"/>
  <c r="F777" i="68"/>
  <c r="G777" i="68"/>
  <c r="F778" i="68"/>
  <c r="G778" i="68"/>
  <c r="F779" i="68"/>
  <c r="G779" i="68"/>
  <c r="F780" i="68"/>
  <c r="G780" i="68"/>
  <c r="F781" i="68"/>
  <c r="G781" i="68"/>
  <c r="F782" i="68"/>
  <c r="G782" i="68"/>
  <c r="F783" i="68"/>
  <c r="G783" i="68"/>
  <c r="F784" i="68"/>
  <c r="G784" i="68"/>
  <c r="F785" i="68"/>
  <c r="G785" i="68"/>
  <c r="F786" i="68"/>
  <c r="G786" i="68"/>
  <c r="F787" i="68"/>
  <c r="G787" i="68"/>
  <c r="F788" i="68"/>
  <c r="G788" i="68"/>
  <c r="F789" i="68"/>
  <c r="G789" i="68"/>
  <c r="F790" i="68"/>
  <c r="G790" i="68"/>
  <c r="F791" i="68"/>
  <c r="G791" i="68"/>
  <c r="F792" i="68"/>
  <c r="G792" i="68"/>
  <c r="F793" i="68"/>
  <c r="G793" i="68"/>
  <c r="F794" i="68"/>
  <c r="G794" i="68"/>
  <c r="F795" i="68"/>
  <c r="G795" i="68"/>
  <c r="F796" i="68"/>
  <c r="G796" i="68"/>
  <c r="F797" i="68"/>
  <c r="G797" i="68"/>
  <c r="F798" i="68"/>
  <c r="G798" i="68"/>
  <c r="F799" i="68"/>
  <c r="G799" i="68"/>
  <c r="F800" i="68"/>
  <c r="G800" i="68"/>
  <c r="F801" i="68"/>
  <c r="G801" i="68"/>
  <c r="F802" i="68"/>
  <c r="G802" i="68"/>
  <c r="F803" i="68"/>
  <c r="G803" i="68"/>
  <c r="F804" i="68"/>
  <c r="G804" i="68"/>
  <c r="F805" i="68"/>
  <c r="G805" i="68"/>
  <c r="F806" i="68"/>
  <c r="G806" i="68"/>
  <c r="F807" i="68"/>
  <c r="G807" i="68"/>
  <c r="F808" i="68"/>
  <c r="G808" i="68"/>
  <c r="F809" i="68"/>
  <c r="G809" i="68"/>
  <c r="F810" i="68"/>
  <c r="G810" i="68"/>
  <c r="F811" i="68"/>
  <c r="G811" i="68"/>
  <c r="F812" i="68"/>
  <c r="G812" i="68"/>
  <c r="F813" i="68"/>
  <c r="G813" i="68"/>
  <c r="F814" i="68"/>
  <c r="G814" i="68"/>
  <c r="F815" i="68"/>
  <c r="G815" i="68"/>
  <c r="F816" i="68"/>
  <c r="G816" i="68"/>
  <c r="F817" i="68"/>
  <c r="G817" i="68"/>
  <c r="F818" i="68"/>
  <c r="G818" i="68"/>
  <c r="F819" i="68"/>
  <c r="G819" i="68"/>
  <c r="F820" i="68"/>
  <c r="G820" i="68"/>
  <c r="G4" i="68"/>
  <c r="F4" i="68"/>
  <c r="F5" i="64"/>
  <c r="F6" i="64"/>
  <c r="F7" i="64"/>
  <c r="F8" i="64"/>
  <c r="F9" i="64"/>
  <c r="F10" i="64"/>
  <c r="F11" i="64"/>
  <c r="F12" i="64"/>
  <c r="F13" i="64"/>
  <c r="F14" i="64"/>
  <c r="F15" i="64"/>
  <c r="F16" i="64"/>
  <c r="F17" i="64"/>
  <c r="F18" i="64"/>
  <c r="F19" i="64"/>
  <c r="F20" i="64"/>
  <c r="F21" i="64"/>
  <c r="F22" i="64"/>
  <c r="F23" i="64"/>
  <c r="F24" i="64"/>
  <c r="F25" i="64"/>
  <c r="F26" i="64"/>
  <c r="F27" i="64"/>
  <c r="F28" i="64"/>
  <c r="F29" i="64"/>
  <c r="F30" i="64"/>
  <c r="F31" i="64"/>
  <c r="F32" i="64"/>
  <c r="F33" i="64"/>
  <c r="F34" i="64"/>
  <c r="F35" i="64"/>
  <c r="F36" i="64"/>
  <c r="F37" i="64"/>
  <c r="F38" i="64"/>
  <c r="F39" i="64"/>
  <c r="F40" i="64"/>
  <c r="F41" i="64"/>
  <c r="F42" i="64"/>
  <c r="F43" i="64"/>
  <c r="F44" i="64"/>
  <c r="F45" i="64"/>
  <c r="F46" i="64"/>
  <c r="F47" i="64"/>
  <c r="F48" i="64"/>
  <c r="F49" i="64"/>
  <c r="F50" i="64"/>
  <c r="F51" i="64"/>
  <c r="F52" i="64"/>
  <c r="F53" i="64"/>
  <c r="F54" i="64"/>
  <c r="F55" i="64"/>
  <c r="F56" i="64"/>
  <c r="F57" i="64"/>
  <c r="F58" i="64"/>
  <c r="F59" i="64"/>
  <c r="F60" i="64"/>
  <c r="F61" i="64"/>
  <c r="F62" i="64"/>
  <c r="F63" i="64"/>
  <c r="F64" i="64"/>
  <c r="F65" i="64"/>
  <c r="F66" i="64"/>
  <c r="F67" i="64"/>
  <c r="F68" i="64"/>
  <c r="F69" i="64"/>
  <c r="F70" i="64"/>
  <c r="F71" i="64"/>
  <c r="F72" i="64"/>
  <c r="F73" i="64"/>
  <c r="F74" i="64"/>
  <c r="F75" i="64"/>
  <c r="F76" i="64"/>
  <c r="F77" i="64"/>
  <c r="F78" i="64"/>
  <c r="F79" i="64"/>
  <c r="F80" i="64"/>
  <c r="F81" i="64"/>
  <c r="F82" i="64"/>
  <c r="F83" i="64"/>
  <c r="F84" i="64"/>
  <c r="F85" i="64"/>
  <c r="F86" i="64"/>
  <c r="F87" i="64"/>
  <c r="F88" i="64"/>
  <c r="F89" i="64"/>
  <c r="F90" i="64"/>
  <c r="F91" i="64"/>
  <c r="F92" i="64"/>
  <c r="F93" i="64"/>
  <c r="F94" i="64"/>
  <c r="F95" i="64"/>
  <c r="F96" i="64"/>
  <c r="F97" i="64"/>
  <c r="F98" i="64"/>
  <c r="F99" i="64"/>
  <c r="F100" i="64"/>
  <c r="F101" i="64"/>
  <c r="F102" i="64"/>
  <c r="F103" i="64"/>
  <c r="F104" i="64"/>
  <c r="F105" i="64"/>
  <c r="F106" i="64"/>
  <c r="F107" i="64"/>
  <c r="F108" i="64"/>
  <c r="F109" i="64"/>
  <c r="F110" i="64"/>
  <c r="F111" i="64"/>
  <c r="F112" i="64"/>
  <c r="F113" i="64"/>
  <c r="F114" i="64"/>
  <c r="F115" i="64"/>
  <c r="F116" i="64"/>
  <c r="F117" i="64"/>
  <c r="F118" i="64"/>
  <c r="F119" i="64"/>
  <c r="F120" i="64"/>
  <c r="F121" i="64"/>
  <c r="F122" i="64"/>
  <c r="F123" i="64"/>
  <c r="F124" i="64"/>
  <c r="F125" i="64"/>
  <c r="F126" i="64"/>
  <c r="F127" i="64"/>
  <c r="F128" i="64"/>
  <c r="F129" i="64"/>
  <c r="F130" i="64"/>
  <c r="F131" i="64"/>
  <c r="F132" i="64"/>
  <c r="F133" i="64"/>
  <c r="F134" i="64"/>
  <c r="F135" i="64"/>
  <c r="F136" i="64"/>
  <c r="F137" i="64"/>
  <c r="F138" i="64"/>
  <c r="F139" i="64"/>
  <c r="F140" i="64"/>
  <c r="F141" i="64"/>
  <c r="F142" i="64"/>
  <c r="F143" i="64"/>
  <c r="F144" i="64"/>
  <c r="F145" i="64"/>
  <c r="F146" i="64"/>
  <c r="F147" i="64"/>
  <c r="F148" i="64"/>
  <c r="F149" i="64"/>
  <c r="F150" i="64"/>
  <c r="F151" i="64"/>
  <c r="F152" i="64"/>
  <c r="F153" i="64"/>
  <c r="F154" i="64"/>
  <c r="F155" i="64"/>
  <c r="F156" i="64"/>
  <c r="F157" i="64"/>
  <c r="F158" i="64"/>
  <c r="F159" i="64"/>
  <c r="F160" i="64"/>
  <c r="F161" i="64"/>
  <c r="F162" i="64"/>
  <c r="F163" i="64"/>
  <c r="F164" i="64"/>
  <c r="F165" i="64"/>
  <c r="F166" i="64"/>
  <c r="F167" i="64"/>
  <c r="F168" i="64"/>
  <c r="F169" i="64"/>
  <c r="F170" i="64"/>
  <c r="F171" i="64"/>
  <c r="F172" i="64"/>
  <c r="F173" i="64"/>
  <c r="F174" i="64"/>
  <c r="F175" i="64"/>
  <c r="F176" i="64"/>
  <c r="F177" i="64"/>
  <c r="F178" i="64"/>
  <c r="F179" i="64"/>
  <c r="F180" i="64"/>
  <c r="F181" i="64"/>
  <c r="F182" i="64"/>
  <c r="F183" i="64"/>
  <c r="F184" i="64"/>
  <c r="F185" i="64"/>
  <c r="F186" i="64"/>
  <c r="F187" i="64"/>
  <c r="F188" i="64"/>
  <c r="F189" i="64"/>
  <c r="F190" i="64"/>
  <c r="F191" i="64"/>
  <c r="F192" i="64"/>
  <c r="F193" i="64"/>
  <c r="F194" i="64"/>
  <c r="F195" i="64"/>
  <c r="F196" i="64"/>
  <c r="F197" i="64"/>
  <c r="F198" i="64"/>
  <c r="F199" i="64"/>
  <c r="F200" i="64"/>
  <c r="F201" i="64"/>
  <c r="F202" i="64"/>
  <c r="F203" i="64"/>
  <c r="F204" i="64"/>
  <c r="F205" i="64"/>
  <c r="F206" i="64"/>
  <c r="F207" i="64"/>
  <c r="F208" i="64"/>
  <c r="F209" i="64"/>
  <c r="F210" i="64"/>
  <c r="F211" i="64"/>
  <c r="F212" i="64"/>
  <c r="F213" i="64"/>
  <c r="F214" i="64"/>
  <c r="F215" i="64"/>
  <c r="F216" i="64"/>
  <c r="F217" i="64"/>
  <c r="F218" i="64"/>
  <c r="F219" i="64"/>
  <c r="F220" i="64"/>
  <c r="F221" i="64"/>
  <c r="F222" i="64"/>
  <c r="F223" i="64"/>
  <c r="F224" i="64"/>
  <c r="F225" i="64"/>
  <c r="F226" i="64"/>
  <c r="F227" i="64"/>
  <c r="F228" i="64"/>
  <c r="F229" i="64"/>
  <c r="F230" i="64"/>
  <c r="F231" i="64"/>
  <c r="F232" i="64"/>
  <c r="F233" i="64"/>
  <c r="F234" i="64"/>
  <c r="F235" i="64"/>
  <c r="F236" i="64"/>
  <c r="F237" i="64"/>
  <c r="F238" i="64"/>
  <c r="F239" i="64"/>
  <c r="F240" i="64"/>
  <c r="F241" i="64"/>
  <c r="F242" i="64"/>
  <c r="F243" i="64"/>
  <c r="F244" i="64"/>
  <c r="F245" i="64"/>
  <c r="F246" i="64"/>
  <c r="F247" i="64"/>
  <c r="F248" i="64"/>
  <c r="F249" i="64"/>
  <c r="F250" i="64"/>
  <c r="F251" i="64"/>
  <c r="F252" i="64"/>
  <c r="F253" i="64"/>
  <c r="F254" i="64"/>
  <c r="F255" i="64"/>
  <c r="F256" i="64"/>
  <c r="F257" i="64"/>
  <c r="F258" i="64"/>
  <c r="F259" i="64"/>
  <c r="F260" i="64"/>
  <c r="F4" i="64"/>
  <c r="F5" i="63"/>
  <c r="G5" i="63"/>
  <c r="F6" i="63"/>
  <c r="G6" i="63"/>
  <c r="F7" i="63"/>
  <c r="G7" i="63"/>
  <c r="F8" i="63"/>
  <c r="G8" i="63"/>
  <c r="F9" i="63"/>
  <c r="G9" i="63"/>
  <c r="F10" i="63"/>
  <c r="G10" i="63"/>
  <c r="F11" i="63"/>
  <c r="G11" i="63"/>
  <c r="F12" i="63"/>
  <c r="G12" i="63"/>
  <c r="F13" i="63"/>
  <c r="G13" i="63"/>
  <c r="F14" i="63"/>
  <c r="G14" i="63"/>
  <c r="F15" i="63"/>
  <c r="G15" i="63"/>
  <c r="F16" i="63"/>
  <c r="G16" i="63"/>
  <c r="F17" i="63"/>
  <c r="G17" i="63"/>
  <c r="F18" i="63"/>
  <c r="G18" i="63"/>
  <c r="F19" i="63"/>
  <c r="G19" i="63"/>
  <c r="F20" i="63"/>
  <c r="G20" i="63"/>
  <c r="F21" i="63"/>
  <c r="G21" i="63"/>
  <c r="F22" i="63"/>
  <c r="G22" i="63"/>
  <c r="F23" i="63"/>
  <c r="G23" i="63"/>
  <c r="F24" i="63"/>
  <c r="G24" i="63"/>
  <c r="F25" i="63"/>
  <c r="G25" i="63"/>
  <c r="F26" i="63"/>
  <c r="G26" i="63"/>
  <c r="F27" i="63"/>
  <c r="G27" i="63"/>
  <c r="F28" i="63"/>
  <c r="G28" i="63"/>
  <c r="F29" i="63"/>
  <c r="G29" i="63"/>
  <c r="F30" i="63"/>
  <c r="G30" i="63"/>
  <c r="F31" i="63"/>
  <c r="G31" i="63"/>
  <c r="F32" i="63"/>
  <c r="G32" i="63"/>
  <c r="F33" i="63"/>
  <c r="G33" i="63"/>
  <c r="F34" i="63"/>
  <c r="G34" i="63"/>
  <c r="F35" i="63"/>
  <c r="G35" i="63"/>
  <c r="F36" i="63"/>
  <c r="G36" i="63"/>
  <c r="F37" i="63"/>
  <c r="G37" i="63"/>
  <c r="F38" i="63"/>
  <c r="G38" i="63"/>
  <c r="F39" i="63"/>
  <c r="G39" i="63"/>
  <c r="F40" i="63"/>
  <c r="G40" i="63"/>
  <c r="F41" i="63"/>
  <c r="G41" i="63"/>
  <c r="F42" i="63"/>
  <c r="G42" i="63"/>
  <c r="F43" i="63"/>
  <c r="G43" i="63"/>
  <c r="F44" i="63"/>
  <c r="G44" i="63"/>
  <c r="F45" i="63"/>
  <c r="G45" i="63"/>
  <c r="F46" i="63"/>
  <c r="G46" i="63"/>
  <c r="F47" i="63"/>
  <c r="G47" i="63"/>
  <c r="F48" i="63"/>
  <c r="G48" i="63"/>
  <c r="F49" i="63"/>
  <c r="G49" i="63"/>
  <c r="F50" i="63"/>
  <c r="G50" i="63"/>
  <c r="F51" i="63"/>
  <c r="G51" i="63"/>
  <c r="F52" i="63"/>
  <c r="G52" i="63"/>
  <c r="F53" i="63"/>
  <c r="G53" i="63"/>
  <c r="F54" i="63"/>
  <c r="G54" i="63"/>
  <c r="F55" i="63"/>
  <c r="G55" i="63"/>
  <c r="F56" i="63"/>
  <c r="G56" i="63"/>
  <c r="F57" i="63"/>
  <c r="G57" i="63"/>
  <c r="F58" i="63"/>
  <c r="G58" i="63"/>
  <c r="F59" i="63"/>
  <c r="G59" i="63"/>
  <c r="F60" i="63"/>
  <c r="G60" i="63"/>
  <c r="F61" i="63"/>
  <c r="G61" i="63"/>
  <c r="F62" i="63"/>
  <c r="G62" i="63"/>
  <c r="F63" i="63"/>
  <c r="G63" i="63"/>
  <c r="F64" i="63"/>
  <c r="G64" i="63"/>
  <c r="F65" i="63"/>
  <c r="G65" i="63"/>
  <c r="F66" i="63"/>
  <c r="G66" i="63"/>
  <c r="F67" i="63"/>
  <c r="G67" i="63"/>
  <c r="F68" i="63"/>
  <c r="G68" i="63"/>
  <c r="F69" i="63"/>
  <c r="G69" i="63"/>
  <c r="F70" i="63"/>
  <c r="G70" i="63"/>
  <c r="F71" i="63"/>
  <c r="G71" i="63"/>
  <c r="F72" i="63"/>
  <c r="G72" i="63"/>
  <c r="F73" i="63"/>
  <c r="G73" i="63"/>
  <c r="F74" i="63"/>
  <c r="G74" i="63"/>
  <c r="F75" i="63"/>
  <c r="G75" i="63"/>
  <c r="F76" i="63"/>
  <c r="G76" i="63"/>
  <c r="F77" i="63"/>
  <c r="G77" i="63"/>
  <c r="F78" i="63"/>
  <c r="G78" i="63"/>
  <c r="F79" i="63"/>
  <c r="G79" i="63"/>
  <c r="F80" i="63"/>
  <c r="G80" i="63"/>
  <c r="F81" i="63"/>
  <c r="G81" i="63"/>
  <c r="F82" i="63"/>
  <c r="G82" i="63"/>
  <c r="F83" i="63"/>
  <c r="G83" i="63"/>
  <c r="F84" i="63"/>
  <c r="G84" i="63"/>
  <c r="F85" i="63"/>
  <c r="G85" i="63"/>
  <c r="F86" i="63"/>
  <c r="G86" i="63"/>
  <c r="F87" i="63"/>
  <c r="G87" i="63"/>
  <c r="F88" i="63"/>
  <c r="G88" i="63"/>
  <c r="F89" i="63"/>
  <c r="G89" i="63"/>
  <c r="F90" i="63"/>
  <c r="G90" i="63"/>
  <c r="F91" i="63"/>
  <c r="G91" i="63"/>
  <c r="F92" i="63"/>
  <c r="G92" i="63"/>
  <c r="F93" i="63"/>
  <c r="G93" i="63"/>
  <c r="F94" i="63"/>
  <c r="G94" i="63"/>
  <c r="F95" i="63"/>
  <c r="G95" i="63"/>
  <c r="F96" i="63"/>
  <c r="G96" i="63"/>
  <c r="F97" i="63"/>
  <c r="G97" i="63"/>
  <c r="F98" i="63"/>
  <c r="G98" i="63"/>
  <c r="F99" i="63"/>
  <c r="G99" i="63"/>
  <c r="F100" i="63"/>
  <c r="G100" i="63"/>
  <c r="F101" i="63"/>
  <c r="G101" i="63"/>
  <c r="F102" i="63"/>
  <c r="G102" i="63"/>
  <c r="F103" i="63"/>
  <c r="G103" i="63"/>
  <c r="F104" i="63"/>
  <c r="G104" i="63"/>
  <c r="F105" i="63"/>
  <c r="G105" i="63"/>
  <c r="G4" i="63"/>
  <c r="F4" i="63"/>
  <c r="F655" i="48"/>
  <c r="G655" i="48"/>
  <c r="F656" i="48"/>
  <c r="G656" i="48"/>
  <c r="F657" i="48"/>
  <c r="G657" i="48"/>
  <c r="F658" i="48"/>
  <c r="G658" i="48"/>
  <c r="F659" i="48"/>
  <c r="G659" i="48"/>
  <c r="F660" i="48"/>
  <c r="G660" i="48"/>
  <c r="F661" i="48"/>
  <c r="G661" i="48"/>
  <c r="F662" i="48"/>
  <c r="G662" i="48"/>
  <c r="F663" i="48"/>
  <c r="G663" i="48"/>
  <c r="F664" i="48"/>
  <c r="G664" i="48"/>
  <c r="F665" i="48"/>
  <c r="G665" i="48"/>
  <c r="F666" i="48"/>
  <c r="G666" i="48"/>
  <c r="F667" i="48"/>
  <c r="G667" i="48"/>
  <c r="F668" i="48"/>
  <c r="G668" i="48"/>
  <c r="F669" i="48"/>
  <c r="G669" i="48"/>
  <c r="F670" i="48"/>
  <c r="G670" i="48"/>
  <c r="F671" i="48"/>
  <c r="G671" i="48"/>
  <c r="F672" i="48"/>
  <c r="G672" i="48"/>
  <c r="F673" i="48"/>
  <c r="G673" i="48"/>
  <c r="F674" i="48"/>
  <c r="G674" i="48"/>
  <c r="F675" i="48"/>
  <c r="G675" i="48"/>
  <c r="F676" i="48"/>
  <c r="G676" i="48"/>
  <c r="F677" i="48"/>
  <c r="G677" i="48"/>
  <c r="F678" i="48"/>
  <c r="G678" i="48"/>
  <c r="F679" i="48"/>
  <c r="G679" i="48"/>
  <c r="F680" i="48"/>
  <c r="G680" i="48"/>
  <c r="F681" i="48"/>
  <c r="G681" i="48"/>
  <c r="F682" i="48"/>
  <c r="G682" i="48"/>
  <c r="F683" i="48"/>
  <c r="G683" i="48"/>
  <c r="F684" i="48"/>
  <c r="G684" i="48"/>
  <c r="F685" i="48"/>
  <c r="G685" i="48"/>
  <c r="F686" i="48"/>
  <c r="G686" i="48"/>
  <c r="F687" i="48"/>
  <c r="G687" i="48"/>
  <c r="F688" i="48"/>
  <c r="G688" i="48"/>
  <c r="F689" i="48"/>
  <c r="G689" i="48"/>
  <c r="F690" i="48"/>
  <c r="G690" i="48"/>
  <c r="F691" i="48"/>
  <c r="G691" i="48"/>
  <c r="F692" i="48"/>
  <c r="G692" i="48"/>
  <c r="F693" i="48"/>
  <c r="G693" i="48"/>
  <c r="F694" i="48"/>
  <c r="G694" i="48"/>
  <c r="F695" i="48"/>
  <c r="G695" i="48"/>
  <c r="F696" i="48"/>
  <c r="G696" i="48"/>
  <c r="F697" i="48"/>
  <c r="G697" i="48"/>
  <c r="F698" i="48"/>
  <c r="G698" i="48"/>
  <c r="F699" i="48"/>
  <c r="G699" i="48"/>
  <c r="F700" i="48"/>
  <c r="G700" i="48"/>
  <c r="F701" i="48"/>
  <c r="G701" i="48"/>
  <c r="F702" i="48"/>
  <c r="G702" i="48"/>
  <c r="F703" i="48"/>
  <c r="G703" i="48"/>
  <c r="F704" i="48"/>
  <c r="G704" i="48"/>
  <c r="F705" i="48"/>
  <c r="G705" i="48"/>
  <c r="F706" i="48"/>
  <c r="G706" i="48"/>
  <c r="F707" i="48"/>
  <c r="G707" i="48"/>
  <c r="F708" i="48"/>
  <c r="G708" i="48"/>
  <c r="F709" i="48"/>
  <c r="G709" i="48"/>
  <c r="F710" i="48"/>
  <c r="G710" i="48"/>
  <c r="F711" i="48"/>
  <c r="G711" i="48"/>
  <c r="F712" i="48"/>
  <c r="G712" i="48"/>
  <c r="F713" i="48"/>
  <c r="G713" i="48"/>
  <c r="F714" i="48"/>
  <c r="G714" i="48"/>
  <c r="F715" i="48"/>
  <c r="G715" i="48"/>
  <c r="F716" i="48"/>
  <c r="G716" i="48"/>
  <c r="F717" i="48"/>
  <c r="G717" i="48"/>
  <c r="F718" i="48"/>
  <c r="G718" i="48"/>
  <c r="F719" i="48"/>
  <c r="G719" i="48"/>
  <c r="F720" i="48"/>
  <c r="G720" i="48"/>
  <c r="F721" i="48"/>
  <c r="G721" i="48"/>
  <c r="F722" i="48"/>
  <c r="G722" i="48"/>
  <c r="F723" i="48"/>
  <c r="G723" i="48"/>
  <c r="F724" i="48"/>
  <c r="G724" i="48"/>
  <c r="F725" i="48"/>
  <c r="G725" i="48"/>
  <c r="F726" i="48"/>
  <c r="G726" i="48"/>
  <c r="F727" i="48"/>
  <c r="G727" i="48"/>
  <c r="F728" i="48"/>
  <c r="G728" i="48"/>
  <c r="F729" i="48"/>
  <c r="G729" i="48"/>
  <c r="F730" i="48"/>
  <c r="G730" i="48"/>
  <c r="F731" i="48"/>
  <c r="G731" i="48"/>
  <c r="F732" i="48"/>
  <c r="G732" i="48"/>
  <c r="F733" i="48"/>
  <c r="G733" i="48"/>
  <c r="F734" i="48"/>
  <c r="G734" i="48"/>
  <c r="F735" i="48"/>
  <c r="G735" i="48"/>
  <c r="F736" i="48"/>
  <c r="G736" i="48"/>
  <c r="F737" i="48"/>
  <c r="G737" i="48"/>
  <c r="F738" i="48"/>
  <c r="G738" i="48"/>
  <c r="F739" i="48"/>
  <c r="G739" i="48"/>
  <c r="F740" i="48"/>
  <c r="G740" i="48"/>
  <c r="F741" i="48"/>
  <c r="G741" i="48"/>
  <c r="F742" i="48"/>
  <c r="G742" i="48"/>
  <c r="F743" i="48"/>
  <c r="G743" i="48"/>
  <c r="F744" i="48"/>
  <c r="G744" i="48"/>
  <c r="F745" i="48"/>
  <c r="G745" i="48"/>
  <c r="F746" i="48"/>
  <c r="G746" i="48"/>
  <c r="F747" i="48"/>
  <c r="G747" i="48"/>
  <c r="F748" i="48"/>
  <c r="G748" i="48"/>
  <c r="F749" i="48"/>
  <c r="G749" i="48"/>
  <c r="F750" i="48"/>
  <c r="G750" i="48"/>
  <c r="F751" i="48"/>
  <c r="G751" i="48"/>
  <c r="F752" i="48"/>
  <c r="G752" i="48"/>
  <c r="F753" i="48"/>
  <c r="G753" i="48"/>
  <c r="F754" i="48"/>
  <c r="G754" i="48"/>
  <c r="F6" i="31"/>
  <c r="G6" i="31"/>
  <c r="G4" i="23" l="1"/>
  <c r="G4" i="56"/>
  <c r="F4" i="56"/>
  <c r="F21" i="34"/>
  <c r="G21" i="34"/>
  <c r="F22" i="34"/>
  <c r="G22" i="34"/>
  <c r="F23" i="34"/>
  <c r="G23" i="34"/>
  <c r="F24" i="34"/>
  <c r="G24" i="34"/>
  <c r="F25" i="34"/>
  <c r="G25" i="34"/>
  <c r="F26" i="34"/>
  <c r="G26" i="34"/>
  <c r="F27" i="34"/>
  <c r="G27" i="34"/>
  <c r="F28" i="34"/>
  <c r="G28" i="34"/>
  <c r="F29" i="34"/>
  <c r="G29" i="34"/>
  <c r="F30" i="34"/>
  <c r="G30" i="34"/>
  <c r="F31" i="34"/>
  <c r="G31" i="34"/>
  <c r="F32" i="34"/>
  <c r="G32" i="34"/>
  <c r="F33" i="34"/>
  <c r="G33" i="34"/>
  <c r="F34" i="34"/>
  <c r="G34" i="34"/>
  <c r="F35" i="34"/>
  <c r="G35" i="34"/>
  <c r="F36" i="34"/>
  <c r="G36" i="34"/>
  <c r="F37" i="34"/>
  <c r="G37" i="34"/>
  <c r="F38" i="34"/>
  <c r="G38" i="34"/>
  <c r="F39" i="34"/>
  <c r="G39" i="34"/>
  <c r="F40" i="34"/>
  <c r="G40" i="34"/>
  <c r="F41" i="34"/>
  <c r="G41" i="34"/>
  <c r="F42" i="34"/>
  <c r="G42" i="34"/>
  <c r="F43" i="34"/>
  <c r="G43" i="34"/>
  <c r="F44" i="34"/>
  <c r="G44" i="34"/>
  <c r="F45" i="34"/>
  <c r="G45" i="34"/>
  <c r="F560" i="48"/>
  <c r="G560" i="48"/>
  <c r="F561" i="48"/>
  <c r="G561" i="48"/>
  <c r="F562" i="48"/>
  <c r="G562" i="48"/>
  <c r="F563" i="48"/>
  <c r="G563" i="48"/>
  <c r="F564" i="48"/>
  <c r="G564" i="48"/>
  <c r="F565" i="48"/>
  <c r="G565" i="48"/>
  <c r="F566" i="48"/>
  <c r="G566" i="48"/>
  <c r="F567" i="48"/>
  <c r="G567" i="48"/>
  <c r="F568" i="48"/>
  <c r="G568" i="48"/>
  <c r="F569" i="48"/>
  <c r="G569" i="48"/>
  <c r="F570" i="48"/>
  <c r="G570" i="48"/>
  <c r="F571" i="48"/>
  <c r="G571" i="48"/>
  <c r="F572" i="48"/>
  <c r="G572" i="48"/>
  <c r="F573" i="48"/>
  <c r="G573" i="48"/>
  <c r="F574" i="48"/>
  <c r="G574" i="48"/>
  <c r="F575" i="48"/>
  <c r="G575" i="48"/>
  <c r="F576" i="48"/>
  <c r="G576" i="48"/>
  <c r="F577" i="48"/>
  <c r="G577" i="48"/>
  <c r="F578" i="48"/>
  <c r="G578" i="48"/>
  <c r="F579" i="48"/>
  <c r="G579" i="48"/>
  <c r="F580" i="48"/>
  <c r="G580" i="48"/>
  <c r="F581" i="48"/>
  <c r="G581" i="48"/>
  <c r="F582" i="48"/>
  <c r="G582" i="48"/>
  <c r="F583" i="48"/>
  <c r="G583" i="48"/>
  <c r="F584" i="48"/>
  <c r="G584" i="48"/>
  <c r="F585" i="48"/>
  <c r="G585" i="48"/>
  <c r="F586" i="48"/>
  <c r="G586" i="48"/>
  <c r="F587" i="48"/>
  <c r="G587" i="48"/>
  <c r="F588" i="48"/>
  <c r="G588" i="48"/>
  <c r="F589" i="48"/>
  <c r="G589" i="48"/>
  <c r="F590" i="48"/>
  <c r="G590" i="48"/>
  <c r="F591" i="48"/>
  <c r="G591" i="48"/>
  <c r="F592" i="48"/>
  <c r="G592" i="48"/>
  <c r="F593" i="48"/>
  <c r="G593" i="48"/>
  <c r="F594" i="48"/>
  <c r="G594" i="48"/>
  <c r="F595" i="48"/>
  <c r="G595" i="48"/>
  <c r="F596" i="48"/>
  <c r="G596" i="48"/>
  <c r="F597" i="48"/>
  <c r="G597" i="48"/>
  <c r="F598" i="48"/>
  <c r="G598" i="48"/>
  <c r="F599" i="48"/>
  <c r="G599" i="48"/>
  <c r="F600" i="48"/>
  <c r="G600" i="48"/>
  <c r="F601" i="48"/>
  <c r="G601" i="48"/>
  <c r="F602" i="48"/>
  <c r="G602" i="48"/>
  <c r="F603" i="48"/>
  <c r="G603" i="48"/>
  <c r="F604" i="48"/>
  <c r="G604" i="48"/>
  <c r="F605" i="48"/>
  <c r="G605" i="48"/>
  <c r="F606" i="48"/>
  <c r="G606" i="48"/>
  <c r="F607" i="48"/>
  <c r="G607" i="48"/>
  <c r="F608" i="48"/>
  <c r="G608" i="48"/>
  <c r="F609" i="48"/>
  <c r="G609" i="48"/>
  <c r="F610" i="48"/>
  <c r="G610" i="48"/>
  <c r="F611" i="48"/>
  <c r="G611" i="48"/>
  <c r="F612" i="48"/>
  <c r="G612" i="48"/>
  <c r="F613" i="48"/>
  <c r="G613" i="48"/>
  <c r="F614" i="48"/>
  <c r="G614" i="48"/>
  <c r="F615" i="48"/>
  <c r="G615" i="48"/>
  <c r="F616" i="48"/>
  <c r="G616" i="48"/>
  <c r="F617" i="48"/>
  <c r="G617" i="48"/>
  <c r="F618" i="48"/>
  <c r="G618" i="48"/>
  <c r="F619" i="48"/>
  <c r="G619" i="48"/>
  <c r="F620" i="48"/>
  <c r="G620" i="48"/>
  <c r="F621" i="48"/>
  <c r="G621" i="48"/>
  <c r="F622" i="48"/>
  <c r="G622" i="48"/>
  <c r="F623" i="48"/>
  <c r="G623" i="48"/>
  <c r="F624" i="48"/>
  <c r="G624" i="48"/>
  <c r="F625" i="48"/>
  <c r="G625" i="48"/>
  <c r="F626" i="48"/>
  <c r="G626" i="48"/>
  <c r="F627" i="48"/>
  <c r="G627" i="48"/>
  <c r="F628" i="48"/>
  <c r="G628" i="48"/>
  <c r="F629" i="48"/>
  <c r="G629" i="48"/>
  <c r="F630" i="48"/>
  <c r="G630" i="48"/>
  <c r="F631" i="48"/>
  <c r="G631" i="48"/>
  <c r="F632" i="48"/>
  <c r="G632" i="48"/>
  <c r="F633" i="48"/>
  <c r="G633" i="48"/>
  <c r="F634" i="48"/>
  <c r="G634" i="48"/>
  <c r="F635" i="48"/>
  <c r="G635" i="48"/>
  <c r="F636" i="48"/>
  <c r="G636" i="48"/>
  <c r="F637" i="48"/>
  <c r="G637" i="48"/>
  <c r="F638" i="48"/>
  <c r="G638" i="48"/>
  <c r="F639" i="48"/>
  <c r="G639" i="48"/>
  <c r="F640" i="48"/>
  <c r="G640" i="48"/>
  <c r="F641" i="48"/>
  <c r="G641" i="48"/>
  <c r="F642" i="48"/>
  <c r="G642" i="48"/>
  <c r="F643" i="48"/>
  <c r="G643" i="48"/>
  <c r="F644" i="48"/>
  <c r="G644" i="48"/>
  <c r="F645" i="48"/>
  <c r="G645" i="48"/>
  <c r="F646" i="48"/>
  <c r="G646" i="48"/>
  <c r="F647" i="48"/>
  <c r="G647" i="48"/>
  <c r="F648" i="48"/>
  <c r="G648" i="48"/>
  <c r="F649" i="48"/>
  <c r="G649" i="48"/>
  <c r="F650" i="48"/>
  <c r="G650" i="48"/>
  <c r="F651" i="48"/>
  <c r="G651" i="48"/>
  <c r="F652" i="48"/>
  <c r="G652" i="48"/>
  <c r="F653" i="48"/>
  <c r="G653" i="48"/>
  <c r="F654" i="48"/>
  <c r="G654" i="48"/>
  <c r="I4" i="41" l="1"/>
  <c r="I5" i="41"/>
  <c r="I6" i="41"/>
  <c r="I7" i="41"/>
  <c r="I8" i="41"/>
  <c r="I9" i="41"/>
  <c r="I10" i="41"/>
  <c r="I11" i="41"/>
  <c r="I12" i="41"/>
  <c r="I13" i="41"/>
  <c r="I14" i="41"/>
  <c r="I15" i="41"/>
  <c r="I16" i="41"/>
  <c r="I17" i="41"/>
  <c r="H4" i="41"/>
  <c r="H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G4" i="41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H4" i="40" l="1"/>
  <c r="G4" i="40"/>
  <c r="F4" i="40"/>
  <c r="G4" i="52" l="1"/>
  <c r="F4" i="52"/>
  <c r="G4" i="50"/>
  <c r="F4" i="50"/>
  <c r="G5" i="42"/>
  <c r="G6" i="42"/>
  <c r="G7" i="42"/>
  <c r="G8" i="42"/>
  <c r="G9" i="42"/>
  <c r="G10" i="42"/>
  <c r="G11" i="42"/>
  <c r="F5" i="42"/>
  <c r="F6" i="42"/>
  <c r="F7" i="42"/>
  <c r="F8" i="42"/>
  <c r="F9" i="42"/>
  <c r="F10" i="42"/>
  <c r="F11" i="42"/>
  <c r="F4" i="23"/>
  <c r="F4" i="47"/>
  <c r="F5" i="47"/>
  <c r="F6" i="47"/>
  <c r="F7" i="47"/>
  <c r="F8" i="47"/>
  <c r="F9" i="47"/>
  <c r="F10" i="47"/>
  <c r="F11" i="47"/>
  <c r="F12" i="47"/>
  <c r="G5" i="31" l="1"/>
  <c r="F5" i="31"/>
  <c r="G4" i="31"/>
  <c r="F4" i="31"/>
  <c r="F4" i="42" l="1"/>
  <c r="G4" i="42"/>
  <c r="G443" i="48"/>
  <c r="G444" i="48"/>
  <c r="G445" i="48"/>
  <c r="G446" i="48"/>
  <c r="G447" i="48"/>
  <c r="G448" i="48"/>
  <c r="G449" i="48"/>
  <c r="G450" i="48"/>
  <c r="G451" i="48"/>
  <c r="G452" i="48"/>
  <c r="G453" i="48"/>
  <c r="G454" i="48"/>
  <c r="G455" i="48"/>
  <c r="G456" i="48"/>
  <c r="G457" i="48"/>
  <c r="G458" i="48"/>
  <c r="G459" i="48"/>
  <c r="G460" i="48"/>
  <c r="G461" i="48"/>
  <c r="G462" i="48"/>
  <c r="G463" i="48"/>
  <c r="G464" i="48"/>
  <c r="G465" i="48"/>
  <c r="G466" i="48"/>
  <c r="G467" i="48"/>
  <c r="G468" i="48"/>
  <c r="G469" i="48"/>
  <c r="G470" i="48"/>
  <c r="G471" i="48"/>
  <c r="G472" i="48"/>
  <c r="G473" i="48"/>
  <c r="G474" i="48"/>
  <c r="G475" i="48"/>
  <c r="G476" i="48"/>
  <c r="G477" i="48"/>
  <c r="G478" i="48"/>
  <c r="G479" i="48"/>
  <c r="G480" i="48"/>
  <c r="G481" i="48"/>
  <c r="G482" i="48"/>
  <c r="G483" i="48"/>
  <c r="G484" i="48"/>
  <c r="G485" i="48"/>
  <c r="G486" i="48"/>
  <c r="G487" i="48"/>
  <c r="G488" i="48"/>
  <c r="G489" i="48"/>
  <c r="G490" i="48"/>
  <c r="G491" i="48"/>
  <c r="G492" i="48"/>
  <c r="G493" i="48"/>
  <c r="G494" i="48"/>
  <c r="G495" i="48"/>
  <c r="G496" i="48"/>
  <c r="G497" i="48"/>
  <c r="G498" i="48"/>
  <c r="G499" i="48"/>
  <c r="G500" i="48"/>
  <c r="G501" i="48"/>
  <c r="G502" i="48"/>
  <c r="G503" i="48"/>
  <c r="G504" i="48"/>
  <c r="G505" i="48"/>
  <c r="G506" i="48"/>
  <c r="G507" i="48"/>
  <c r="G508" i="48"/>
  <c r="G509" i="48"/>
  <c r="G510" i="48"/>
  <c r="G511" i="48"/>
  <c r="G512" i="48"/>
  <c r="G513" i="48"/>
  <c r="G514" i="48"/>
  <c r="G515" i="48"/>
  <c r="G516" i="48"/>
  <c r="G517" i="48"/>
  <c r="G518" i="48"/>
  <c r="G519" i="48"/>
  <c r="G520" i="48"/>
  <c r="G521" i="48"/>
  <c r="G522" i="48"/>
  <c r="G523" i="48"/>
  <c r="G524" i="48"/>
  <c r="G525" i="48"/>
  <c r="G526" i="48"/>
  <c r="G527" i="48"/>
  <c r="G528" i="48"/>
  <c r="G529" i="48"/>
  <c r="G530" i="48"/>
  <c r="G531" i="48"/>
  <c r="G532" i="48"/>
  <c r="G533" i="48"/>
  <c r="G534" i="48"/>
  <c r="G535" i="48"/>
  <c r="G536" i="48"/>
  <c r="G537" i="48"/>
  <c r="G538" i="48"/>
  <c r="G539" i="48"/>
  <c r="G540" i="48"/>
  <c r="G541" i="48"/>
  <c r="G542" i="48"/>
  <c r="G543" i="48"/>
  <c r="G544" i="48"/>
  <c r="G545" i="48"/>
  <c r="G546" i="48"/>
  <c r="G547" i="48"/>
  <c r="G548" i="48"/>
  <c r="G549" i="48"/>
  <c r="G550" i="48"/>
  <c r="G551" i="48"/>
  <c r="G552" i="48"/>
  <c r="G553" i="48"/>
  <c r="G554" i="48"/>
  <c r="G555" i="48"/>
  <c r="G556" i="48"/>
  <c r="G557" i="48"/>
  <c r="G558" i="48"/>
  <c r="G559" i="48"/>
  <c r="F443" i="48"/>
  <c r="F444" i="48"/>
  <c r="F445" i="48"/>
  <c r="F446" i="48"/>
  <c r="F447" i="48"/>
  <c r="F448" i="48"/>
  <c r="F449" i="48"/>
  <c r="F450" i="48"/>
  <c r="F451" i="48"/>
  <c r="F452" i="48"/>
  <c r="F453" i="48"/>
  <c r="F454" i="48"/>
  <c r="F455" i="48"/>
  <c r="F456" i="48"/>
  <c r="F457" i="48"/>
  <c r="F458" i="48"/>
  <c r="F459" i="48"/>
  <c r="F460" i="48"/>
  <c r="F461" i="48"/>
  <c r="F462" i="48"/>
  <c r="F463" i="48"/>
  <c r="F464" i="48"/>
  <c r="F465" i="48"/>
  <c r="F466" i="48"/>
  <c r="F467" i="48"/>
  <c r="F468" i="48"/>
  <c r="F469" i="48"/>
  <c r="F470" i="48"/>
  <c r="F471" i="48"/>
  <c r="F472" i="48"/>
  <c r="F473" i="48"/>
  <c r="F474" i="48"/>
  <c r="F475" i="48"/>
  <c r="F476" i="48"/>
  <c r="F477" i="48"/>
  <c r="F478" i="48"/>
  <c r="F479" i="48"/>
  <c r="F480" i="48"/>
  <c r="F481" i="48"/>
  <c r="F482" i="48"/>
  <c r="F483" i="48"/>
  <c r="F484" i="48"/>
  <c r="F485" i="48"/>
  <c r="F486" i="48"/>
  <c r="F487" i="48"/>
  <c r="F488" i="48"/>
  <c r="F489" i="48"/>
  <c r="F490" i="48"/>
  <c r="F491" i="48"/>
  <c r="F492" i="48"/>
  <c r="F493" i="48"/>
  <c r="F494" i="48"/>
  <c r="F495" i="48"/>
  <c r="F496" i="48"/>
  <c r="F497" i="48"/>
  <c r="F498" i="48"/>
  <c r="F499" i="48"/>
  <c r="F500" i="48"/>
  <c r="F501" i="48"/>
  <c r="F502" i="48"/>
  <c r="F503" i="48"/>
  <c r="F504" i="48"/>
  <c r="F505" i="48"/>
  <c r="F506" i="48"/>
  <c r="F507" i="48"/>
  <c r="F508" i="48"/>
  <c r="F509" i="48"/>
  <c r="F510" i="48"/>
  <c r="F511" i="48"/>
  <c r="F512" i="48"/>
  <c r="F513" i="48"/>
  <c r="F514" i="48"/>
  <c r="F515" i="48"/>
  <c r="F516" i="48"/>
  <c r="F517" i="48"/>
  <c r="F518" i="48"/>
  <c r="F519" i="48"/>
  <c r="F520" i="48"/>
  <c r="F521" i="48"/>
  <c r="F522" i="48"/>
  <c r="F523" i="48"/>
  <c r="F524" i="48"/>
  <c r="F525" i="48"/>
  <c r="F526" i="48"/>
  <c r="F527" i="48"/>
  <c r="F528" i="48"/>
  <c r="F529" i="48"/>
  <c r="F530" i="48"/>
  <c r="F531" i="48"/>
  <c r="F532" i="48"/>
  <c r="F533" i="48"/>
  <c r="F534" i="48"/>
  <c r="F535" i="48"/>
  <c r="F536" i="48"/>
  <c r="F537" i="48"/>
  <c r="F538" i="48"/>
  <c r="F539" i="48"/>
  <c r="F540" i="48"/>
  <c r="F541" i="48"/>
  <c r="F542" i="48"/>
  <c r="F543" i="48"/>
  <c r="F544" i="48"/>
  <c r="F545" i="48"/>
  <c r="F546" i="48"/>
  <c r="F547" i="48"/>
  <c r="F548" i="48"/>
  <c r="F549" i="48"/>
  <c r="F550" i="48"/>
  <c r="F551" i="48"/>
  <c r="F552" i="48"/>
  <c r="F553" i="48"/>
  <c r="F554" i="48"/>
  <c r="F555" i="48"/>
  <c r="F556" i="48"/>
  <c r="F557" i="48"/>
  <c r="F558" i="48"/>
  <c r="F559" i="48"/>
  <c r="G442" i="48"/>
  <c r="F442" i="48"/>
  <c r="G441" i="48"/>
  <c r="F441" i="48"/>
  <c r="G440" i="48"/>
  <c r="F440" i="48"/>
  <c r="G439" i="48"/>
  <c r="F439" i="48"/>
  <c r="G438" i="48"/>
  <c r="F438" i="48"/>
  <c r="G437" i="48"/>
  <c r="F437" i="48"/>
  <c r="G436" i="48"/>
  <c r="F436" i="48"/>
  <c r="G435" i="48"/>
  <c r="F435" i="48"/>
  <c r="G434" i="48"/>
  <c r="F434" i="48"/>
  <c r="G433" i="48"/>
  <c r="F433" i="48"/>
  <c r="G432" i="48"/>
  <c r="F432" i="48"/>
  <c r="G431" i="48"/>
  <c r="F431" i="48"/>
  <c r="G430" i="48"/>
  <c r="F430" i="48"/>
  <c r="G429" i="48"/>
  <c r="F429" i="48"/>
  <c r="G428" i="48"/>
  <c r="F428" i="48"/>
  <c r="G427" i="48"/>
  <c r="F427" i="48"/>
  <c r="G426" i="48"/>
  <c r="F426" i="48"/>
  <c r="G425" i="48"/>
  <c r="F425" i="48"/>
  <c r="G424" i="48"/>
  <c r="F424" i="48"/>
  <c r="G423" i="48"/>
  <c r="F423" i="48"/>
  <c r="G422" i="48"/>
  <c r="F422" i="48"/>
  <c r="G421" i="48"/>
  <c r="F421" i="48"/>
  <c r="G420" i="48"/>
  <c r="F420" i="48"/>
  <c r="G419" i="48"/>
  <c r="F419" i="48"/>
  <c r="G418" i="48"/>
  <c r="F418" i="48"/>
  <c r="G417" i="48"/>
  <c r="F417" i="48"/>
  <c r="G416" i="48"/>
  <c r="F416" i="48"/>
  <c r="G415" i="48"/>
  <c r="F415" i="48"/>
  <c r="G414" i="48"/>
  <c r="F414" i="48"/>
  <c r="G413" i="48"/>
  <c r="F413" i="48"/>
  <c r="G412" i="48"/>
  <c r="F412" i="48"/>
  <c r="G411" i="48"/>
  <c r="F411" i="48"/>
  <c r="G410" i="48"/>
  <c r="F410" i="48"/>
  <c r="G409" i="48"/>
  <c r="F409" i="48"/>
  <c r="G408" i="48"/>
  <c r="F408" i="48"/>
  <c r="G407" i="48"/>
  <c r="F407" i="48"/>
  <c r="G406" i="48"/>
  <c r="F406" i="48"/>
  <c r="G405" i="48"/>
  <c r="F405" i="48"/>
  <c r="G404" i="48"/>
  <c r="F404" i="48"/>
  <c r="G403" i="48"/>
  <c r="F403" i="48"/>
  <c r="G402" i="48"/>
  <c r="F402" i="48"/>
  <c r="G401" i="48"/>
  <c r="F401" i="48"/>
  <c r="G400" i="48"/>
  <c r="F400" i="48"/>
  <c r="G399" i="48"/>
  <c r="F399" i="48"/>
  <c r="G398" i="48"/>
  <c r="F398" i="48"/>
  <c r="G397" i="48"/>
  <c r="F397" i="48"/>
  <c r="G396" i="48"/>
  <c r="F396" i="48"/>
  <c r="G395" i="48"/>
  <c r="F395" i="48"/>
  <c r="G394" i="48"/>
  <c r="F394" i="48"/>
  <c r="G393" i="48"/>
  <c r="F393" i="48"/>
  <c r="G392" i="48"/>
  <c r="F392" i="48"/>
  <c r="G391" i="48"/>
  <c r="F391" i="48"/>
  <c r="G390" i="48"/>
  <c r="F390" i="48"/>
  <c r="G389" i="48"/>
  <c r="F389" i="48"/>
  <c r="G388" i="48"/>
  <c r="F388" i="48"/>
  <c r="G387" i="48"/>
  <c r="F387" i="48"/>
  <c r="G386" i="48"/>
  <c r="F386" i="48"/>
  <c r="G385" i="48"/>
  <c r="F385" i="48"/>
  <c r="G384" i="48"/>
  <c r="F384" i="48"/>
  <c r="G383" i="48"/>
  <c r="F383" i="48"/>
  <c r="G382" i="48"/>
  <c r="F382" i="48"/>
  <c r="G381" i="48"/>
  <c r="F381" i="48"/>
  <c r="G380" i="48"/>
  <c r="F380" i="48"/>
  <c r="G379" i="48"/>
  <c r="F379" i="48"/>
  <c r="G378" i="48"/>
  <c r="F378" i="48"/>
  <c r="G377" i="48"/>
  <c r="F377" i="48"/>
  <c r="G376" i="48"/>
  <c r="F376" i="48"/>
  <c r="G375" i="48"/>
  <c r="F375" i="48"/>
  <c r="G374" i="48"/>
  <c r="F374" i="48"/>
  <c r="G373" i="48"/>
  <c r="F373" i="48"/>
  <c r="G372" i="48"/>
  <c r="F372" i="48"/>
  <c r="G371" i="48"/>
  <c r="F371" i="48"/>
  <c r="G370" i="48"/>
  <c r="F370" i="48"/>
  <c r="G369" i="48"/>
  <c r="F369" i="48"/>
  <c r="G368" i="48"/>
  <c r="F368" i="48"/>
  <c r="G367" i="48"/>
  <c r="F367" i="48"/>
  <c r="G366" i="48"/>
  <c r="F366" i="48"/>
  <c r="G365" i="48"/>
  <c r="F365" i="48"/>
  <c r="G364" i="48"/>
  <c r="F364" i="48"/>
  <c r="G363" i="48"/>
  <c r="F363" i="48"/>
  <c r="G362" i="48"/>
  <c r="F362" i="48"/>
  <c r="G361" i="48"/>
  <c r="F361" i="48"/>
  <c r="G360" i="48"/>
  <c r="F360" i="48"/>
  <c r="G359" i="48"/>
  <c r="F359" i="48"/>
  <c r="G358" i="48"/>
  <c r="F358" i="48"/>
  <c r="G357" i="48"/>
  <c r="F357" i="48"/>
  <c r="G356" i="48"/>
  <c r="F356" i="48"/>
  <c r="G355" i="48"/>
  <c r="F355" i="48"/>
  <c r="G354" i="48"/>
  <c r="F354" i="48"/>
  <c r="G353" i="48"/>
  <c r="F353" i="48"/>
  <c r="G352" i="48"/>
  <c r="F352" i="48"/>
  <c r="G351" i="48"/>
  <c r="F351" i="48"/>
  <c r="G350" i="48"/>
  <c r="F350" i="48"/>
  <c r="G349" i="48"/>
  <c r="F349" i="48"/>
  <c r="G348" i="48"/>
  <c r="F348" i="48"/>
  <c r="G347" i="48"/>
  <c r="F347" i="48"/>
  <c r="G346" i="48"/>
  <c r="F346" i="48"/>
  <c r="G345" i="48"/>
  <c r="F345" i="48"/>
  <c r="G344" i="48"/>
  <c r="F344" i="48"/>
  <c r="G343" i="48"/>
  <c r="F343" i="48"/>
  <c r="G342" i="48"/>
  <c r="F342" i="48"/>
  <c r="G341" i="48"/>
  <c r="F341" i="48"/>
  <c r="G340" i="48"/>
  <c r="F340" i="48"/>
  <c r="G339" i="48"/>
  <c r="F339" i="48"/>
  <c r="G338" i="48"/>
  <c r="F338" i="48"/>
  <c r="G337" i="48"/>
  <c r="F337" i="48"/>
  <c r="G336" i="48"/>
  <c r="F336" i="48"/>
  <c r="G335" i="48"/>
  <c r="F335" i="48"/>
  <c r="G334" i="48"/>
  <c r="F334" i="48"/>
  <c r="G333" i="48"/>
  <c r="F333" i="48"/>
  <c r="G332" i="48"/>
  <c r="F332" i="48"/>
  <c r="G331" i="48"/>
  <c r="F331" i="48"/>
  <c r="G330" i="48"/>
  <c r="F330" i="48"/>
  <c r="G329" i="48"/>
  <c r="F329" i="48"/>
  <c r="G328" i="48"/>
  <c r="F328" i="48"/>
  <c r="G327" i="48"/>
  <c r="F327" i="48"/>
  <c r="G326" i="48"/>
  <c r="F326" i="48"/>
  <c r="G325" i="48"/>
  <c r="F325" i="48"/>
  <c r="G324" i="48"/>
  <c r="F324" i="48"/>
  <c r="G323" i="48"/>
  <c r="F323" i="48"/>
  <c r="G322" i="48"/>
  <c r="F322" i="48"/>
  <c r="G321" i="48"/>
  <c r="F321" i="48"/>
  <c r="G320" i="48"/>
  <c r="F320" i="48"/>
  <c r="G319" i="48"/>
  <c r="F319" i="48"/>
  <c r="G318" i="48"/>
  <c r="F318" i="48"/>
  <c r="G317" i="48"/>
  <c r="F317" i="48"/>
  <c r="G316" i="48"/>
  <c r="F316" i="48"/>
  <c r="G315" i="48"/>
  <c r="F315" i="48"/>
  <c r="G314" i="48"/>
  <c r="F314" i="48"/>
  <c r="G313" i="48"/>
  <c r="F313" i="48"/>
  <c r="G312" i="48"/>
  <c r="F312" i="48"/>
  <c r="G311" i="48"/>
  <c r="F311" i="48"/>
  <c r="G310" i="48"/>
  <c r="F310" i="48"/>
  <c r="G309" i="48"/>
  <c r="F309" i="48"/>
  <c r="G308" i="48"/>
  <c r="F308" i="48"/>
  <c r="G307" i="48"/>
  <c r="F307" i="48"/>
  <c r="G306" i="48"/>
  <c r="F306" i="48"/>
  <c r="G305" i="48"/>
  <c r="F305" i="48"/>
  <c r="G304" i="48"/>
  <c r="F304" i="48"/>
  <c r="G303" i="48"/>
  <c r="F303" i="48"/>
  <c r="G302" i="48"/>
  <c r="F302" i="48"/>
  <c r="G301" i="48"/>
  <c r="F301" i="48"/>
  <c r="G300" i="48"/>
  <c r="F300" i="48"/>
  <c r="G299" i="48"/>
  <c r="F299" i="48"/>
  <c r="G298" i="48"/>
  <c r="F298" i="48"/>
  <c r="G297" i="48"/>
  <c r="F297" i="48"/>
  <c r="G296" i="48"/>
  <c r="F296" i="48"/>
  <c r="G295" i="48"/>
  <c r="F295" i="48"/>
  <c r="G294" i="48"/>
  <c r="F294" i="48"/>
  <c r="G293" i="48"/>
  <c r="F293" i="48"/>
  <c r="G292" i="48"/>
  <c r="F292" i="48"/>
  <c r="G291" i="48"/>
  <c r="F291" i="48"/>
  <c r="G290" i="48"/>
  <c r="F290" i="48"/>
  <c r="G289" i="48"/>
  <c r="F289" i="48"/>
  <c r="G288" i="48"/>
  <c r="F288" i="48"/>
  <c r="G287" i="48"/>
  <c r="F287" i="48"/>
  <c r="G286" i="48"/>
  <c r="F286" i="48"/>
  <c r="G285" i="48"/>
  <c r="F285" i="48"/>
  <c r="G284" i="48"/>
  <c r="F284" i="48"/>
  <c r="G283" i="48"/>
  <c r="F283" i="48"/>
  <c r="G282" i="48"/>
  <c r="F282" i="48"/>
  <c r="G281" i="48"/>
  <c r="F281" i="48"/>
  <c r="G280" i="48"/>
  <c r="F280" i="48"/>
  <c r="G279" i="48"/>
  <c r="F279" i="48"/>
  <c r="G278" i="48"/>
  <c r="F278" i="48"/>
  <c r="G277" i="48"/>
  <c r="F277" i="48"/>
  <c r="G276" i="48"/>
  <c r="F276" i="48"/>
  <c r="G275" i="48"/>
  <c r="F275" i="48"/>
  <c r="G274" i="48"/>
  <c r="F274" i="48"/>
  <c r="G273" i="48"/>
  <c r="F273" i="48"/>
  <c r="G272" i="48"/>
  <c r="F272" i="48"/>
  <c r="G271" i="48"/>
  <c r="F271" i="48"/>
  <c r="G270" i="48"/>
  <c r="F270" i="48"/>
  <c r="G269" i="48"/>
  <c r="F269" i="48"/>
  <c r="G268" i="48"/>
  <c r="F268" i="48"/>
  <c r="G267" i="48"/>
  <c r="F267" i="48"/>
  <c r="G266" i="48"/>
  <c r="F266" i="48"/>
  <c r="G265" i="48"/>
  <c r="F265" i="48"/>
  <c r="G264" i="48"/>
  <c r="F264" i="48"/>
  <c r="G263" i="48"/>
  <c r="F263" i="48"/>
  <c r="G262" i="48"/>
  <c r="F262" i="48"/>
  <c r="G261" i="48"/>
  <c r="F261" i="48"/>
  <c r="G260" i="48"/>
  <c r="F260" i="48"/>
  <c r="G259" i="48"/>
  <c r="F259" i="48"/>
  <c r="G258" i="48"/>
  <c r="F258" i="48"/>
  <c r="G257" i="48"/>
  <c r="F257" i="48"/>
  <c r="G256" i="48"/>
  <c r="F256" i="48"/>
  <c r="G255" i="48"/>
  <c r="F255" i="48"/>
  <c r="G254" i="48"/>
  <c r="F254" i="48"/>
  <c r="G253" i="48"/>
  <c r="F253" i="48"/>
  <c r="G252" i="48"/>
  <c r="F252" i="48"/>
  <c r="G251" i="48"/>
  <c r="F251" i="48"/>
  <c r="G250" i="48"/>
  <c r="F250" i="48"/>
  <c r="G249" i="48"/>
  <c r="F249" i="48"/>
  <c r="G248" i="48"/>
  <c r="F248" i="48"/>
  <c r="G247" i="48"/>
  <c r="F247" i="48"/>
  <c r="G246" i="48"/>
  <c r="F246" i="48"/>
  <c r="G245" i="48"/>
  <c r="F245" i="48"/>
  <c r="G244" i="48"/>
  <c r="F244" i="48"/>
  <c r="G243" i="48"/>
  <c r="F243" i="48"/>
  <c r="G242" i="48"/>
  <c r="F242" i="48"/>
  <c r="G241" i="48"/>
  <c r="F241" i="48"/>
  <c r="G240" i="48"/>
  <c r="F240" i="48"/>
  <c r="G239" i="48"/>
  <c r="F239" i="48"/>
  <c r="G238" i="48"/>
  <c r="F238" i="48"/>
  <c r="G237" i="48"/>
  <c r="F237" i="48"/>
  <c r="G236" i="48"/>
  <c r="F236" i="48"/>
  <c r="G235" i="48"/>
  <c r="F235" i="48"/>
  <c r="G234" i="48"/>
  <c r="F234" i="48"/>
  <c r="G233" i="48"/>
  <c r="F233" i="48"/>
  <c r="G232" i="48"/>
  <c r="F232" i="48"/>
  <c r="G231" i="48"/>
  <c r="F231" i="48"/>
  <c r="G230" i="48"/>
  <c r="F230" i="48"/>
  <c r="G229" i="48"/>
  <c r="F229" i="48"/>
  <c r="G228" i="48"/>
  <c r="F228" i="48"/>
  <c r="G227" i="48"/>
  <c r="F227" i="48"/>
  <c r="G226" i="48"/>
  <c r="F226" i="48"/>
  <c r="G225" i="48"/>
  <c r="F225" i="48"/>
  <c r="G224" i="48"/>
  <c r="F224" i="48"/>
  <c r="G223" i="48"/>
  <c r="F223" i="48"/>
  <c r="G222" i="48"/>
  <c r="F222" i="48"/>
  <c r="G221" i="48"/>
  <c r="F221" i="48"/>
  <c r="G220" i="48"/>
  <c r="F220" i="48"/>
  <c r="G219" i="48"/>
  <c r="F219" i="48"/>
  <c r="G218" i="48"/>
  <c r="F218" i="48"/>
  <c r="G217" i="48"/>
  <c r="F217" i="48"/>
  <c r="G216" i="48"/>
  <c r="F216" i="48"/>
  <c r="G215" i="48"/>
  <c r="F215" i="48"/>
  <c r="G214" i="48"/>
  <c r="F214" i="48"/>
  <c r="G213" i="48"/>
  <c r="F213" i="48"/>
  <c r="G212" i="48"/>
  <c r="F212" i="48"/>
  <c r="G211" i="48"/>
  <c r="F211" i="48"/>
  <c r="G210" i="48"/>
  <c r="F210" i="48"/>
  <c r="G209" i="48"/>
  <c r="F209" i="48"/>
  <c r="G208" i="48"/>
  <c r="F208" i="48"/>
  <c r="G207" i="48"/>
  <c r="F207" i="48"/>
  <c r="G206" i="48"/>
  <c r="F206" i="48"/>
  <c r="G205" i="48"/>
  <c r="F205" i="48"/>
  <c r="G204" i="48"/>
  <c r="F204" i="48"/>
  <c r="G203" i="48"/>
  <c r="F203" i="48"/>
  <c r="G202" i="48"/>
  <c r="F202" i="48"/>
  <c r="G201" i="48"/>
  <c r="F201" i="48"/>
  <c r="G200" i="48"/>
  <c r="F200" i="48"/>
  <c r="G199" i="48"/>
  <c r="F199" i="48"/>
  <c r="G198" i="48"/>
  <c r="F198" i="48"/>
  <c r="G197" i="48"/>
  <c r="F197" i="48"/>
  <c r="G196" i="48"/>
  <c r="F196" i="48"/>
  <c r="G195" i="48"/>
  <c r="F195" i="48"/>
  <c r="G194" i="48"/>
  <c r="F194" i="48"/>
  <c r="G193" i="48"/>
  <c r="F193" i="48"/>
  <c r="G192" i="48"/>
  <c r="F192" i="48"/>
  <c r="G191" i="48"/>
  <c r="F191" i="48"/>
  <c r="G190" i="48"/>
  <c r="F190" i="48"/>
  <c r="G189" i="48"/>
  <c r="F189" i="48"/>
  <c r="G188" i="48"/>
  <c r="F188" i="48"/>
  <c r="G187" i="48"/>
  <c r="F187" i="48"/>
  <c r="G186" i="48"/>
  <c r="F186" i="48"/>
  <c r="G185" i="48"/>
  <c r="F185" i="48"/>
  <c r="G184" i="48"/>
  <c r="F184" i="48"/>
  <c r="G183" i="48"/>
  <c r="F183" i="48"/>
  <c r="G182" i="48"/>
  <c r="F182" i="48"/>
  <c r="G181" i="48"/>
  <c r="F181" i="48"/>
  <c r="G180" i="48"/>
  <c r="F180" i="48"/>
  <c r="G179" i="48"/>
  <c r="F179" i="48"/>
  <c r="G178" i="48"/>
  <c r="F178" i="48"/>
  <c r="G177" i="48"/>
  <c r="F177" i="48"/>
  <c r="G176" i="48"/>
  <c r="F176" i="48"/>
  <c r="G175" i="48"/>
  <c r="F175" i="48"/>
  <c r="G174" i="48"/>
  <c r="F174" i="48"/>
  <c r="G173" i="48"/>
  <c r="F173" i="48"/>
  <c r="G172" i="48"/>
  <c r="F172" i="48"/>
  <c r="G171" i="48"/>
  <c r="F171" i="48"/>
  <c r="G170" i="48"/>
  <c r="F170" i="48"/>
  <c r="G169" i="48"/>
  <c r="F169" i="48"/>
  <c r="G168" i="48"/>
  <c r="F168" i="48"/>
  <c r="G167" i="48"/>
  <c r="F167" i="48"/>
  <c r="G166" i="48"/>
  <c r="F166" i="48"/>
  <c r="G165" i="48"/>
  <c r="F165" i="48"/>
  <c r="G164" i="48"/>
  <c r="F164" i="48"/>
  <c r="G163" i="48"/>
  <c r="F163" i="48"/>
  <c r="G162" i="48"/>
  <c r="F162" i="48"/>
  <c r="G161" i="48"/>
  <c r="F161" i="48"/>
  <c r="G160" i="48"/>
  <c r="F160" i="48"/>
  <c r="G159" i="48"/>
  <c r="F159" i="48"/>
  <c r="G158" i="48"/>
  <c r="F158" i="48"/>
  <c r="G157" i="48"/>
  <c r="F157" i="48"/>
  <c r="G156" i="48"/>
  <c r="F156" i="48"/>
  <c r="G155" i="48"/>
  <c r="F155" i="48"/>
  <c r="G154" i="48"/>
  <c r="F154" i="48"/>
  <c r="G153" i="48"/>
  <c r="F153" i="48"/>
  <c r="G152" i="48"/>
  <c r="F152" i="48"/>
  <c r="G151" i="48"/>
  <c r="F151" i="48"/>
  <c r="G150" i="48"/>
  <c r="F150" i="48"/>
  <c r="G149" i="48"/>
  <c r="F149" i="48"/>
  <c r="G148" i="48"/>
  <c r="F148" i="48"/>
  <c r="G147" i="48"/>
  <c r="F147" i="48"/>
  <c r="G146" i="48"/>
  <c r="F146" i="48"/>
  <c r="G145" i="48"/>
  <c r="F145" i="48"/>
  <c r="G144" i="48"/>
  <c r="F144" i="48"/>
  <c r="G143" i="48"/>
  <c r="F143" i="48"/>
  <c r="G142" i="48"/>
  <c r="F142" i="48"/>
  <c r="G141" i="48"/>
  <c r="F141" i="48"/>
  <c r="G140" i="48"/>
  <c r="F140" i="48"/>
  <c r="G139" i="48"/>
  <c r="F139" i="48"/>
  <c r="G138" i="48"/>
  <c r="F138" i="48"/>
  <c r="G137" i="48"/>
  <c r="F137" i="48"/>
  <c r="G136" i="48"/>
  <c r="F136" i="48"/>
  <c r="G135" i="48"/>
  <c r="F135" i="48"/>
  <c r="G134" i="48"/>
  <c r="F134" i="48"/>
  <c r="G133" i="48"/>
  <c r="F133" i="48"/>
  <c r="G132" i="48"/>
  <c r="F132" i="48"/>
  <c r="G131" i="48"/>
  <c r="F131" i="48"/>
  <c r="G130" i="48"/>
  <c r="F130" i="48"/>
  <c r="G129" i="48"/>
  <c r="F129" i="48"/>
  <c r="G128" i="48"/>
  <c r="F128" i="48"/>
  <c r="G127" i="48"/>
  <c r="F127" i="48"/>
  <c r="G126" i="48"/>
  <c r="F126" i="48"/>
  <c r="G125" i="48"/>
  <c r="F125" i="48"/>
  <c r="G124" i="48"/>
  <c r="F124" i="48"/>
  <c r="G123" i="48"/>
  <c r="F123" i="48"/>
  <c r="G122" i="48"/>
  <c r="F122" i="48"/>
  <c r="G121" i="48"/>
  <c r="F121" i="48"/>
  <c r="G120" i="48"/>
  <c r="F120" i="48"/>
  <c r="G119" i="48"/>
  <c r="F119" i="48"/>
  <c r="G118" i="48"/>
  <c r="F118" i="48"/>
  <c r="G117" i="48"/>
  <c r="F117" i="48"/>
  <c r="G116" i="48"/>
  <c r="F116" i="48"/>
  <c r="G115" i="48"/>
  <c r="F115" i="48"/>
  <c r="G114" i="48"/>
  <c r="F114" i="48"/>
  <c r="G113" i="48"/>
  <c r="F113" i="48"/>
  <c r="G112" i="48"/>
  <c r="F112" i="48"/>
  <c r="G111" i="48"/>
  <c r="F111" i="48"/>
  <c r="G110" i="48"/>
  <c r="F110" i="48"/>
  <c r="G109" i="48"/>
  <c r="F109" i="48"/>
  <c r="G108" i="48"/>
  <c r="F108" i="48"/>
  <c r="G107" i="48"/>
  <c r="F107" i="48"/>
  <c r="G106" i="48"/>
  <c r="F106" i="48"/>
  <c r="G105" i="48"/>
  <c r="F105" i="48"/>
  <c r="G104" i="48"/>
  <c r="F104" i="48"/>
  <c r="G103" i="48"/>
  <c r="F103" i="48"/>
  <c r="G102" i="48"/>
  <c r="F102" i="48"/>
  <c r="G101" i="48"/>
  <c r="F101" i="48"/>
  <c r="G100" i="48"/>
  <c r="F100" i="48"/>
  <c r="G99" i="48"/>
  <c r="F99" i="48"/>
  <c r="G98" i="48"/>
  <c r="F98" i="48"/>
  <c r="G97" i="48"/>
  <c r="F97" i="48"/>
  <c r="G96" i="48"/>
  <c r="F96" i="48"/>
  <c r="G95" i="48"/>
  <c r="F95" i="48"/>
  <c r="G94" i="48"/>
  <c r="F94" i="48"/>
  <c r="G93" i="48"/>
  <c r="F93" i="48"/>
  <c r="G92" i="48"/>
  <c r="F92" i="48"/>
  <c r="G91" i="48"/>
  <c r="F91" i="48"/>
  <c r="G90" i="48"/>
  <c r="F90" i="48"/>
  <c r="G89" i="48"/>
  <c r="F89" i="48"/>
  <c r="G88" i="48"/>
  <c r="F88" i="48"/>
  <c r="G87" i="48"/>
  <c r="F87" i="48"/>
  <c r="G86" i="48"/>
  <c r="F86" i="48"/>
  <c r="G85" i="48"/>
  <c r="F85" i="48"/>
  <c r="G84" i="48"/>
  <c r="F84" i="48"/>
  <c r="G83" i="48"/>
  <c r="F83" i="48"/>
  <c r="G82" i="48"/>
  <c r="F82" i="48"/>
  <c r="G81" i="48"/>
  <c r="F81" i="48"/>
  <c r="G80" i="48"/>
  <c r="F80" i="48"/>
  <c r="G79" i="48"/>
  <c r="F79" i="48"/>
  <c r="G78" i="48"/>
  <c r="F78" i="48"/>
  <c r="G77" i="48"/>
  <c r="F77" i="48"/>
  <c r="G76" i="48"/>
  <c r="F76" i="48"/>
  <c r="G75" i="48"/>
  <c r="F75" i="48"/>
  <c r="G74" i="48"/>
  <c r="F74" i="48"/>
  <c r="G73" i="48"/>
  <c r="F73" i="48"/>
  <c r="G72" i="48"/>
  <c r="F72" i="48"/>
  <c r="G71" i="48"/>
  <c r="F71" i="48"/>
  <c r="G70" i="48"/>
  <c r="F70" i="48"/>
  <c r="G69" i="48"/>
  <c r="F69" i="48"/>
  <c r="G68" i="48"/>
  <c r="F68" i="48"/>
  <c r="G67" i="48"/>
  <c r="F67" i="48"/>
  <c r="G66" i="48"/>
  <c r="F66" i="48"/>
  <c r="G65" i="48"/>
  <c r="F65" i="48"/>
  <c r="G64" i="48"/>
  <c r="F64" i="48"/>
  <c r="G63" i="48"/>
  <c r="F63" i="48"/>
  <c r="G62" i="48"/>
  <c r="F62" i="48"/>
  <c r="G61" i="48"/>
  <c r="F61" i="48"/>
  <c r="G60" i="48"/>
  <c r="F60" i="48"/>
  <c r="G59" i="48"/>
  <c r="F59" i="48"/>
  <c r="G58" i="48"/>
  <c r="F58" i="48"/>
  <c r="G57" i="48"/>
  <c r="F57" i="48"/>
  <c r="G56" i="48"/>
  <c r="F56" i="48"/>
  <c r="G55" i="48"/>
  <c r="F55" i="48"/>
  <c r="G54" i="48"/>
  <c r="F54" i="48"/>
  <c r="G53" i="48"/>
  <c r="F53" i="48"/>
  <c r="G52" i="48"/>
  <c r="F52" i="48"/>
  <c r="G51" i="48"/>
  <c r="F51" i="48"/>
  <c r="G50" i="48"/>
  <c r="F50" i="48"/>
  <c r="G49" i="48"/>
  <c r="F49" i="48"/>
  <c r="G48" i="48"/>
  <c r="F48" i="48"/>
  <c r="G47" i="48"/>
  <c r="F47" i="48"/>
  <c r="G46" i="48"/>
  <c r="F46" i="48"/>
  <c r="G45" i="48"/>
  <c r="F45" i="48"/>
  <c r="G44" i="48"/>
  <c r="F44" i="48"/>
  <c r="G43" i="48"/>
  <c r="F43" i="48"/>
  <c r="G42" i="48"/>
  <c r="F42" i="48"/>
  <c r="G41" i="48"/>
  <c r="F41" i="48"/>
  <c r="G40" i="48"/>
  <c r="F40" i="48"/>
  <c r="G39" i="48"/>
  <c r="F39" i="48"/>
  <c r="G38" i="48"/>
  <c r="F38" i="48"/>
  <c r="G37" i="48"/>
  <c r="F37" i="48"/>
  <c r="G36" i="48"/>
  <c r="F36" i="48"/>
  <c r="G35" i="48"/>
  <c r="F35" i="48"/>
  <c r="G34" i="48"/>
  <c r="F34" i="48"/>
  <c r="G33" i="48"/>
  <c r="F33" i="48"/>
  <c r="G32" i="48"/>
  <c r="F32" i="48"/>
  <c r="G31" i="48"/>
  <c r="F31" i="48"/>
  <c r="G30" i="48"/>
  <c r="F30" i="48"/>
  <c r="G29" i="48"/>
  <c r="F29" i="48"/>
  <c r="G28" i="48"/>
  <c r="F28" i="48"/>
  <c r="G27" i="48"/>
  <c r="F27" i="48"/>
  <c r="G26" i="48"/>
  <c r="F26" i="48"/>
  <c r="G25" i="48"/>
  <c r="F25" i="48"/>
  <c r="G24" i="48"/>
  <c r="F24" i="48"/>
  <c r="G23" i="48"/>
  <c r="F23" i="48"/>
  <c r="G22" i="48"/>
  <c r="F22" i="48"/>
  <c r="G21" i="48"/>
  <c r="F21" i="48"/>
  <c r="G20" i="48"/>
  <c r="F20" i="48"/>
  <c r="G19" i="48"/>
  <c r="F19" i="48"/>
  <c r="G18" i="48"/>
  <c r="F18" i="48"/>
  <c r="G17" i="48"/>
  <c r="F17" i="48"/>
  <c r="G16" i="48"/>
  <c r="F16" i="48"/>
  <c r="G15" i="48"/>
  <c r="F15" i="48"/>
  <c r="G14" i="48"/>
  <c r="F14" i="48"/>
  <c r="G13" i="48"/>
  <c r="F13" i="48"/>
  <c r="G12" i="48"/>
  <c r="F12" i="48"/>
  <c r="G11" i="48"/>
  <c r="F11" i="48"/>
  <c r="G10" i="48"/>
  <c r="F10" i="48"/>
  <c r="G9" i="48"/>
  <c r="F9" i="48"/>
  <c r="G8" i="48"/>
  <c r="F8" i="48"/>
  <c r="G7" i="48"/>
  <c r="F7" i="48"/>
  <c r="G6" i="48"/>
  <c r="F6" i="48"/>
  <c r="G5" i="48"/>
  <c r="F5" i="48"/>
  <c r="G4" i="48"/>
  <c r="F4" i="48"/>
  <c r="F4" i="24"/>
  <c r="G12" i="47"/>
  <c r="G11" i="47"/>
  <c r="G10" i="47"/>
  <c r="G9" i="47"/>
  <c r="G8" i="47"/>
  <c r="G7" i="47"/>
  <c r="G6" i="47"/>
  <c r="G5" i="47"/>
  <c r="G4" i="47"/>
  <c r="F4" i="46"/>
  <c r="F68" i="43"/>
  <c r="F69" i="43"/>
  <c r="F70" i="43"/>
  <c r="F71" i="43"/>
  <c r="F72" i="43"/>
  <c r="F73" i="43"/>
  <c r="F74" i="43"/>
  <c r="F75" i="43"/>
  <c r="F76" i="43"/>
  <c r="F77" i="43"/>
  <c r="F78" i="43"/>
  <c r="F79" i="43"/>
  <c r="F80" i="43"/>
  <c r="F81" i="43"/>
  <c r="F82" i="43"/>
  <c r="F83" i="43"/>
  <c r="F84" i="43"/>
  <c r="F85" i="43"/>
  <c r="F86" i="43"/>
  <c r="F87" i="43"/>
  <c r="G68" i="43"/>
  <c r="G69" i="43"/>
  <c r="G70" i="43"/>
  <c r="G71" i="43"/>
  <c r="G72" i="43"/>
  <c r="G73" i="43"/>
  <c r="G74" i="43"/>
  <c r="G75" i="43"/>
  <c r="G76" i="43"/>
  <c r="G77" i="43"/>
  <c r="G78" i="43"/>
  <c r="G79" i="43"/>
  <c r="G80" i="43"/>
  <c r="G81" i="43"/>
  <c r="G82" i="43"/>
  <c r="G83" i="43"/>
  <c r="G84" i="43"/>
  <c r="G85" i="43"/>
  <c r="G86" i="43"/>
  <c r="G87" i="43"/>
  <c r="F33" i="43"/>
  <c r="F34" i="43"/>
  <c r="F35" i="43"/>
  <c r="F36" i="43"/>
  <c r="F37" i="43"/>
  <c r="F38" i="43"/>
  <c r="F39" i="43"/>
  <c r="F40" i="43"/>
  <c r="F41" i="43"/>
  <c r="F42" i="43"/>
  <c r="F43" i="43"/>
  <c r="F44" i="43"/>
  <c r="F45" i="43"/>
  <c r="F46" i="43"/>
  <c r="F47" i="43"/>
  <c r="F48" i="43"/>
  <c r="F49" i="43"/>
  <c r="F50" i="43"/>
  <c r="F51" i="43"/>
  <c r="F52" i="43"/>
  <c r="F53" i="43"/>
  <c r="F54" i="43"/>
  <c r="F55" i="43"/>
  <c r="F56" i="43"/>
  <c r="F57" i="43"/>
  <c r="F58" i="43"/>
  <c r="F59" i="43"/>
  <c r="F60" i="43"/>
  <c r="F61" i="43"/>
  <c r="F62" i="43"/>
  <c r="F63" i="43"/>
  <c r="F64" i="43"/>
  <c r="F65" i="43"/>
  <c r="F66" i="43"/>
  <c r="F67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F31" i="43"/>
  <c r="F32" i="43"/>
  <c r="G31" i="43"/>
  <c r="G32" i="43"/>
  <c r="F10" i="28"/>
  <c r="G10" i="28"/>
  <c r="F11" i="28"/>
  <c r="G11" i="28"/>
  <c r="F12" i="28"/>
  <c r="G12" i="28"/>
  <c r="F9" i="28"/>
  <c r="G9" i="28"/>
  <c r="F5" i="43"/>
  <c r="F6" i="43"/>
  <c r="F7" i="43"/>
  <c r="F8" i="43"/>
  <c r="F9" i="43"/>
  <c r="F10" i="43"/>
  <c r="F11" i="43"/>
  <c r="F12" i="43"/>
  <c r="F13" i="43"/>
  <c r="F14" i="43"/>
  <c r="F15" i="43"/>
  <c r="F16" i="43"/>
  <c r="F17" i="43"/>
  <c r="F18" i="43"/>
  <c r="F19" i="43"/>
  <c r="F20" i="43"/>
  <c r="F21" i="43"/>
  <c r="F22" i="43"/>
  <c r="F23" i="43"/>
  <c r="F24" i="43"/>
  <c r="F25" i="43"/>
  <c r="F26" i="43"/>
  <c r="F27" i="43"/>
  <c r="F28" i="43"/>
  <c r="F29" i="43"/>
  <c r="F30" i="43"/>
  <c r="G5" i="43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F5" i="28"/>
  <c r="G5" i="28"/>
  <c r="F6" i="28"/>
  <c r="G6" i="28"/>
  <c r="F7" i="28"/>
  <c r="G7" i="28"/>
  <c r="F8" i="28"/>
  <c r="G8" i="28"/>
  <c r="F4" i="43"/>
  <c r="G4" i="43"/>
  <c r="I4" i="40"/>
  <c r="F4" i="36"/>
  <c r="G4" i="36"/>
  <c r="F4" i="35" l="1"/>
  <c r="G4" i="35"/>
  <c r="F5" i="35"/>
  <c r="G5" i="35"/>
  <c r="F6" i="35"/>
  <c r="G6" i="35"/>
  <c r="F7" i="35"/>
  <c r="G7" i="35"/>
  <c r="F8" i="35"/>
  <c r="G8" i="35"/>
  <c r="F9" i="35"/>
  <c r="G9" i="35"/>
  <c r="F10" i="35"/>
  <c r="G10" i="35"/>
  <c r="F11" i="35"/>
  <c r="G11" i="35"/>
  <c r="F12" i="35"/>
  <c r="G12" i="35"/>
  <c r="F13" i="35"/>
  <c r="G13" i="35"/>
  <c r="F14" i="35"/>
  <c r="G14" i="35"/>
  <c r="F15" i="35"/>
  <c r="G15" i="35"/>
  <c r="F16" i="35"/>
  <c r="G16" i="35"/>
  <c r="F17" i="35"/>
  <c r="G17" i="35"/>
  <c r="F18" i="35"/>
  <c r="G18" i="35"/>
  <c r="F19" i="35"/>
  <c r="G19" i="35"/>
  <c r="F20" i="35"/>
  <c r="G20" i="35"/>
  <c r="F21" i="35"/>
  <c r="G21" i="35"/>
  <c r="F22" i="35"/>
  <c r="G22" i="35"/>
  <c r="F23" i="35"/>
  <c r="G23" i="35"/>
  <c r="F24" i="35"/>
  <c r="G24" i="35"/>
  <c r="F4" i="34"/>
  <c r="G4" i="34"/>
  <c r="F5" i="34"/>
  <c r="G5" i="34"/>
  <c r="F6" i="34"/>
  <c r="G6" i="34"/>
  <c r="F7" i="34"/>
  <c r="G7" i="34"/>
  <c r="F8" i="34"/>
  <c r="G8" i="34"/>
  <c r="F9" i="34"/>
  <c r="G9" i="34"/>
  <c r="F10" i="34"/>
  <c r="G10" i="34"/>
  <c r="F11" i="34"/>
  <c r="G11" i="34"/>
  <c r="F12" i="34"/>
  <c r="G12" i="34"/>
  <c r="F13" i="34"/>
  <c r="G13" i="34"/>
  <c r="F14" i="34"/>
  <c r="G14" i="34"/>
  <c r="F15" i="34"/>
  <c r="G15" i="34"/>
  <c r="F16" i="34"/>
  <c r="G16" i="34"/>
  <c r="F17" i="34"/>
  <c r="G17" i="34"/>
  <c r="F18" i="34"/>
  <c r="G18" i="34"/>
  <c r="F19" i="34"/>
  <c r="G19" i="34"/>
  <c r="F20" i="34"/>
  <c r="G20" i="34"/>
  <c r="F4" i="33"/>
  <c r="G4" i="33"/>
  <c r="H4" i="33"/>
  <c r="F4" i="28" l="1"/>
  <c r="G4" i="28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G105" i="24"/>
  <c r="F105" i="24"/>
  <c r="G104" i="24"/>
  <c r="F104" i="24"/>
  <c r="G103" i="24"/>
  <c r="F103" i="24"/>
  <c r="G102" i="24"/>
  <c r="F102" i="24"/>
  <c r="G101" i="24"/>
  <c r="F101" i="24"/>
  <c r="G100" i="24"/>
  <c r="F100" i="24"/>
  <c r="G99" i="24"/>
  <c r="F99" i="24"/>
  <c r="G98" i="24"/>
  <c r="F98" i="24"/>
  <c r="G97" i="24"/>
  <c r="F97" i="24"/>
  <c r="G96" i="24"/>
  <c r="F96" i="24"/>
  <c r="G95" i="24"/>
  <c r="F95" i="24"/>
  <c r="G94" i="24"/>
  <c r="F94" i="24"/>
  <c r="G93" i="24"/>
  <c r="F93" i="24"/>
  <c r="G92" i="24"/>
  <c r="F92" i="24"/>
  <c r="G91" i="24"/>
  <c r="F91" i="24"/>
  <c r="G90" i="24"/>
  <c r="F90" i="24"/>
  <c r="G89" i="24"/>
  <c r="F89" i="24"/>
  <c r="G88" i="24"/>
  <c r="F88" i="24"/>
  <c r="G87" i="24"/>
  <c r="F87" i="24"/>
  <c r="G86" i="24"/>
  <c r="F86" i="24"/>
  <c r="G85" i="24"/>
  <c r="F85" i="24"/>
  <c r="G84" i="24"/>
  <c r="F84" i="24"/>
  <c r="G83" i="24"/>
  <c r="F83" i="24"/>
  <c r="G82" i="24"/>
  <c r="F82" i="24"/>
  <c r="G81" i="24"/>
  <c r="F81" i="24"/>
  <c r="G80" i="24"/>
  <c r="F80" i="24"/>
  <c r="G79" i="24"/>
  <c r="F79" i="24"/>
  <c r="G78" i="24"/>
  <c r="F78" i="24"/>
  <c r="G77" i="24"/>
  <c r="F77" i="24"/>
  <c r="G76" i="24"/>
  <c r="F76" i="24"/>
  <c r="G75" i="24"/>
  <c r="F75" i="24"/>
  <c r="G74" i="24"/>
  <c r="F74" i="24"/>
  <c r="G73" i="24"/>
  <c r="F73" i="24"/>
  <c r="G72" i="24"/>
  <c r="F72" i="24"/>
  <c r="G71" i="24"/>
  <c r="F71" i="24"/>
  <c r="G70" i="24"/>
  <c r="F70" i="24"/>
  <c r="G69" i="24"/>
  <c r="F69" i="24"/>
  <c r="G68" i="24"/>
  <c r="F68" i="24"/>
  <c r="G67" i="24"/>
  <c r="F67" i="24"/>
  <c r="G66" i="24"/>
  <c r="F66" i="24"/>
  <c r="G65" i="24"/>
  <c r="F65" i="24"/>
  <c r="G64" i="24"/>
  <c r="F64" i="24"/>
  <c r="G63" i="24"/>
  <c r="F63" i="24"/>
  <c r="G62" i="24"/>
  <c r="F62" i="24"/>
  <c r="G61" i="24"/>
  <c r="F61" i="24"/>
  <c r="G60" i="24"/>
  <c r="F60" i="24"/>
  <c r="G59" i="24"/>
  <c r="F59" i="24"/>
  <c r="G58" i="24"/>
  <c r="F58" i="24"/>
  <c r="G57" i="24"/>
  <c r="F57" i="24"/>
  <c r="G56" i="24"/>
  <c r="F56" i="24"/>
  <c r="G55" i="24"/>
  <c r="F55" i="24"/>
  <c r="G54" i="24"/>
  <c r="F54" i="24"/>
  <c r="G53" i="24"/>
  <c r="F53" i="24"/>
  <c r="G52" i="24"/>
  <c r="F52" i="24"/>
  <c r="G51" i="24"/>
  <c r="F51" i="24"/>
  <c r="G50" i="24"/>
  <c r="F50" i="24"/>
  <c r="G49" i="24"/>
  <c r="F49" i="24"/>
  <c r="G48" i="24"/>
  <c r="F48" i="24"/>
  <c r="G47" i="24"/>
  <c r="F47" i="24"/>
  <c r="G46" i="24"/>
  <c r="F46" i="24"/>
  <c r="G45" i="24"/>
  <c r="F45" i="24"/>
  <c r="G44" i="24"/>
  <c r="F44" i="24"/>
  <c r="G43" i="24"/>
  <c r="F43" i="24"/>
  <c r="G42" i="24"/>
  <c r="F42" i="24"/>
  <c r="G41" i="24"/>
  <c r="F41" i="24"/>
  <c r="G40" i="24"/>
  <c r="F40" i="24"/>
  <c r="G39" i="24"/>
  <c r="F39" i="24"/>
  <c r="G38" i="24"/>
  <c r="F38" i="24"/>
  <c r="G37" i="24"/>
  <c r="F37" i="24"/>
  <c r="G36" i="24"/>
  <c r="F36" i="24"/>
  <c r="G35" i="24"/>
  <c r="F35" i="24"/>
  <c r="G34" i="24"/>
  <c r="F34" i="24"/>
  <c r="G33" i="24"/>
  <c r="F33" i="24"/>
  <c r="G32" i="24"/>
  <c r="F32" i="24"/>
  <c r="G31" i="24"/>
  <c r="F31" i="24"/>
  <c r="G30" i="24"/>
  <c r="F30" i="24"/>
  <c r="G29" i="24"/>
  <c r="F29" i="24"/>
  <c r="G28" i="24"/>
  <c r="F28" i="24"/>
  <c r="G27" i="24"/>
  <c r="F27" i="24"/>
  <c r="G26" i="24"/>
  <c r="F26" i="24"/>
  <c r="G25" i="24"/>
  <c r="F25" i="24"/>
  <c r="G24" i="24"/>
  <c r="F24" i="24"/>
  <c r="G23" i="24"/>
  <c r="F23" i="24"/>
  <c r="G22" i="24"/>
  <c r="F22" i="24"/>
  <c r="G21" i="24"/>
  <c r="F21" i="24"/>
  <c r="G20" i="24"/>
  <c r="F20" i="24"/>
  <c r="G19" i="24"/>
  <c r="F19" i="24"/>
  <c r="G18" i="24"/>
  <c r="F18" i="24"/>
  <c r="G17" i="24"/>
  <c r="F17" i="24"/>
  <c r="G16" i="24"/>
  <c r="F16" i="24"/>
  <c r="G15" i="24"/>
  <c r="F15" i="24"/>
  <c r="G14" i="24"/>
  <c r="F14" i="24"/>
  <c r="G13" i="24"/>
  <c r="F13" i="24"/>
  <c r="G12" i="24"/>
  <c r="F12" i="24"/>
  <c r="G11" i="24"/>
  <c r="F11" i="24"/>
  <c r="G10" i="24"/>
  <c r="F10" i="24"/>
  <c r="G9" i="24"/>
  <c r="F9" i="24"/>
  <c r="G8" i="24"/>
  <c r="F8" i="24"/>
  <c r="G7" i="24"/>
  <c r="F7" i="24"/>
  <c r="G6" i="24"/>
  <c r="F6" i="24"/>
  <c r="G5" i="24"/>
  <c r="F5" i="24"/>
  <c r="G4" i="24"/>
</calcChain>
</file>

<file path=xl/sharedStrings.xml><?xml version="1.0" encoding="utf-8"?>
<sst xmlns="http://schemas.openxmlformats.org/spreadsheetml/2006/main" count="19459" uniqueCount="5071">
  <si>
    <t>TotalArea</t>
  </si>
  <si>
    <t>NetArea</t>
  </si>
  <si>
    <t>TerraceArea</t>
  </si>
  <si>
    <t>1</t>
  </si>
  <si>
    <t>8</t>
  </si>
  <si>
    <t>9</t>
  </si>
  <si>
    <t>6</t>
  </si>
  <si>
    <t>5</t>
  </si>
  <si>
    <t>4</t>
  </si>
  <si>
    <t>3</t>
  </si>
  <si>
    <t>2</t>
  </si>
  <si>
    <t>13</t>
  </si>
  <si>
    <t>12</t>
  </si>
  <si>
    <t>Unit Code</t>
  </si>
  <si>
    <t>Unit Type</t>
  </si>
  <si>
    <t>Asking Price</t>
  </si>
  <si>
    <t>Total Area</t>
  </si>
  <si>
    <t>Net Area</t>
  </si>
  <si>
    <t>Terrace Area</t>
  </si>
  <si>
    <t>View</t>
  </si>
  <si>
    <t>20% DP</t>
  </si>
  <si>
    <t>50% DP</t>
  </si>
  <si>
    <t>S/N</t>
  </si>
  <si>
    <t>BINGHATTI GHOST AVAILABILITY</t>
  </si>
  <si>
    <t>2 Bedroom</t>
  </si>
  <si>
    <t>SN</t>
  </si>
  <si>
    <t>Floor</t>
  </si>
  <si>
    <t>BINGHATTI IVORY</t>
  </si>
  <si>
    <t>20 DP</t>
  </si>
  <si>
    <t>50 DP</t>
  </si>
  <si>
    <t>FULL PAYMENT</t>
  </si>
  <si>
    <t>Full Payment</t>
  </si>
  <si>
    <t>11</t>
  </si>
  <si>
    <t>17</t>
  </si>
  <si>
    <t>16</t>
  </si>
  <si>
    <t>Studio</t>
  </si>
  <si>
    <t>1 Bedroom</t>
  </si>
  <si>
    <t xml:space="preserve">Floor </t>
  </si>
  <si>
    <t>Completion Date: 31/03/2026</t>
  </si>
  <si>
    <t>MAIN ROAD</t>
  </si>
  <si>
    <t>Balcony Area Sq.ft</t>
  </si>
  <si>
    <t>Unit Area Sq.ft</t>
  </si>
  <si>
    <t>Total Area Sq.ft</t>
  </si>
  <si>
    <t>Full Cash</t>
  </si>
  <si>
    <t>UnitType</t>
  </si>
  <si>
    <t>BINGHATTI AMBERHALL</t>
  </si>
  <si>
    <t xml:space="preserve">BINGHATTI AQUARISE  </t>
  </si>
  <si>
    <t>Completion Date: 31/03/2027</t>
  </si>
  <si>
    <t>3 Bedroom</t>
  </si>
  <si>
    <t>BINGHATTI HAVEN</t>
  </si>
  <si>
    <t>POCKET PARK</t>
  </si>
  <si>
    <t>MAIN ROAD + DUBAI SCIENCE COMMUNITY PARK</t>
  </si>
  <si>
    <t>BHLW-TA113</t>
  </si>
  <si>
    <t>BHLW-TA112</t>
  </si>
  <si>
    <t>BHLW-TA115</t>
  </si>
  <si>
    <t>BINGHATTI HILL VIEWS</t>
  </si>
  <si>
    <t>Unit code</t>
  </si>
  <si>
    <t>70 DP</t>
  </si>
  <si>
    <t>Balcony Area</t>
  </si>
  <si>
    <t>NEIGHBOR'S PLOT</t>
  </si>
  <si>
    <t>BINGHATTI HILLSIDE</t>
  </si>
  <si>
    <t>BINGHATTI MOONLIGHT</t>
  </si>
  <si>
    <t>100% Full Cash</t>
  </si>
  <si>
    <t>BINGHATTI PINNACLE</t>
  </si>
  <si>
    <t xml:space="preserve">BINGHATTI RUBY </t>
  </si>
  <si>
    <t>AMENITY VIEW  + NEIGHBOR PLOT</t>
  </si>
  <si>
    <t>BSKH-108</t>
  </si>
  <si>
    <t>BURJ KHALIFA + COMMUNITY PARK  + NEIGHBOR PLOT</t>
  </si>
  <si>
    <t>MAIN ROAD + BURJ KHALIFA + CANAL VIEW + AMINITY VIEW + NEIGHBOR VIEW</t>
  </si>
  <si>
    <t>BSKH-114</t>
  </si>
  <si>
    <t>BURJ KHALIFA + COMMUNITY PARK</t>
  </si>
  <si>
    <t>BSKH-808</t>
  </si>
  <si>
    <t>BSKH-812</t>
  </si>
  <si>
    <t>BSKH-813</t>
  </si>
  <si>
    <t>BSKH-908</t>
  </si>
  <si>
    <t>MAIN ROAD + BURJ KHALIFA + CANAL VIEW + COMMUNITY PARK</t>
  </si>
  <si>
    <t>BSKH-115</t>
  </si>
  <si>
    <t>BSKH-121</t>
  </si>
  <si>
    <t>BSKH-307</t>
  </si>
  <si>
    <t>BSKH-308</t>
  </si>
  <si>
    <t>BSKH-312</t>
  </si>
  <si>
    <t>BSKH-313</t>
  </si>
  <si>
    <t>BSKH-318</t>
  </si>
  <si>
    <t>BSKH-319</t>
  </si>
  <si>
    <t>BSKH-325</t>
  </si>
  <si>
    <t>BSKH-912</t>
  </si>
  <si>
    <t>BSKH-201</t>
  </si>
  <si>
    <t>BSKH-207</t>
  </si>
  <si>
    <t>BSKH-208</t>
  </si>
  <si>
    <t>BSKH-214</t>
  </si>
  <si>
    <t>BSKH-215</t>
  </si>
  <si>
    <t>BSKH-513</t>
  </si>
  <si>
    <t>BSKH-607</t>
  </si>
  <si>
    <t>BSKH-608</t>
  </si>
  <si>
    <t>BSKH-612</t>
  </si>
  <si>
    <t>BSKH-613</t>
  </si>
  <si>
    <t>BSKH-1008</t>
  </si>
  <si>
    <t>BSKH-101</t>
  </si>
  <si>
    <t>BSKH-107</t>
  </si>
  <si>
    <t>BSKH-221</t>
  </si>
  <si>
    <t>BSKH-407</t>
  </si>
  <si>
    <t>BSKH-408</t>
  </si>
  <si>
    <t>BSKH-412</t>
  </si>
  <si>
    <t>BSKH-413</t>
  </si>
  <si>
    <t>BSKH-418</t>
  </si>
  <si>
    <t>BSKH-419</t>
  </si>
  <si>
    <t>BSKH-507</t>
  </si>
  <si>
    <t>BSKH-508</t>
  </si>
  <si>
    <t>BSKH-708</t>
  </si>
  <si>
    <t>100% DP</t>
  </si>
  <si>
    <t>COMPLETION DATE: 31/08/2026</t>
  </si>
  <si>
    <t xml:space="preserve">BINGHATTI SKYHALL AVAILABILITY  </t>
  </si>
  <si>
    <t xml:space="preserve">BINGHATTI STARLIGHT AVAILABILITY  </t>
  </si>
  <si>
    <t xml:space="preserve">BINGHATTI TWILIGHT </t>
  </si>
  <si>
    <t>The Residence Beach, Amenities and Business Bay</t>
  </si>
  <si>
    <t>BUGA-1104</t>
  </si>
  <si>
    <t>Burj Khalifa,The Residence Beach, Amenities, Business Bay and Water Canal</t>
  </si>
  <si>
    <t>Business Bay and Water Canal</t>
  </si>
  <si>
    <t>BUGA-3603</t>
  </si>
  <si>
    <t>BUGA-3503</t>
  </si>
  <si>
    <t>BUGA-3403</t>
  </si>
  <si>
    <t>BUGA-3303</t>
  </si>
  <si>
    <t>BUGA-3203</t>
  </si>
  <si>
    <t>BUGA-3103</t>
  </si>
  <si>
    <t>Burj Khalifa, The Residence Beach and Amenities and Business Bay</t>
  </si>
  <si>
    <t>BUGA-3003</t>
  </si>
  <si>
    <t>BUGA-2902</t>
  </si>
  <si>
    <t>BUGA-2802</t>
  </si>
  <si>
    <t>BUGA-2702</t>
  </si>
  <si>
    <t>BUGA-2603</t>
  </si>
  <si>
    <t>BUGA-2602</t>
  </si>
  <si>
    <t>BUGA-2502</t>
  </si>
  <si>
    <t>BUGA-2503</t>
  </si>
  <si>
    <t>BUGA-2402</t>
  </si>
  <si>
    <t>BUGA-2403</t>
  </si>
  <si>
    <t>BUGA-2303</t>
  </si>
  <si>
    <t>BUGA-2302</t>
  </si>
  <si>
    <t>BUGA-2203</t>
  </si>
  <si>
    <t>BUGA-2202</t>
  </si>
  <si>
    <t>BUGA-2102</t>
  </si>
  <si>
    <t>BUGA-2002</t>
  </si>
  <si>
    <t>BUGA-1703</t>
  </si>
  <si>
    <t>BUGA-1603</t>
  </si>
  <si>
    <t>The Residence Beach, Amenities and Business Bay and Water Canal</t>
  </si>
  <si>
    <t>BUGA-1204</t>
  </si>
  <si>
    <t>BUGA-1004</t>
  </si>
  <si>
    <t>BUGA-905</t>
  </si>
  <si>
    <t>BUGA-903</t>
  </si>
  <si>
    <t>BUGA-904</t>
  </si>
  <si>
    <t>BUGA-804</t>
  </si>
  <si>
    <t>BUGA-805</t>
  </si>
  <si>
    <t>BUGA-704</t>
  </si>
  <si>
    <t>BUGA-705</t>
  </si>
  <si>
    <t>BUGA-703</t>
  </si>
  <si>
    <t>BUGA-604</t>
  </si>
  <si>
    <t>BUGA-603</t>
  </si>
  <si>
    <t>BUGA-504</t>
  </si>
  <si>
    <t>BUGA-505</t>
  </si>
  <si>
    <t>Burj Khalifa side, The Residence Beach and Amenities, Business Bay and Water Canal direction</t>
  </si>
  <si>
    <t>BUGA-503</t>
  </si>
  <si>
    <t>BUGA-406</t>
  </si>
  <si>
    <t>BUGA-501</t>
  </si>
  <si>
    <t>BUGA-402</t>
  </si>
  <si>
    <t>BUGA-403</t>
  </si>
  <si>
    <t>BUGA-404</t>
  </si>
  <si>
    <t>BUGA-306</t>
  </si>
  <si>
    <t>BUGA-307</t>
  </si>
  <si>
    <t>BUGA-401</t>
  </si>
  <si>
    <t>BUGA-304</t>
  </si>
  <si>
    <t>BUGA-303</t>
  </si>
  <si>
    <t>BUGA-301</t>
  </si>
  <si>
    <t>BUGA-206</t>
  </si>
  <si>
    <t>BUGA-207</t>
  </si>
  <si>
    <t>BUGA-204</t>
  </si>
  <si>
    <t>BUGA-205</t>
  </si>
  <si>
    <t>BUGA-202</t>
  </si>
  <si>
    <t>BUGA-203</t>
  </si>
  <si>
    <t xml:space="preserve">BUGATTI RESIDENCES BY BINGHATTI  </t>
  </si>
  <si>
    <t>50</t>
  </si>
  <si>
    <t>48</t>
  </si>
  <si>
    <t>44</t>
  </si>
  <si>
    <t>42</t>
  </si>
  <si>
    <t>43</t>
  </si>
  <si>
    <t>COMPLETION DATE: 31/12/2026</t>
  </si>
  <si>
    <t>MERCEDES-BENZ PLACES | BINGHATTI</t>
  </si>
  <si>
    <t>Dubai Design District and Dubai Creek Harbour</t>
  </si>
  <si>
    <t>Dubai Skyline view with Creek Harbour  and Tower Amenities</t>
  </si>
  <si>
    <t>Burj Khalifa side, Tower Garden, Dubai Design District and Tower Amenities</t>
  </si>
  <si>
    <t>BURJ-5901</t>
  </si>
  <si>
    <t>BURJ-5801</t>
  </si>
  <si>
    <t>BURJ-5701</t>
  </si>
  <si>
    <t>BURJ-5603</t>
  </si>
  <si>
    <t>BURJ-5601</t>
  </si>
  <si>
    <t>BURJ-5503</t>
  </si>
  <si>
    <t>BURJ-5403</t>
  </si>
  <si>
    <t>BURJ-5501</t>
  </si>
  <si>
    <t>BURJ-5303</t>
  </si>
  <si>
    <t>BURJ-5401</t>
  </si>
  <si>
    <t>BURJ-5301</t>
  </si>
  <si>
    <t>BURJ-5201</t>
  </si>
  <si>
    <t>BURJ-5203</t>
  </si>
  <si>
    <t>BURJ-5103</t>
  </si>
  <si>
    <t>BURJ-5003</t>
  </si>
  <si>
    <t>BURJ-5004</t>
  </si>
  <si>
    <t>BURJ-5101</t>
  </si>
  <si>
    <t>BURJ-4904</t>
  </si>
  <si>
    <t>BURJ-4804</t>
  </si>
  <si>
    <t>BURJ-4901</t>
  </si>
  <si>
    <t>BURJ-4801</t>
  </si>
  <si>
    <t>BURJ-4703</t>
  </si>
  <si>
    <t>BURJ-4603</t>
  </si>
  <si>
    <t>BURJ-4604</t>
  </si>
  <si>
    <t>BURJ-4701</t>
  </si>
  <si>
    <t>BURJ-4601</t>
  </si>
  <si>
    <t>BURJ-4304</t>
  </si>
  <si>
    <t>BURJ-4301</t>
  </si>
  <si>
    <t>BURJ-4204</t>
  </si>
  <si>
    <t>BURJ-4201</t>
  </si>
  <si>
    <t>47</t>
  </si>
  <si>
    <t>BURJ BINGHATTI JACOB &amp; CO RESIDENCES</t>
  </si>
  <si>
    <t>45</t>
  </si>
  <si>
    <t>Completion Date: 31/12/2026</t>
  </si>
  <si>
    <t xml:space="preserve">ONE BY BINGHATTI AVAILABILITY  </t>
  </si>
  <si>
    <t>MAIN ROAD + BURJ KHAILFA VIEW + DUBAI CANAL</t>
  </si>
  <si>
    <t>BSKY-A104</t>
  </si>
  <si>
    <t>BSKY-A117</t>
  </si>
  <si>
    <t>BSKY-B104</t>
  </si>
  <si>
    <t>BSKY-B117</t>
  </si>
  <si>
    <t>BSKY-B111</t>
  </si>
  <si>
    <t>BSKY-A315</t>
  </si>
  <si>
    <t>BSKY-A101</t>
  </si>
  <si>
    <t>BSKY-A114</t>
  </si>
  <si>
    <t>BSKY-B101</t>
  </si>
  <si>
    <t>BSKY-B114</t>
  </si>
  <si>
    <t>BSKY-B201</t>
  </si>
  <si>
    <t>BSKY-B218</t>
  </si>
  <si>
    <t>BSKY-A318</t>
  </si>
  <si>
    <t xml:space="preserve">BINGHATTI SKY RISE AVAILABILITY  </t>
  </si>
  <si>
    <t xml:space="preserve">BINGHATTI SKYBLADE AVAILABILITY  </t>
  </si>
  <si>
    <t>Completion Date: 30/06/2026</t>
  </si>
  <si>
    <t>BHCR-260</t>
  </si>
  <si>
    <t>BHCR-265</t>
  </si>
  <si>
    <t>BHCR-257</t>
  </si>
  <si>
    <t>BHCR-259</t>
  </si>
  <si>
    <t>BHCR-264</t>
  </si>
  <si>
    <t>BHCR-262</t>
  </si>
  <si>
    <t>BHCR-267</t>
  </si>
  <si>
    <t>BHCR-269</t>
  </si>
  <si>
    <t>BHCR-277</t>
  </si>
  <si>
    <t>BHCR-278</t>
  </si>
  <si>
    <t>BHCR-280</t>
  </si>
  <si>
    <t>BHCR-237</t>
  </si>
  <si>
    <t>BHCR-165</t>
  </si>
  <si>
    <t>BHCR-131</t>
  </si>
  <si>
    <t>BHCR-170</t>
  </si>
  <si>
    <t>BHCR-136</t>
  </si>
  <si>
    <t>BHCR-241</t>
  </si>
  <si>
    <t>BHCR-270</t>
  </si>
  <si>
    <t>AMENITY VIEW (POOL AREA)</t>
  </si>
  <si>
    <t>BINGHATTI HILLCREST</t>
  </si>
  <si>
    <t>MAIN ROAD, NEIGHBOR'S PLOT</t>
  </si>
  <si>
    <t>COMPLETION DATE: 28/02/2027</t>
  </si>
  <si>
    <t>BINGHATTI TITANIA</t>
  </si>
  <si>
    <t>BHCR-235</t>
  </si>
  <si>
    <t>BHCR-128</t>
  </si>
  <si>
    <t>BHCR-275</t>
  </si>
  <si>
    <t>BHCR-255</t>
  </si>
  <si>
    <t>BHCR-242</t>
  </si>
  <si>
    <t>BTNT-218</t>
  </si>
  <si>
    <t>BHCR-355</t>
  </si>
  <si>
    <t>BHCR-341</t>
  </si>
  <si>
    <t>BHCR-337</t>
  </si>
  <si>
    <t>BHCR-359</t>
  </si>
  <si>
    <t>BHCR-360</t>
  </si>
  <si>
    <t>BHCR-344</t>
  </si>
  <si>
    <t>BHCR-336</t>
  </si>
  <si>
    <t>BSKY-B301</t>
  </si>
  <si>
    <t>BSKY-A301</t>
  </si>
  <si>
    <t>BURJ-5104</t>
  </si>
  <si>
    <t>BHCR-150</t>
  </si>
  <si>
    <t>BHCR-378</t>
  </si>
  <si>
    <t>BHCR-377</t>
  </si>
  <si>
    <t>BHCR-369</t>
  </si>
  <si>
    <t>BHCR-367</t>
  </si>
  <si>
    <t>BHCR-362</t>
  </si>
  <si>
    <t>BHCR-364</t>
  </si>
  <si>
    <t>BHCR-365</t>
  </si>
  <si>
    <t>BHCR-174</t>
  </si>
  <si>
    <t>BHCR-172</t>
  </si>
  <si>
    <t>BHCR-171</t>
  </si>
  <si>
    <t>BHCR-164</t>
  </si>
  <si>
    <t>BHCR-162</t>
  </si>
  <si>
    <t>BHCR-157</t>
  </si>
  <si>
    <t>BHCR-139</t>
  </si>
  <si>
    <t>BHCR-133</t>
  </si>
  <si>
    <t>BHCR-159</t>
  </si>
  <si>
    <t>BHCR-154</t>
  </si>
  <si>
    <t>BHCR-152</t>
  </si>
  <si>
    <t>BHCR-130</t>
  </si>
  <si>
    <t>BHCR-160</t>
  </si>
  <si>
    <t>BHCR-155</t>
  </si>
  <si>
    <t>BHCR-374</t>
  </si>
  <si>
    <t>BHCR-244</t>
  </si>
  <si>
    <t>BHCR-372</t>
  </si>
  <si>
    <t>BHCR-236</t>
  </si>
  <si>
    <t>BHCR-272</t>
  </si>
  <si>
    <t>BHCR-129</t>
  </si>
  <si>
    <t>BHCR-169</t>
  </si>
  <si>
    <t>BHCR-137</t>
  </si>
  <si>
    <t>BHCR-135</t>
  </si>
  <si>
    <t>BHCR-167</t>
  </si>
  <si>
    <t>BHCR-437</t>
  </si>
  <si>
    <t>BHCR-444</t>
  </si>
  <si>
    <t>BHCR-474</t>
  </si>
  <si>
    <t>BHCR-436</t>
  </si>
  <si>
    <t>R</t>
  </si>
  <si>
    <t>BHLW-TA117</t>
  </si>
  <si>
    <t>BHLW-TB210</t>
  </si>
  <si>
    <t>BHLW-TB209</t>
  </si>
  <si>
    <t>BHLW-TA210</t>
  </si>
  <si>
    <t>BHLW-TA209</t>
  </si>
  <si>
    <t>BURJ-3601</t>
  </si>
  <si>
    <t>BHCR-127</t>
  </si>
  <si>
    <t>BHCR-118</t>
  </si>
  <si>
    <t>BHCR-119</t>
  </si>
  <si>
    <t>BHCR-120</t>
  </si>
  <si>
    <t>BHCR-124</t>
  </si>
  <si>
    <t>BHCR-123</t>
  </si>
  <si>
    <t>BHCR-121</t>
  </si>
  <si>
    <t>BHCR-122</t>
  </si>
  <si>
    <t>BHCR-125</t>
  </si>
  <si>
    <t>BHCR-126</t>
  </si>
  <si>
    <t>BHCR-234</t>
  </si>
  <si>
    <t>BHCR-224</t>
  </si>
  <si>
    <t>BHCR-231</t>
  </si>
  <si>
    <t>BHCR-229</t>
  </si>
  <si>
    <t>BHCR-226</t>
  </si>
  <si>
    <t>BHCR-232</t>
  </si>
  <si>
    <t>BHCR-227</t>
  </si>
  <si>
    <t>BINGHATTI CULLINAN</t>
  </si>
  <si>
    <t>Completion Date: 30/06/2027</t>
  </si>
  <si>
    <t>MAIN STREET, AMENITIES</t>
  </si>
  <si>
    <t>Completion Date: 15/06/2026</t>
  </si>
  <si>
    <t>Completion Date: 30/11/2027</t>
  </si>
  <si>
    <t>BINGHATTI SKY TERRACES</t>
  </si>
  <si>
    <t>Completion Date: 31/12/2027</t>
  </si>
  <si>
    <t>BSKT-B525</t>
  </si>
  <si>
    <t>BSKT-B524</t>
  </si>
  <si>
    <t>BSKT-B522</t>
  </si>
  <si>
    <t>BSKT-B519</t>
  </si>
  <si>
    <t>BSKT-B516</t>
  </si>
  <si>
    <t>BSKT-B515</t>
  </si>
  <si>
    <t>BSKT-B513</t>
  </si>
  <si>
    <t>BSKT-B510</t>
  </si>
  <si>
    <t>BSKT-B508</t>
  </si>
  <si>
    <t>BSKT-B507</t>
  </si>
  <si>
    <t>BSKT-B506</t>
  </si>
  <si>
    <t>BSKT-B505</t>
  </si>
  <si>
    <t>BSKT-B425</t>
  </si>
  <si>
    <t>BSKT-B424</t>
  </si>
  <si>
    <t>BSKT-B422</t>
  </si>
  <si>
    <t>BSKT-B419</t>
  </si>
  <si>
    <t>BSKT-B416</t>
  </si>
  <si>
    <t>BSKT-B415</t>
  </si>
  <si>
    <t>BSKT-B413</t>
  </si>
  <si>
    <t>BSKT-B410</t>
  </si>
  <si>
    <t>BSKT-B407</t>
  </si>
  <si>
    <t>BSKT-B406</t>
  </si>
  <si>
    <t>BSKT-B405</t>
  </si>
  <si>
    <t>BSKT-B402</t>
  </si>
  <si>
    <t>BSKT-B3411</t>
  </si>
  <si>
    <t>BSKT-B3311</t>
  </si>
  <si>
    <t>BSKT-B3308</t>
  </si>
  <si>
    <t>BSKT-B3302</t>
  </si>
  <si>
    <t>BSKT-B325</t>
  </si>
  <si>
    <t>BSKT-B324</t>
  </si>
  <si>
    <t>BSKT-B322</t>
  </si>
  <si>
    <t>BSKT-B3211</t>
  </si>
  <si>
    <t>BSKT-B321</t>
  </si>
  <si>
    <t>BSKT-B3208</t>
  </si>
  <si>
    <t>BSKT-B3207</t>
  </si>
  <si>
    <t>BSKT-B3206</t>
  </si>
  <si>
    <t>BSKT-B3205</t>
  </si>
  <si>
    <t>BSKT-B3202</t>
  </si>
  <si>
    <t>BSKT-B320</t>
  </si>
  <si>
    <t>BSKT-B319</t>
  </si>
  <si>
    <t>BSKT-B316</t>
  </si>
  <si>
    <t>BSKT-B315</t>
  </si>
  <si>
    <t>BSKT-B313</t>
  </si>
  <si>
    <t>BSKT-B3111</t>
  </si>
  <si>
    <t>BSKT-B3105</t>
  </si>
  <si>
    <t>BSKT-B3102</t>
  </si>
  <si>
    <t>BSKT-B310</t>
  </si>
  <si>
    <t>BSKT-B308</t>
  </si>
  <si>
    <t>BSKT-B307</t>
  </si>
  <si>
    <t>BSKT-B306</t>
  </si>
  <si>
    <t>BSKT-B305</t>
  </si>
  <si>
    <t>BSKT-B304</t>
  </si>
  <si>
    <t>BSKT-B302</t>
  </si>
  <si>
    <t>BSKT-B2522</t>
  </si>
  <si>
    <t>BSKT-B2521</t>
  </si>
  <si>
    <t>BSKT-B2516</t>
  </si>
  <si>
    <t>BSKT-B2506</t>
  </si>
  <si>
    <t>BSKT-B2505</t>
  </si>
  <si>
    <t>BSKT-B2502</t>
  </si>
  <si>
    <t>BSKT-B2311</t>
  </si>
  <si>
    <t>BSKT-B2307</t>
  </si>
  <si>
    <t>BSKT-B2302</t>
  </si>
  <si>
    <t>BSKT-B225</t>
  </si>
  <si>
    <t>BSKT-B224</t>
  </si>
  <si>
    <t>BSKT-B222</t>
  </si>
  <si>
    <t>BSKT-B2211</t>
  </si>
  <si>
    <t>BSKT-B221</t>
  </si>
  <si>
    <t>BSKT-B2208</t>
  </si>
  <si>
    <t>BSKT-B2207</t>
  </si>
  <si>
    <t>BSKT-B2202</t>
  </si>
  <si>
    <t>BSKT-B219</t>
  </si>
  <si>
    <t>BSKT-B216</t>
  </si>
  <si>
    <t>BSKT-B215</t>
  </si>
  <si>
    <t>BSKT-B213</t>
  </si>
  <si>
    <t>BSKT-B2111</t>
  </si>
  <si>
    <t>BSKT-B2102</t>
  </si>
  <si>
    <t>BSKT-B210</t>
  </si>
  <si>
    <t>BSKT-B208</t>
  </si>
  <si>
    <t>BSKT-B207</t>
  </si>
  <si>
    <t>BSKT-B206</t>
  </si>
  <si>
    <t>BSKT-B205</t>
  </si>
  <si>
    <t>BSKT-B204</t>
  </si>
  <si>
    <t>BSKT-B202</t>
  </si>
  <si>
    <t>BSKT-B201</t>
  </si>
  <si>
    <t>BSKT-B1525</t>
  </si>
  <si>
    <t>BSKT-B1521</t>
  </si>
  <si>
    <t>BSKT-B1519</t>
  </si>
  <si>
    <t>BSKT-B1516</t>
  </si>
  <si>
    <t>BSKT-B1515</t>
  </si>
  <si>
    <t>BSKT-B1510</t>
  </si>
  <si>
    <t>BSKT-B1508</t>
  </si>
  <si>
    <t>BSKT-B1507</t>
  </si>
  <si>
    <t>BSKT-B1506</t>
  </si>
  <si>
    <t>BSKT-B1505</t>
  </si>
  <si>
    <t>BSKT-B1502</t>
  </si>
  <si>
    <t>BSKT-B1322</t>
  </si>
  <si>
    <t>BSKT-B1321</t>
  </si>
  <si>
    <t>BSKT-B1319</t>
  </si>
  <si>
    <t>BSKT-B1315</t>
  </si>
  <si>
    <t>BSKT-B1313</t>
  </si>
  <si>
    <t>BSKT-B1310</t>
  </si>
  <si>
    <t>BSKT-B1307</t>
  </si>
  <si>
    <t>BSKT-B1306</t>
  </si>
  <si>
    <t>BSKT-B1305</t>
  </si>
  <si>
    <t>BSKT-B1302</t>
  </si>
  <si>
    <t>BSKT-B123</t>
  </si>
  <si>
    <t>BSKT-B121</t>
  </si>
  <si>
    <t>BSKT-B120</t>
  </si>
  <si>
    <t>BSKT-B119</t>
  </si>
  <si>
    <t>BSKT-B116</t>
  </si>
  <si>
    <t>BSKT-B115</t>
  </si>
  <si>
    <t>BSKT-B113</t>
  </si>
  <si>
    <t>BSKT-B1110</t>
  </si>
  <si>
    <t>BSKT-B1108</t>
  </si>
  <si>
    <t>BSKT-B1105</t>
  </si>
  <si>
    <t>BSKT-B1102</t>
  </si>
  <si>
    <t>BSKT-B110</t>
  </si>
  <si>
    <t>BSKT-B108</t>
  </si>
  <si>
    <t>BSKT-B107</t>
  </si>
  <si>
    <t>BSKT-B106</t>
  </si>
  <si>
    <t>BSKT-B105</t>
  </si>
  <si>
    <t>BSKT-B102</t>
  </si>
  <si>
    <t>BSKT-B101</t>
  </si>
  <si>
    <t>BSKT-A521</t>
  </si>
  <si>
    <t>BSKT-A519</t>
  </si>
  <si>
    <t>BSKT-A518</t>
  </si>
  <si>
    <t>BSKT-A516</t>
  </si>
  <si>
    <t>BSKT-A515</t>
  </si>
  <si>
    <t>BSKT-A514</t>
  </si>
  <si>
    <t>BSKT-A510</t>
  </si>
  <si>
    <t>BSKT-A509</t>
  </si>
  <si>
    <t>BSKT-A506</t>
  </si>
  <si>
    <t>BSKT-A505</t>
  </si>
  <si>
    <t>BSKT-A504</t>
  </si>
  <si>
    <t>BSKT-A503</t>
  </si>
  <si>
    <t>BSKT-A421</t>
  </si>
  <si>
    <t>BSKT-A420</t>
  </si>
  <si>
    <t>BSKT-A419</t>
  </si>
  <si>
    <t>BSKT-A418</t>
  </si>
  <si>
    <t>BSKT-A416</t>
  </si>
  <si>
    <t>BSKT-A415</t>
  </si>
  <si>
    <t>BSKT-A414</t>
  </si>
  <si>
    <t>BSKT-A410</t>
  </si>
  <si>
    <t>BSKT-A409</t>
  </si>
  <si>
    <t>BSKT-A406</t>
  </si>
  <si>
    <t>BSKT-A405</t>
  </si>
  <si>
    <t>BSKT-A404</t>
  </si>
  <si>
    <t>BSKT-A403</t>
  </si>
  <si>
    <t>BSKT-A3435</t>
  </si>
  <si>
    <t>BSKT-A3434</t>
  </si>
  <si>
    <t>BSKT-A3430</t>
  </si>
  <si>
    <t>BSKT-A3423</t>
  </si>
  <si>
    <t>BSKT-A3422</t>
  </si>
  <si>
    <t>BSKT-A3421</t>
  </si>
  <si>
    <t>BSKT-A3420</t>
  </si>
  <si>
    <t>BSKT-A3417</t>
  </si>
  <si>
    <t>BSKT-A3416</t>
  </si>
  <si>
    <t>BSKT-A3410</t>
  </si>
  <si>
    <t>BSKT-A3403</t>
  </si>
  <si>
    <t>BSKT-A3336</t>
  </si>
  <si>
    <t>BSKT-A3335</t>
  </si>
  <si>
    <t>BSKT-A3330</t>
  </si>
  <si>
    <t>BSKT-A3323</t>
  </si>
  <si>
    <t>BSKT-A3322</t>
  </si>
  <si>
    <t>BSKT-A3321</t>
  </si>
  <si>
    <t>BSKT-A3320</t>
  </si>
  <si>
    <t>BSKT-A3317</t>
  </si>
  <si>
    <t>BSKT-A3316</t>
  </si>
  <si>
    <t>BSKT-A3310</t>
  </si>
  <si>
    <t>BSKT-A3304</t>
  </si>
  <si>
    <t>BSKT-A3236</t>
  </si>
  <si>
    <t>BSKT-A3235</t>
  </si>
  <si>
    <t>BSKT-A3234</t>
  </si>
  <si>
    <t>BSKT-A3233</t>
  </si>
  <si>
    <t>BSKT-A3224</t>
  </si>
  <si>
    <t>BSKT-A3223</t>
  </si>
  <si>
    <t>BSKT-A3222</t>
  </si>
  <si>
    <t>BSKT-A3221</t>
  </si>
  <si>
    <t>BSKT-A3220</t>
  </si>
  <si>
    <t>BSKT-A3219</t>
  </si>
  <si>
    <t>BSKT-A3217</t>
  </si>
  <si>
    <t>BSKT-A3216</t>
  </si>
  <si>
    <t>BSKT-A3210</t>
  </si>
  <si>
    <t>BSKT-A321</t>
  </si>
  <si>
    <t>BSKT-A3204</t>
  </si>
  <si>
    <t>BSKT-A3203</t>
  </si>
  <si>
    <t>BSKT-A320</t>
  </si>
  <si>
    <t>BSKT-A319</t>
  </si>
  <si>
    <t>BSKT-A318</t>
  </si>
  <si>
    <t>BSKT-A316</t>
  </si>
  <si>
    <t>BSKT-A315</t>
  </si>
  <si>
    <t>BSKT-A314</t>
  </si>
  <si>
    <t>BSKT-A3135</t>
  </si>
  <si>
    <t>BSKT-A3134</t>
  </si>
  <si>
    <t>BSKT-A3133</t>
  </si>
  <si>
    <t>BSKT-A3124</t>
  </si>
  <si>
    <t>BSKT-A3123</t>
  </si>
  <si>
    <t>BSKT-A3122</t>
  </si>
  <si>
    <t>BSKT-A3121</t>
  </si>
  <si>
    <t>BSKT-A3120</t>
  </si>
  <si>
    <t>BSKT-A3119</t>
  </si>
  <si>
    <t>BSKT-A3117</t>
  </si>
  <si>
    <t>BSKT-A3116</t>
  </si>
  <si>
    <t>BSKT-A3110</t>
  </si>
  <si>
    <t>BSKT-A3104</t>
  </si>
  <si>
    <t>BSKT-A3103</t>
  </si>
  <si>
    <t>BSKT-A310</t>
  </si>
  <si>
    <t>BSKT-A307</t>
  </si>
  <si>
    <t>BSKT-A306</t>
  </si>
  <si>
    <t>BSKT-A305</t>
  </si>
  <si>
    <t>BSKT-A304</t>
  </si>
  <si>
    <t>BSKT-A303</t>
  </si>
  <si>
    <t>BSKT-A2518</t>
  </si>
  <si>
    <t>BSKT-A2517</t>
  </si>
  <si>
    <t>BSKT-A2515</t>
  </si>
  <si>
    <t>BSKT-A2514</t>
  </si>
  <si>
    <t>BSKT-A2505</t>
  </si>
  <si>
    <t>BSKT-A2503</t>
  </si>
  <si>
    <t>BSKT-A2502</t>
  </si>
  <si>
    <t>BSKT-A2336</t>
  </si>
  <si>
    <t>BSKT-A2335</t>
  </si>
  <si>
    <t>BSKT-A2334</t>
  </si>
  <si>
    <t>BSKT-A2333</t>
  </si>
  <si>
    <t>BSKT-A2332</t>
  </si>
  <si>
    <t>BSKT-A2330</t>
  </si>
  <si>
    <t>BSKT-A2324</t>
  </si>
  <si>
    <t>BSKT-A2323</t>
  </si>
  <si>
    <t>BSKT-A2322</t>
  </si>
  <si>
    <t>BSKT-A2321</t>
  </si>
  <si>
    <t>BSKT-A2320</t>
  </si>
  <si>
    <t>BSKT-A2319</t>
  </si>
  <si>
    <t>BSKT-A2317</t>
  </si>
  <si>
    <t>BSKT-A2316</t>
  </si>
  <si>
    <t>BSKT-A2305</t>
  </si>
  <si>
    <t>BSKT-A2304</t>
  </si>
  <si>
    <t>BSKT-A2303</t>
  </si>
  <si>
    <t>BSKT-A2235</t>
  </si>
  <si>
    <t>BSKT-A2234</t>
  </si>
  <si>
    <t>BSKT-A2233</t>
  </si>
  <si>
    <t>BSKT-A2232</t>
  </si>
  <si>
    <t>BSKT-A2223</t>
  </si>
  <si>
    <t>BSKT-A2222</t>
  </si>
  <si>
    <t>BSKT-A2221</t>
  </si>
  <si>
    <t>BSKT-A2220</t>
  </si>
  <si>
    <t>BSKT-A2219</t>
  </si>
  <si>
    <t>BSKT-A2217</t>
  </si>
  <si>
    <t>BSKT-A2216</t>
  </si>
  <si>
    <t>BSKT-A2207</t>
  </si>
  <si>
    <t>BSKT-A2206</t>
  </si>
  <si>
    <t>BSKT-A2205</t>
  </si>
  <si>
    <t>BSKT-A2204</t>
  </si>
  <si>
    <t>BSKT-A2203</t>
  </si>
  <si>
    <t>BSKT-A214</t>
  </si>
  <si>
    <t>BSKT-A2136</t>
  </si>
  <si>
    <t>BSKT-A2135</t>
  </si>
  <si>
    <t>BSKT-A2134</t>
  </si>
  <si>
    <t>BSKT-A2133</t>
  </si>
  <si>
    <t>BSKT-A213</t>
  </si>
  <si>
    <t>BSKT-A2124</t>
  </si>
  <si>
    <t>BSKT-A2123</t>
  </si>
  <si>
    <t>BSKT-A2122</t>
  </si>
  <si>
    <t>BSKT-A2121</t>
  </si>
  <si>
    <t>BSKT-A2120</t>
  </si>
  <si>
    <t>BSKT-A212</t>
  </si>
  <si>
    <t>BSKT-A2119</t>
  </si>
  <si>
    <t>BSKT-A2117</t>
  </si>
  <si>
    <t>BSKT-A2116</t>
  </si>
  <si>
    <t>BSKT-A211</t>
  </si>
  <si>
    <t>BSKT-A2106</t>
  </si>
  <si>
    <t>BSKT-A2105</t>
  </si>
  <si>
    <t>BSKT-A2104</t>
  </si>
  <si>
    <t>BSKT-A2103</t>
  </si>
  <si>
    <t>BSKT-A209</t>
  </si>
  <si>
    <t>BSKT-A208</t>
  </si>
  <si>
    <t>BSKT-A207</t>
  </si>
  <si>
    <t>BSKT-A206</t>
  </si>
  <si>
    <t>BSKT-A204</t>
  </si>
  <si>
    <t>BSKT-A203</t>
  </si>
  <si>
    <t>BSKT-A1522</t>
  </si>
  <si>
    <t>BSKT-A1521</t>
  </si>
  <si>
    <t>BSKT-A1520</t>
  </si>
  <si>
    <t>BSKT-A1519</t>
  </si>
  <si>
    <t>BSKT-A1517</t>
  </si>
  <si>
    <t>BSKT-A1516</t>
  </si>
  <si>
    <t>BSKT-A1510</t>
  </si>
  <si>
    <t>BSKT-A1509</t>
  </si>
  <si>
    <t>BSKT-A1503</t>
  </si>
  <si>
    <t>BSKT-A1318</t>
  </si>
  <si>
    <t>BSKT-A1317</t>
  </si>
  <si>
    <t>BSKT-A1315</t>
  </si>
  <si>
    <t>BSKT-A1314</t>
  </si>
  <si>
    <t>BSKT-A1308</t>
  </si>
  <si>
    <t>BSKT-A1307</t>
  </si>
  <si>
    <t>BSKT-A1305</t>
  </si>
  <si>
    <t>BSKT-A1304</t>
  </si>
  <si>
    <t>BSKT-A1303</t>
  </si>
  <si>
    <t>BSKT-A1302</t>
  </si>
  <si>
    <t>BSKT-A1301</t>
  </si>
  <si>
    <t>BSKT-A1134</t>
  </si>
  <si>
    <t>BSKT-A1133</t>
  </si>
  <si>
    <t>BSKT-A1132</t>
  </si>
  <si>
    <t>BSKT-A1123</t>
  </si>
  <si>
    <t>BSKT-A1122</t>
  </si>
  <si>
    <t>BSKT-A1121</t>
  </si>
  <si>
    <t>BSKT-A1120</t>
  </si>
  <si>
    <t>BSKT-A1119</t>
  </si>
  <si>
    <t>BSKT-A1118</t>
  </si>
  <si>
    <t>BSKT-A1116</t>
  </si>
  <si>
    <t>BSKT-A1115</t>
  </si>
  <si>
    <t>BSKT-A1114</t>
  </si>
  <si>
    <t>BSKT-A1110</t>
  </si>
  <si>
    <t>BSKT-A1104</t>
  </si>
  <si>
    <t>BSKT-A109</t>
  </si>
  <si>
    <t>BSKT-A108</t>
  </si>
  <si>
    <t>BSKT-A107</t>
  </si>
  <si>
    <t>BSKT-A106</t>
  </si>
  <si>
    <t>BSKT-A105</t>
  </si>
  <si>
    <t>BSKT-A104</t>
  </si>
  <si>
    <t>DETROIT ST. , DUBAI AUTODROME</t>
  </si>
  <si>
    <t>BUILDING AMENTIES, JVC ,SHEIKH MOHAMED BIN ZAYED ROAD</t>
  </si>
  <si>
    <t>DETROIT ST. ,MOTOR CITY</t>
  </si>
  <si>
    <t>HESSA ST., DUBAI INTERNATIONAL CRICKET STADIUM, DUBAI SPORT CITY, DETROIT ST. ,MOTOR CITY</t>
  </si>
  <si>
    <t>HESSA ST., DUBAI INTERNATIONAL CRICKET STADIUM, DUBAI SPORT CITY</t>
  </si>
  <si>
    <t>DETROIT ST. ,MOTOR CITY, DUBAI AUTODROME</t>
  </si>
  <si>
    <t>BINGHATTI ELITE AVAILABILITY</t>
  </si>
  <si>
    <t>AMENITY AND SWIMMING POOL VIEW + SHEIKH ZAYED ROAD + NEIGHBORS PLOT</t>
  </si>
  <si>
    <t>Unit Area</t>
  </si>
  <si>
    <t>BINGHATTI VINTAGE</t>
  </si>
  <si>
    <t>AMENITY VIEW, SHEIKH MOHAMMED BIN ZAYED ROAD, IMG WORLD</t>
  </si>
  <si>
    <t>BTNT-1418</t>
  </si>
  <si>
    <t>BINGHATTI FLARE 02</t>
  </si>
  <si>
    <t>Completion Date: 31/05/2027</t>
  </si>
  <si>
    <t>BINGHATTI CIRCLE</t>
  </si>
  <si>
    <t>BINGHATTI AURORA</t>
  </si>
  <si>
    <t>BSKT-A1109</t>
  </si>
  <si>
    <t>BINGHATTI ORCHID</t>
  </si>
  <si>
    <t>Completion Date: 30/09/2024</t>
  </si>
  <si>
    <t>BUGA-1403</t>
  </si>
  <si>
    <t>BURJ-102</t>
  </si>
  <si>
    <t>Downtown Burj Khalifa direction and Tower Amenities</t>
  </si>
  <si>
    <t>BURJ-5304</t>
  </si>
  <si>
    <t>BURJ-6601</t>
  </si>
  <si>
    <t>BELT-101</t>
  </si>
  <si>
    <t>BELT-902</t>
  </si>
  <si>
    <t>SHEIKH ZAYED ROAD + NEIGHBOR PLOT</t>
  </si>
  <si>
    <t>BELT-802</t>
  </si>
  <si>
    <t>BELT-758</t>
  </si>
  <si>
    <t>BELT-752</t>
  </si>
  <si>
    <t>BELT-552</t>
  </si>
  <si>
    <t>BELT-358</t>
  </si>
  <si>
    <t>BELT-2102</t>
  </si>
  <si>
    <t>BELT-2002</t>
  </si>
  <si>
    <t>BELT-1702</t>
  </si>
  <si>
    <t>BELT-152</t>
  </si>
  <si>
    <t>BSKH-707</t>
  </si>
  <si>
    <t>BSKH-807</t>
  </si>
  <si>
    <t>BSKT-B2408</t>
  </si>
  <si>
    <t>BSKT-B2405</t>
  </si>
  <si>
    <t>BSKT-B2402</t>
  </si>
  <si>
    <t>BSKT-B2305</t>
  </si>
  <si>
    <t>BSKT-B1422</t>
  </si>
  <si>
    <t>BSKT-B1421</t>
  </si>
  <si>
    <t>BSKT-B1419</t>
  </si>
  <si>
    <t>BSKT-B1415</t>
  </si>
  <si>
    <t>BSKT-B1410</t>
  </si>
  <si>
    <t>BSKT-B1406</t>
  </si>
  <si>
    <t>BSKT-B1405</t>
  </si>
  <si>
    <t>BSKT-B1402</t>
  </si>
  <si>
    <t>BSKT-B1211</t>
  </si>
  <si>
    <t>BSKT-B1208</t>
  </si>
  <si>
    <t>BSKT-B1205</t>
  </si>
  <si>
    <t>BSKT-B1202</t>
  </si>
  <si>
    <t>BSKT-A2436</t>
  </si>
  <si>
    <t>BSKT-A2435</t>
  </si>
  <si>
    <t>BSKT-A2434</t>
  </si>
  <si>
    <t>BSKT-A2433</t>
  </si>
  <si>
    <t>BSKT-A2430</t>
  </si>
  <si>
    <t>BSKT-A2423</t>
  </si>
  <si>
    <t>BSKT-A2422</t>
  </si>
  <si>
    <t>BSKT-A2421</t>
  </si>
  <si>
    <t>BSKT-A2420</t>
  </si>
  <si>
    <t>BSKT-A2419</t>
  </si>
  <si>
    <t>BSKT-A2417</t>
  </si>
  <si>
    <t>BSKT-A2416</t>
  </si>
  <si>
    <t>BSKT-A2410</t>
  </si>
  <si>
    <t>BSKT-A2409</t>
  </si>
  <si>
    <t>BSKT-A2405</t>
  </si>
  <si>
    <t>BSKT-A2404</t>
  </si>
  <si>
    <t>BSKT-A2403</t>
  </si>
  <si>
    <t>BSKT-A1420</t>
  </si>
  <si>
    <t>BSKT-A1419</t>
  </si>
  <si>
    <t>BSKT-A1417</t>
  </si>
  <si>
    <t>BSKT-A1416</t>
  </si>
  <si>
    <t>BSKT-A1410</t>
  </si>
  <si>
    <t>BSKT-A1409</t>
  </si>
  <si>
    <t>BSKT-A1406</t>
  </si>
  <si>
    <t>BSKT-A1405</t>
  </si>
  <si>
    <t>BSKT-A1403</t>
  </si>
  <si>
    <t>BSKT-A1236</t>
  </si>
  <si>
    <t>BSKT-A1234</t>
  </si>
  <si>
    <t>BSKT-A1233</t>
  </si>
  <si>
    <t>BSKT-A1227</t>
  </si>
  <si>
    <t>BSKT-A1224</t>
  </si>
  <si>
    <t>BSKT-A1223</t>
  </si>
  <si>
    <t>BSKT-A1222</t>
  </si>
  <si>
    <t>BSKT-A1221</t>
  </si>
  <si>
    <t>BSKT-A1220</t>
  </si>
  <si>
    <t>BSKT-A1219</t>
  </si>
  <si>
    <t>BSKT-A1217</t>
  </si>
  <si>
    <t>BSKT-A1216</t>
  </si>
  <si>
    <t>BSKT-A1210</t>
  </si>
  <si>
    <t>BSKT-A1207</t>
  </si>
  <si>
    <t>BSKT-A1206</t>
  </si>
  <si>
    <t>BSKT-A1205</t>
  </si>
  <si>
    <t>BSKT-A1203</t>
  </si>
  <si>
    <t>3 Bedroom Burj Royal Wing</t>
  </si>
  <si>
    <t>BSKB-5004</t>
  </si>
  <si>
    <t>BSKB-4804</t>
  </si>
  <si>
    <t>BSKB-4704</t>
  </si>
  <si>
    <t>BSKB-4604</t>
  </si>
  <si>
    <t>46</t>
  </si>
  <si>
    <t>BSKB-4504</t>
  </si>
  <si>
    <t>BSKB-4404</t>
  </si>
  <si>
    <t>BSKB-4304</t>
  </si>
  <si>
    <t>BSKB-4204</t>
  </si>
  <si>
    <t>AMENITY VIEW, MAIN ROAD, BURJ KHALIFA, NEIGHBOR'S PLOT</t>
  </si>
  <si>
    <t>BUSINESS BAY+BURJ KHALIFA VIEW+BURJ KHALIFA DISTRICT</t>
  </si>
  <si>
    <t>WATER CANAL VIEW+BUSINESS BAY+BURJ KHALIFA VIEW</t>
  </si>
  <si>
    <t>MERC-504</t>
  </si>
  <si>
    <t>WATER CANAL VIEW+AL ASAYEL STREET+BURJ KHALIFA VIEW+BURJ KHALIFA DISTRICT</t>
  </si>
  <si>
    <t>MERC-604</t>
  </si>
  <si>
    <t>MERC-701</t>
  </si>
  <si>
    <t>MERC-901</t>
  </si>
  <si>
    <t>MERC-1004</t>
  </si>
  <si>
    <t>MERC-1104</t>
  </si>
  <si>
    <t>MERC-1304</t>
  </si>
  <si>
    <t>MERC-1301</t>
  </si>
  <si>
    <t>MERC-1501</t>
  </si>
  <si>
    <t>MERC-1504</t>
  </si>
  <si>
    <t>MERC-1604</t>
  </si>
  <si>
    <t>MERC-1701</t>
  </si>
  <si>
    <t>BURJ KHALIFA VIEW+ BURJ KHALIFA DISTRICT+WATER CANAL VIEW+AL ASAYEL STREET</t>
  </si>
  <si>
    <t>MERC-2101</t>
  </si>
  <si>
    <t>MERC-2301</t>
  </si>
  <si>
    <t>MERC-2201</t>
  </si>
  <si>
    <t>MERC-2403</t>
  </si>
  <si>
    <t>MERC-2401</t>
  </si>
  <si>
    <t>MERC-2303</t>
  </si>
  <si>
    <t>MERC-2503</t>
  </si>
  <si>
    <t>MERC-2501</t>
  </si>
  <si>
    <t>MERC-2701</t>
  </si>
  <si>
    <t>MERC-2603</t>
  </si>
  <si>
    <t>MERC-2601</t>
  </si>
  <si>
    <t>MERC-2703</t>
  </si>
  <si>
    <t>MERC-2901</t>
  </si>
  <si>
    <t>MERC-2903</t>
  </si>
  <si>
    <t>MERC-3103</t>
  </si>
  <si>
    <t>MERC-3401</t>
  </si>
  <si>
    <t>MERC-3502</t>
  </si>
  <si>
    <t>MERC-3501</t>
  </si>
  <si>
    <t>MERC-3403</t>
  </si>
  <si>
    <t>MERC-3402</t>
  </si>
  <si>
    <t>MERC-3701</t>
  </si>
  <si>
    <t>MERC-3603</t>
  </si>
  <si>
    <t>MERC-3601</t>
  </si>
  <si>
    <t>MERC-3703</t>
  </si>
  <si>
    <t>MERC-3803</t>
  </si>
  <si>
    <t>MERC-3801</t>
  </si>
  <si>
    <t>BAQR-A914</t>
  </si>
  <si>
    <t>BAQR-A214</t>
  </si>
  <si>
    <t>BAQR-A1602</t>
  </si>
  <si>
    <t>BAQR-A1502</t>
  </si>
  <si>
    <t>BAQR-A1402</t>
  </si>
  <si>
    <t>BAQR-A1302</t>
  </si>
  <si>
    <t>BAQR-A702</t>
  </si>
  <si>
    <t>BAQR-A302</t>
  </si>
  <si>
    <t>BAQR-A202</t>
  </si>
  <si>
    <t>BAQR-C1338</t>
  </si>
  <si>
    <t>BAQR-A102</t>
  </si>
  <si>
    <t>BAQR-C1236</t>
  </si>
  <si>
    <t>BAQR-C538</t>
  </si>
  <si>
    <t>BAQR-C436</t>
  </si>
  <si>
    <t>BAQR-C339</t>
  </si>
  <si>
    <t>BAQR-B320</t>
  </si>
  <si>
    <t>BAQR-A307</t>
  </si>
  <si>
    <t>BAQR-C239</t>
  </si>
  <si>
    <t>BAQR-B220</t>
  </si>
  <si>
    <t>BAQR-A207</t>
  </si>
  <si>
    <t>BAQR-C136</t>
  </si>
  <si>
    <t>BAQR-B117</t>
  </si>
  <si>
    <t>BAQR-A106</t>
  </si>
  <si>
    <t>BAQR-A311</t>
  </si>
  <si>
    <t>BAQR-A211</t>
  </si>
  <si>
    <t>BAQR-A110</t>
  </si>
  <si>
    <t>BAQR-A1102</t>
  </si>
  <si>
    <t>BAQR-A1002</t>
  </si>
  <si>
    <t>BAQR-C944</t>
  </si>
  <si>
    <t>BAQR-B1016</t>
  </si>
  <si>
    <t>BAQR-B916</t>
  </si>
  <si>
    <t>BAQR-C344</t>
  </si>
  <si>
    <t>BAQR-C244</t>
  </si>
  <si>
    <t>BAQR-B316</t>
  </si>
  <si>
    <t>BAQR-B216</t>
  </si>
  <si>
    <t>BAQR-D246</t>
  </si>
  <si>
    <t>BAQR-A602</t>
  </si>
  <si>
    <t>BAQR-A502</t>
  </si>
  <si>
    <t>BAQR-A402</t>
  </si>
  <si>
    <t>BAQR-A101</t>
  </si>
  <si>
    <t>BAQR-A507</t>
  </si>
  <si>
    <t>BAQR-C637</t>
  </si>
  <si>
    <t>BAQR-B632</t>
  </si>
  <si>
    <t>BAQR-A902</t>
  </si>
  <si>
    <t>BAQR-A802</t>
  </si>
  <si>
    <t>MAIN ROAD + SPORT FIELD + BUILDING AMENITY</t>
  </si>
  <si>
    <t>BUILDING AMENITY + GYM + MAIN ROAD + SPORT FIELD</t>
  </si>
  <si>
    <t>NEIGHBOR PLOT + SPORT FIELD</t>
  </si>
  <si>
    <t>BURJ-4401</t>
  </si>
  <si>
    <t>1 Bedroom Royal Suite</t>
  </si>
  <si>
    <t>BINGHATTI ROYALE</t>
  </si>
  <si>
    <t>Completion Date: 31/10/2025</t>
  </si>
  <si>
    <t>BUGA-1001</t>
  </si>
  <si>
    <t>BUGA-1501</t>
  </si>
  <si>
    <t>BUGA-2204</t>
  </si>
  <si>
    <t>BUGA-2904</t>
  </si>
  <si>
    <t>BUGA-3305</t>
  </si>
  <si>
    <t>BURJ-4504</t>
  </si>
  <si>
    <t>BURJ-4503</t>
  </si>
  <si>
    <t>BURJ-5703</t>
  </si>
  <si>
    <t>BURJ-5803</t>
  </si>
  <si>
    <t>BURJ-6003</t>
  </si>
  <si>
    <t>BURJ-6002</t>
  </si>
  <si>
    <t>BURJ-6103</t>
  </si>
  <si>
    <t>BURJ-6401</t>
  </si>
  <si>
    <t>BURJ-6501</t>
  </si>
  <si>
    <t>BURJ-6403</t>
  </si>
  <si>
    <t>MERC-201</t>
  </si>
  <si>
    <t>MERC-801</t>
  </si>
  <si>
    <t>BELT-1861</t>
  </si>
  <si>
    <t>BHCR-R19</t>
  </si>
  <si>
    <t>BHCR-R21</t>
  </si>
  <si>
    <t>BSKT-B902</t>
  </si>
  <si>
    <t>BSKT-B901</t>
  </si>
  <si>
    <t>BSKT-B811</t>
  </si>
  <si>
    <t>BSKT-B810</t>
  </si>
  <si>
    <t>BSKT-B808</t>
  </si>
  <si>
    <t>BSKT-B807</t>
  </si>
  <si>
    <t>BSKT-B806</t>
  </si>
  <si>
    <t>BSKT-B802</t>
  </si>
  <si>
    <t>BSKT-B801</t>
  </si>
  <si>
    <t>BSKT-B725</t>
  </si>
  <si>
    <t>BSKT-B722</t>
  </si>
  <si>
    <t>BSKT-B721</t>
  </si>
  <si>
    <t>BSKT-B720</t>
  </si>
  <si>
    <t>BSKT-B719</t>
  </si>
  <si>
    <t>BSKT-B716</t>
  </si>
  <si>
    <t>BSKT-B715</t>
  </si>
  <si>
    <t>BSKT-B713</t>
  </si>
  <si>
    <t>BSKT-B710</t>
  </si>
  <si>
    <t>BSKT-B707</t>
  </si>
  <si>
    <t>BSKT-B706</t>
  </si>
  <si>
    <t>BSKT-B705</t>
  </si>
  <si>
    <t>BSKT-B702</t>
  </si>
  <si>
    <t>BSKT-B701</t>
  </si>
  <si>
    <t>BSKT-B625</t>
  </si>
  <si>
    <t>BSKT-B622</t>
  </si>
  <si>
    <t>BSKT-B621</t>
  </si>
  <si>
    <t>BSKT-B620</t>
  </si>
  <si>
    <t>BSKT-B619</t>
  </si>
  <si>
    <t>BSKT-B616</t>
  </si>
  <si>
    <t>BSKT-B615</t>
  </si>
  <si>
    <t>BSKT-B613</t>
  </si>
  <si>
    <t>BSKT-B607</t>
  </si>
  <si>
    <t>BSKT-B606</t>
  </si>
  <si>
    <t>BSKT-B605</t>
  </si>
  <si>
    <t>BSKT-B602</t>
  </si>
  <si>
    <t>BSKT-B601</t>
  </si>
  <si>
    <t>BSKT-B521</t>
  </si>
  <si>
    <t>BSKT-B520</t>
  </si>
  <si>
    <t>BSKT-B504</t>
  </si>
  <si>
    <t>BSKT-B2916</t>
  </si>
  <si>
    <t>BSKT-B2907</t>
  </si>
  <si>
    <t>BSKT-B2905</t>
  </si>
  <si>
    <t>BSKT-B2824</t>
  </si>
  <si>
    <t>BSKT-B2822</t>
  </si>
  <si>
    <t>BSKT-B2821</t>
  </si>
  <si>
    <t>BSKT-B2820</t>
  </si>
  <si>
    <t>BSKT-B2816</t>
  </si>
  <si>
    <t>BSKT-B2815</t>
  </si>
  <si>
    <t>BSKT-B2810</t>
  </si>
  <si>
    <t>BSKT-B2807</t>
  </si>
  <si>
    <t>BSKT-B2806</t>
  </si>
  <si>
    <t>BSKT-B2802</t>
  </si>
  <si>
    <t>BSKT-B2725</t>
  </si>
  <si>
    <t>BSKT-B2724</t>
  </si>
  <si>
    <t>BSKT-B2722</t>
  </si>
  <si>
    <t>BSKT-B2721</t>
  </si>
  <si>
    <t>BSKT-B2720</t>
  </si>
  <si>
    <t>BSKT-B2719</t>
  </si>
  <si>
    <t>BSKT-B2716</t>
  </si>
  <si>
    <t>BSKT-B2715</t>
  </si>
  <si>
    <t>BSKT-B2713</t>
  </si>
  <si>
    <t>BSKT-B2710</t>
  </si>
  <si>
    <t>BSKT-B2707</t>
  </si>
  <si>
    <t>BSKT-B2706</t>
  </si>
  <si>
    <t>BSKT-B2705</t>
  </si>
  <si>
    <t>BSKT-B2702</t>
  </si>
  <si>
    <t>BSKT-B2701</t>
  </si>
  <si>
    <t>BSKT-B2625</t>
  </si>
  <si>
    <t>BSKT-B2624</t>
  </si>
  <si>
    <t>BSKT-B2622</t>
  </si>
  <si>
    <t>BSKT-B2621</t>
  </si>
  <si>
    <t>BSKT-B2620</t>
  </si>
  <si>
    <t>BSKT-B2619</t>
  </si>
  <si>
    <t>BSKT-B2616</t>
  </si>
  <si>
    <t>BSKT-B2615</t>
  </si>
  <si>
    <t>BSKT-B2608</t>
  </si>
  <si>
    <t>BSKT-B2607</t>
  </si>
  <si>
    <t>BSKT-B2606</t>
  </si>
  <si>
    <t>BSKT-B2605</t>
  </si>
  <si>
    <t>BSKT-B2602</t>
  </si>
  <si>
    <t>BSKT-B1911</t>
  </si>
  <si>
    <t>BSKT-B1908</t>
  </si>
  <si>
    <t>BSKT-B1907</t>
  </si>
  <si>
    <t>BSKT-B1906</t>
  </si>
  <si>
    <t>BSKT-B1905</t>
  </si>
  <si>
    <t>BSKT-B1902</t>
  </si>
  <si>
    <t>BSKT-B1901</t>
  </si>
  <si>
    <t>BSKT-B1825</t>
  </si>
  <si>
    <t>BSKT-B1822</t>
  </si>
  <si>
    <t>BSKT-B1821</t>
  </si>
  <si>
    <t>BSKT-B1820</t>
  </si>
  <si>
    <t>BSKT-B1819</t>
  </si>
  <si>
    <t>BSKT-B1816</t>
  </si>
  <si>
    <t>BSKT-B1815</t>
  </si>
  <si>
    <t>BSKT-B1808</t>
  </si>
  <si>
    <t>BSKT-B1807</t>
  </si>
  <si>
    <t>BSKT-B1806</t>
  </si>
  <si>
    <t>BSKT-B1805</t>
  </si>
  <si>
    <t>BSKT-B1804</t>
  </si>
  <si>
    <t>BSKT-B1802</t>
  </si>
  <si>
    <t>BSKT-B1801</t>
  </si>
  <si>
    <t>BSKT-B1725</t>
  </si>
  <si>
    <t>BSKT-B1722</t>
  </si>
  <si>
    <t>BSKT-B1721</t>
  </si>
  <si>
    <t>BSKT-B1719</t>
  </si>
  <si>
    <t>BSKT-B1716</t>
  </si>
  <si>
    <t>BSKT-B1715</t>
  </si>
  <si>
    <t>BSKT-B1707</t>
  </si>
  <si>
    <t>BSKT-B1706</t>
  </si>
  <si>
    <t>BSKT-B1705</t>
  </si>
  <si>
    <t>BSKT-B1704</t>
  </si>
  <si>
    <t>BSKT-B1702</t>
  </si>
  <si>
    <t>BSKT-B1701</t>
  </si>
  <si>
    <t>BSKT-B1625</t>
  </si>
  <si>
    <t>BSKT-B1622</t>
  </si>
  <si>
    <t>BSKT-B1621</t>
  </si>
  <si>
    <t>BSKT-B1620</t>
  </si>
  <si>
    <t>BSKT-B1619</t>
  </si>
  <si>
    <t>BSKT-B1616</t>
  </si>
  <si>
    <t>BSKT-B1615</t>
  </si>
  <si>
    <t>BSKT-B1607</t>
  </si>
  <si>
    <t>BSKT-B1606</t>
  </si>
  <si>
    <t>BSKT-B1605</t>
  </si>
  <si>
    <t>BSKT-B1604</t>
  </si>
  <si>
    <t>BSKT-B1602</t>
  </si>
  <si>
    <t>BSKT-B1601</t>
  </si>
  <si>
    <t>BSKT-B1501</t>
  </si>
  <si>
    <t>BSKT-B1420</t>
  </si>
  <si>
    <t>BSKT-B1304</t>
  </si>
  <si>
    <t>BSKT-B124</t>
  </si>
  <si>
    <t>BSKT-B1201</t>
  </si>
  <si>
    <t>BSKT-B1008</t>
  </si>
  <si>
    <t>BSKT-B1007</t>
  </si>
  <si>
    <t>BSKT-B1006</t>
  </si>
  <si>
    <t>BSKT-B1005</t>
  </si>
  <si>
    <t>BSKT-B1002</t>
  </si>
  <si>
    <t>BSKT-A935</t>
  </si>
  <si>
    <t>BSKT-A934</t>
  </si>
  <si>
    <t>BSKT-A933</t>
  </si>
  <si>
    <t>BSKT-A932</t>
  </si>
  <si>
    <t>BSKT-A931</t>
  </si>
  <si>
    <t>BSKT-A929</t>
  </si>
  <si>
    <t>BSKT-A928</t>
  </si>
  <si>
    <t>BSKT-A926</t>
  </si>
  <si>
    <t>BSKT-A925</t>
  </si>
  <si>
    <t>BSKT-A923</t>
  </si>
  <si>
    <t>BSKT-A922</t>
  </si>
  <si>
    <t>BSKT-A921</t>
  </si>
  <si>
    <t>BSKT-A920</t>
  </si>
  <si>
    <t>BSKT-A919</t>
  </si>
  <si>
    <t>BSKT-A918</t>
  </si>
  <si>
    <t>BSKT-A916</t>
  </si>
  <si>
    <t>BSKT-A915</t>
  </si>
  <si>
    <t>BSKT-A914</t>
  </si>
  <si>
    <t>BSKT-A913</t>
  </si>
  <si>
    <t>BSKT-A910</t>
  </si>
  <si>
    <t>BSKT-A909</t>
  </si>
  <si>
    <t>BSKT-A907</t>
  </si>
  <si>
    <t>BSKT-A906</t>
  </si>
  <si>
    <t>BSKT-A905</t>
  </si>
  <si>
    <t>BSKT-A904</t>
  </si>
  <si>
    <t>BSKT-A903</t>
  </si>
  <si>
    <t>BSKT-A835</t>
  </si>
  <si>
    <t>BSKT-A834</t>
  </si>
  <si>
    <t>BSKT-A833</t>
  </si>
  <si>
    <t>BSKT-A832</t>
  </si>
  <si>
    <t>BSKT-A831</t>
  </si>
  <si>
    <t>BSKT-A829</t>
  </si>
  <si>
    <t>BSKT-A828</t>
  </si>
  <si>
    <t>BSKT-A825</t>
  </si>
  <si>
    <t>BSKT-A823</t>
  </si>
  <si>
    <t>BSKT-A822</t>
  </si>
  <si>
    <t>BSKT-A821</t>
  </si>
  <si>
    <t>BSKT-A820</t>
  </si>
  <si>
    <t>BSKT-A819</t>
  </si>
  <si>
    <t>BSKT-A818</t>
  </si>
  <si>
    <t>BSKT-A816</t>
  </si>
  <si>
    <t>BSKT-A815</t>
  </si>
  <si>
    <t>BSKT-A814</t>
  </si>
  <si>
    <t>BSKT-A813</t>
  </si>
  <si>
    <t>BSKT-A810</t>
  </si>
  <si>
    <t>BSKT-A809</t>
  </si>
  <si>
    <t>BSKT-A807</t>
  </si>
  <si>
    <t>BSKT-A806</t>
  </si>
  <si>
    <t>BSKT-A805</t>
  </si>
  <si>
    <t>BSKT-A804</t>
  </si>
  <si>
    <t>BSKT-A803</t>
  </si>
  <si>
    <t>BSKT-A721</t>
  </si>
  <si>
    <t>BSKT-A720</t>
  </si>
  <si>
    <t>BSKT-A719</t>
  </si>
  <si>
    <t>BSKT-A718</t>
  </si>
  <si>
    <t>BSKT-A716</t>
  </si>
  <si>
    <t>BSKT-A715</t>
  </si>
  <si>
    <t>BSKT-A714</t>
  </si>
  <si>
    <t>BSKT-A710</t>
  </si>
  <si>
    <t>BSKT-A709</t>
  </si>
  <si>
    <t>BSKT-A707</t>
  </si>
  <si>
    <t>BSKT-A706</t>
  </si>
  <si>
    <t>BSKT-A704</t>
  </si>
  <si>
    <t>BSKT-A703</t>
  </si>
  <si>
    <t>BSKT-A621</t>
  </si>
  <si>
    <t>BSKT-A620</t>
  </si>
  <si>
    <t>BSKT-A619</t>
  </si>
  <si>
    <t>BSKT-A618</t>
  </si>
  <si>
    <t>BSKT-A616</t>
  </si>
  <si>
    <t>BSKT-A615</t>
  </si>
  <si>
    <t>BSKT-A614</t>
  </si>
  <si>
    <t>BSKT-A612</t>
  </si>
  <si>
    <t>BSKT-A610</t>
  </si>
  <si>
    <t>BSKT-A609</t>
  </si>
  <si>
    <t>BSKT-A607</t>
  </si>
  <si>
    <t>BSKT-A606</t>
  </si>
  <si>
    <t>BSKT-A605</t>
  </si>
  <si>
    <t>BSKT-A604</t>
  </si>
  <si>
    <t>BSKT-A603</t>
  </si>
  <si>
    <t>BSKT-A3324</t>
  </si>
  <si>
    <t>BSKT-A2910</t>
  </si>
  <si>
    <t>BSKT-A2822</t>
  </si>
  <si>
    <t>BSKT-A2821</t>
  </si>
  <si>
    <t>BSKT-A2820</t>
  </si>
  <si>
    <t>BSKT-A2819</t>
  </si>
  <si>
    <t>BSKT-A2817</t>
  </si>
  <si>
    <t>BSKT-A2816</t>
  </si>
  <si>
    <t>BSKT-A2810</t>
  </si>
  <si>
    <t>BSKT-A2807</t>
  </si>
  <si>
    <t>BSKT-A2805</t>
  </si>
  <si>
    <t>BSKT-A2804</t>
  </si>
  <si>
    <t>BSKT-A2803</t>
  </si>
  <si>
    <t>BSKT-A2722</t>
  </si>
  <si>
    <t>BSKT-A2721</t>
  </si>
  <si>
    <t>BSKT-A2720</t>
  </si>
  <si>
    <t>BSKT-A2719</t>
  </si>
  <si>
    <t>BSKT-A2717</t>
  </si>
  <si>
    <t>BSKT-A2716</t>
  </si>
  <si>
    <t>BSKT-A2710</t>
  </si>
  <si>
    <t>BSKT-A2709</t>
  </si>
  <si>
    <t>BSKT-A2705</t>
  </si>
  <si>
    <t>BSKT-A2703</t>
  </si>
  <si>
    <t>BSKT-A2622</t>
  </si>
  <si>
    <t>BSKT-A2621</t>
  </si>
  <si>
    <t>BSKT-A2620</t>
  </si>
  <si>
    <t>BSKT-A2619</t>
  </si>
  <si>
    <t>BSKT-A2617</t>
  </si>
  <si>
    <t>BSKT-A2616</t>
  </si>
  <si>
    <t>BSKT-A2610</t>
  </si>
  <si>
    <t>BSKT-A2609</t>
  </si>
  <si>
    <t>BSKT-A2607</t>
  </si>
  <si>
    <t>BSKT-A2606</t>
  </si>
  <si>
    <t>BSKT-A2605</t>
  </si>
  <si>
    <t>BSKT-A2604</t>
  </si>
  <si>
    <t>BSKT-A2603</t>
  </si>
  <si>
    <t>BSKT-A1936</t>
  </si>
  <si>
    <t>BSKT-A1934</t>
  </si>
  <si>
    <t>BSKT-A1933</t>
  </si>
  <si>
    <t>BSKT-A1932</t>
  </si>
  <si>
    <t>BSKT-A1930</t>
  </si>
  <si>
    <t>BSKT-A1929</t>
  </si>
  <si>
    <t>BSKT-A1924</t>
  </si>
  <si>
    <t>BSKT-A1923</t>
  </si>
  <si>
    <t>BSKT-A1922</t>
  </si>
  <si>
    <t>BSKT-A1921</t>
  </si>
  <si>
    <t>BSKT-A1920</t>
  </si>
  <si>
    <t>BSKT-A1919</t>
  </si>
  <si>
    <t>BSKT-A1917</t>
  </si>
  <si>
    <t>BSKT-A1916</t>
  </si>
  <si>
    <t>BSKT-A1910</t>
  </si>
  <si>
    <t>BSKT-A1907</t>
  </si>
  <si>
    <t>BSKT-A1906</t>
  </si>
  <si>
    <t>BSKT-A1905</t>
  </si>
  <si>
    <t>BSKT-A1904</t>
  </si>
  <si>
    <t>BSKT-A1903</t>
  </si>
  <si>
    <t>BSKT-A1822</t>
  </si>
  <si>
    <t>BSKT-A1821</t>
  </si>
  <si>
    <t>BSKT-A1820</t>
  </si>
  <si>
    <t>BSKT-A1819</t>
  </si>
  <si>
    <t>BSKT-A1817</t>
  </si>
  <si>
    <t>BSKT-A1816</t>
  </si>
  <si>
    <t>BSKT-A1810</t>
  </si>
  <si>
    <t>BSKT-A1809</t>
  </si>
  <si>
    <t>BSKT-A1807</t>
  </si>
  <si>
    <t>BSKT-A1806</t>
  </si>
  <si>
    <t>BSKT-A1805</t>
  </si>
  <si>
    <t>BSKT-A1804</t>
  </si>
  <si>
    <t>BSKT-A1803</t>
  </si>
  <si>
    <t>BSKT-A1722</t>
  </si>
  <si>
    <t>BSKT-A1721</t>
  </si>
  <si>
    <t>BSKT-A1720</t>
  </si>
  <si>
    <t>BSKT-A1719</t>
  </si>
  <si>
    <t>BSKT-A1717</t>
  </si>
  <si>
    <t>BSKT-A1716</t>
  </si>
  <si>
    <t>BSKT-A1710</t>
  </si>
  <si>
    <t>BSKT-A1709</t>
  </si>
  <si>
    <t>BSKT-A1706</t>
  </si>
  <si>
    <t>BSKT-A1705</t>
  </si>
  <si>
    <t>BSKT-A1704</t>
  </si>
  <si>
    <t>BSKT-A1703</t>
  </si>
  <si>
    <t>BSKT-A1622</t>
  </si>
  <si>
    <t>BSKT-A1621</t>
  </si>
  <si>
    <t>BSKT-A1620</t>
  </si>
  <si>
    <t>BSKT-A1619</t>
  </si>
  <si>
    <t>BSKT-A1617</t>
  </si>
  <si>
    <t>BSKT-A1616</t>
  </si>
  <si>
    <t>BSKT-A1610</t>
  </si>
  <si>
    <t>BSKT-A1609</t>
  </si>
  <si>
    <t>BSKT-A1607</t>
  </si>
  <si>
    <t>BSKT-A1606</t>
  </si>
  <si>
    <t>BSKT-A1604</t>
  </si>
  <si>
    <t>BSKT-A1603</t>
  </si>
  <si>
    <t>BSKT-A1504</t>
  </si>
  <si>
    <t>BSKT-A1229</t>
  </si>
  <si>
    <t>BSKT-A1209</t>
  </si>
  <si>
    <t>BSKT-A1035</t>
  </si>
  <si>
    <t>BSKT-A1034</t>
  </si>
  <si>
    <t>BSKT-A1033</t>
  </si>
  <si>
    <t>BSKT-A1032</t>
  </si>
  <si>
    <t>BSKT-A1031</t>
  </si>
  <si>
    <t>BSKT-A1029</t>
  </si>
  <si>
    <t>BSKT-A1028</t>
  </si>
  <si>
    <t>BSKT-A1023</t>
  </si>
  <si>
    <t>BSKT-A1022</t>
  </si>
  <si>
    <t>BSKT-A1021</t>
  </si>
  <si>
    <t>BSKT-A1020</t>
  </si>
  <si>
    <t>BSKT-A1019</t>
  </si>
  <si>
    <t>BSKT-A1018</t>
  </si>
  <si>
    <t>BSKT-A1016</t>
  </si>
  <si>
    <t>BSKT-A1015</t>
  </si>
  <si>
    <t>BSKT-A1014</t>
  </si>
  <si>
    <t>BSKT-A1010</t>
  </si>
  <si>
    <t>BSKT-A1009</t>
  </si>
  <si>
    <t>BSKT-A1007</t>
  </si>
  <si>
    <t>BSKT-A1006</t>
  </si>
  <si>
    <t>BSKT-A1005</t>
  </si>
  <si>
    <t>BSKT-A1004</t>
  </si>
  <si>
    <t>BSKT-A1003</t>
  </si>
  <si>
    <t>HESSA ST., DUBAI INTERNATIONAL CRICKET STADIUM, DUBAI SPORT CITY, JVC ,SHEIKH MOHAMED BIN ZAYED ROAD</t>
  </si>
  <si>
    <t>BTNT-1523</t>
  </si>
  <si>
    <t>BTNT-202</t>
  </si>
  <si>
    <t>BTNT-101</t>
  </si>
  <si>
    <t>BTNT-210</t>
  </si>
  <si>
    <t>BVNT-323</t>
  </si>
  <si>
    <t xml:space="preserve">BINGHATTI SKYFLAME 1 </t>
  </si>
  <si>
    <t>SHEIKH MOHAMED BIN ZAYED ROAD, SPORTS FIELD</t>
  </si>
  <si>
    <t>BINGHATTI SKYFLAME 2</t>
  </si>
  <si>
    <t>SHEIKH MOHAMED BIN ZAYED ROAD, IMG WORLDS</t>
  </si>
  <si>
    <t>BSKF1-768</t>
  </si>
  <si>
    <t>BSKF1-967</t>
  </si>
  <si>
    <t>BSKF1-867</t>
  </si>
  <si>
    <t>BSKF1-767</t>
  </si>
  <si>
    <t>BSKF1-1248</t>
  </si>
  <si>
    <t>BSKF1-1048</t>
  </si>
  <si>
    <t>BSKF1-948</t>
  </si>
  <si>
    <t>BSKF1-848</t>
  </si>
  <si>
    <t>BSKF1-748</t>
  </si>
  <si>
    <t>BSKF1-548</t>
  </si>
  <si>
    <t>BSKF1-448</t>
  </si>
  <si>
    <t>BSKF1-348</t>
  </si>
  <si>
    <t>BSKF1-1247</t>
  </si>
  <si>
    <t>BSKF1-244</t>
  </si>
  <si>
    <t>BSKF1-141</t>
  </si>
  <si>
    <t>BSKF1-1047</t>
  </si>
  <si>
    <t>BSKF1-947</t>
  </si>
  <si>
    <t>BSKF1-847</t>
  </si>
  <si>
    <t>BSKF1-747</t>
  </si>
  <si>
    <t>BSKF1-347</t>
  </si>
  <si>
    <t>BSKF1-243</t>
  </si>
  <si>
    <t>BSKF1-1202</t>
  </si>
  <si>
    <t>BSKF1-1002</t>
  </si>
  <si>
    <t>BSKF1-902</t>
  </si>
  <si>
    <t>BSKF1-702</t>
  </si>
  <si>
    <t>BSKF1-402</t>
  </si>
  <si>
    <t>BSKF1-302</t>
  </si>
  <si>
    <t>BSKF1-202</t>
  </si>
  <si>
    <t>BSKF1-1809</t>
  </si>
  <si>
    <t>BSKF1-1709</t>
  </si>
  <si>
    <t>BSKF1-1624</t>
  </si>
  <si>
    <t>BSKF1-1645</t>
  </si>
  <si>
    <t>BSKF1-1621</t>
  </si>
  <si>
    <t>BSKF1-809</t>
  </si>
  <si>
    <t>BSKF1-709</t>
  </si>
  <si>
    <t>BSKF1-1224</t>
  </si>
  <si>
    <t>BSKF1-1354</t>
  </si>
  <si>
    <t>BSKF1-1242</t>
  </si>
  <si>
    <t>BSKF1-1230</t>
  </si>
  <si>
    <t>BSKF1-1254</t>
  </si>
  <si>
    <t>BSKF1-1221</t>
  </si>
  <si>
    <t>BSKF1-1245</t>
  </si>
  <si>
    <t>BSKF1-1239</t>
  </si>
  <si>
    <t>BSKF1-1218</t>
  </si>
  <si>
    <t>BSKF1-1045</t>
  </si>
  <si>
    <t>BSKF1-1039</t>
  </si>
  <si>
    <t>BSKF1-924</t>
  </si>
  <si>
    <t>BSKF1-1054</t>
  </si>
  <si>
    <t>BSKF1-1042</t>
  </si>
  <si>
    <t>BSKF1-1063</t>
  </si>
  <si>
    <t>BSKF1-1061</t>
  </si>
  <si>
    <t>BSKF1-945</t>
  </si>
  <si>
    <t>BSKF1-824</t>
  </si>
  <si>
    <t>BSKF1-309</t>
  </si>
  <si>
    <t>BSKF1-724</t>
  </si>
  <si>
    <t>BSKF1-845</t>
  </si>
  <si>
    <t>BSKF1-745</t>
  </si>
  <si>
    <t>BSKF1-106</t>
  </si>
  <si>
    <t>BSKF1-445</t>
  </si>
  <si>
    <t>BSKF1-345</t>
  </si>
  <si>
    <t>BSKF1-226</t>
  </si>
  <si>
    <t>BSKF1-138</t>
  </si>
  <si>
    <t>BSKF1-1327</t>
  </si>
  <si>
    <t>BSKF1-1226</t>
  </si>
  <si>
    <t>BSKF1-1126</t>
  </si>
  <si>
    <t>BSKF1-1027</t>
  </si>
  <si>
    <t>BSKF1-1026</t>
  </si>
  <si>
    <t>BSKF1-927</t>
  </si>
  <si>
    <t>BSKF1-926</t>
  </si>
  <si>
    <t>BSKF1-827</t>
  </si>
  <si>
    <t>BSKF1-826</t>
  </si>
  <si>
    <t>BSKF1-727</t>
  </si>
  <si>
    <t>BSKF1-726</t>
  </si>
  <si>
    <t>BSKF1-526</t>
  </si>
  <si>
    <t>BSKF1-223</t>
  </si>
  <si>
    <t>BSKF1-222</t>
  </si>
  <si>
    <t>BSKF1-120</t>
  </si>
  <si>
    <t>BSKF1-119</t>
  </si>
  <si>
    <t>AMENTY VIEW, MAIN ROAD</t>
  </si>
  <si>
    <t>SHEIKH MOHAMED BIN ZAYED ROAD</t>
  </si>
  <si>
    <t>SKYFLAME 02, MAIN ROAD</t>
  </si>
  <si>
    <t>BSKF2-741</t>
  </si>
  <si>
    <t>BSKF2-441</t>
  </si>
  <si>
    <t>BSKF2-341</t>
  </si>
  <si>
    <t>BSKF2-237</t>
  </si>
  <si>
    <t>BSKF2-132</t>
  </si>
  <si>
    <t>BSKF2-740</t>
  </si>
  <si>
    <t>BSKF2-640</t>
  </si>
  <si>
    <t>BSKF2-440</t>
  </si>
  <si>
    <t>BSKF2-340</t>
  </si>
  <si>
    <t>BSKF2-236</t>
  </si>
  <si>
    <t>BSKF2-131</t>
  </si>
  <si>
    <t>BSKF2-701</t>
  </si>
  <si>
    <t>BSKF2-601</t>
  </si>
  <si>
    <t>BSKF2-401</t>
  </si>
  <si>
    <t>BSKF2-301</t>
  </si>
  <si>
    <t>BSKF2-201</t>
  </si>
  <si>
    <t>BSKF2-101</t>
  </si>
  <si>
    <t>BSKF2-1502</t>
  </si>
  <si>
    <t>BSKF2-1202</t>
  </si>
  <si>
    <t>BSKF2-1102</t>
  </si>
  <si>
    <t>BSKF2-2015</t>
  </si>
  <si>
    <t>BSKF2-1002</t>
  </si>
  <si>
    <t>BSKF2-2009</t>
  </si>
  <si>
    <t>BSKF2-2018</t>
  </si>
  <si>
    <t>BSKF2-902</t>
  </si>
  <si>
    <t>BSKF2-802</t>
  </si>
  <si>
    <t>BSKF2-1709</t>
  </si>
  <si>
    <t>BSKF2-702</t>
  </si>
  <si>
    <t>BSKF2-1706</t>
  </si>
  <si>
    <t>BSKF2-1630</t>
  </si>
  <si>
    <t>BSKF2-1629</t>
  </si>
  <si>
    <t>BSKF2-1615</t>
  </si>
  <si>
    <t>BSKF2-1609</t>
  </si>
  <si>
    <t>BSKF2-602</t>
  </si>
  <si>
    <t>BSKF2-2120</t>
  </si>
  <si>
    <t>BSKF2-1606</t>
  </si>
  <si>
    <t>BSKF2-1515</t>
  </si>
  <si>
    <t>BSKF2-1533</t>
  </si>
  <si>
    <t>BSKF2-1530</t>
  </si>
  <si>
    <t>BSKF2-1509</t>
  </si>
  <si>
    <t>BSKF2-1518</t>
  </si>
  <si>
    <t>BSKF2-2019</t>
  </si>
  <si>
    <t>BSKF2-2012</t>
  </si>
  <si>
    <t>BSKF2-1506</t>
  </si>
  <si>
    <t>BSKF2-1433</t>
  </si>
  <si>
    <t>BSKF2-1430</t>
  </si>
  <si>
    <t>BSKF2-1415</t>
  </si>
  <si>
    <t>BSKF2-1409</t>
  </si>
  <si>
    <t>BSKF2-402</t>
  </si>
  <si>
    <t>BSKF2-1418</t>
  </si>
  <si>
    <t>BSKF2-1406</t>
  </si>
  <si>
    <t>BSKF2-1315</t>
  </si>
  <si>
    <t>BSKF2-1333</t>
  </si>
  <si>
    <t>BSKF2-1330</t>
  </si>
  <si>
    <t>BSKF2-1309</t>
  </si>
  <si>
    <t>BSKF2-1318</t>
  </si>
  <si>
    <t>BSKF2-302</t>
  </si>
  <si>
    <t>BSKF2-1306</t>
  </si>
  <si>
    <t>BSKF2-1215</t>
  </si>
  <si>
    <t>BSKF2-1233</t>
  </si>
  <si>
    <t>BSKF2-1230</t>
  </si>
  <si>
    <t>BSKF2-1218</t>
  </si>
  <si>
    <t>BSKF2-1209</t>
  </si>
  <si>
    <t>BSKF2-202</t>
  </si>
  <si>
    <t>BSKF2-1730</t>
  </si>
  <si>
    <t>BSKF2-1728</t>
  </si>
  <si>
    <t>BSKF2-1721</t>
  </si>
  <si>
    <t>BSKF2-1206</t>
  </si>
  <si>
    <t>BSKF2-1133</t>
  </si>
  <si>
    <t>BSKF2-1130</t>
  </si>
  <si>
    <t>BSKF2-1115</t>
  </si>
  <si>
    <t>BSKF2-1109</t>
  </si>
  <si>
    <t>BSKF2-1628</t>
  </si>
  <si>
    <t>BSKF2-1621</t>
  </si>
  <si>
    <t>BSKF2-102</t>
  </si>
  <si>
    <t>BSKF2-1528</t>
  </si>
  <si>
    <t>BSKF2-1521</t>
  </si>
  <si>
    <t>BSKF2-1512</t>
  </si>
  <si>
    <t>BSKF2-1535</t>
  </si>
  <si>
    <t>BSKF2-1435</t>
  </si>
  <si>
    <t>BSKF2-933</t>
  </si>
  <si>
    <t>BSKF2-930</t>
  </si>
  <si>
    <t>BSKF2-918</t>
  </si>
  <si>
    <t>BSKF2-915</t>
  </si>
  <si>
    <t>BSKF2-909</t>
  </si>
  <si>
    <t>BSKF2-1428</t>
  </si>
  <si>
    <t>BSKF2-1434</t>
  </si>
  <si>
    <t>BSKF2-1421</t>
  </si>
  <si>
    <t>BSKF2-1412</t>
  </si>
  <si>
    <t>BSKF2-906</t>
  </si>
  <si>
    <t>BSKF2-1339</t>
  </si>
  <si>
    <t>BSKF2-1328</t>
  </si>
  <si>
    <t>BSKF2-1321</t>
  </si>
  <si>
    <t>BSKF2-1312</t>
  </si>
  <si>
    <t>BSKF2-1336</t>
  </si>
  <si>
    <t>BSKF2-715</t>
  </si>
  <si>
    <t>BSKF2-733</t>
  </si>
  <si>
    <t>BSKF2-730</t>
  </si>
  <si>
    <t>BSKF2-1239</t>
  </si>
  <si>
    <t>BSKF2-1228</t>
  </si>
  <si>
    <t>BSKF2-1221</t>
  </si>
  <si>
    <t>BSKF2-1212</t>
  </si>
  <si>
    <t>BSKF2-718</t>
  </si>
  <si>
    <t>BSKF2-1236</t>
  </si>
  <si>
    <t>BSKF2-615</t>
  </si>
  <si>
    <t>BSKF2-1139</t>
  </si>
  <si>
    <t>BSKF2-1128</t>
  </si>
  <si>
    <t>BSKF2-633</t>
  </si>
  <si>
    <t>BSKF2-630</t>
  </si>
  <si>
    <t>BSKF2-618</t>
  </si>
  <si>
    <t>BSKF2-609</t>
  </si>
  <si>
    <t>BSKF2-1136</t>
  </si>
  <si>
    <t>BSKF2-1121</t>
  </si>
  <si>
    <t>BSKF2-1112</t>
  </si>
  <si>
    <t>BSKF2-606</t>
  </si>
  <si>
    <t>BSKF2-533</t>
  </si>
  <si>
    <t>BSKF2-530</t>
  </si>
  <si>
    <t>BSKF2-415</t>
  </si>
  <si>
    <t>BSKF2-433</t>
  </si>
  <si>
    <t>BSKF2-430</t>
  </si>
  <si>
    <t>BSKF2-409</t>
  </si>
  <si>
    <t>BSKF2-939</t>
  </si>
  <si>
    <t>BSKF2-928</t>
  </si>
  <si>
    <t>BSKF2-921</t>
  </si>
  <si>
    <t>BSKF2-912</t>
  </si>
  <si>
    <t>BSKF2-418</t>
  </si>
  <si>
    <t>BSKF2-209</t>
  </si>
  <si>
    <t>BSKF2-406</t>
  </si>
  <si>
    <t>BSKF2-936</t>
  </si>
  <si>
    <t>BSKF2-333</t>
  </si>
  <si>
    <t>BSKF2-330</t>
  </si>
  <si>
    <t>BSKF2-315</t>
  </si>
  <si>
    <t>BSKF2-309</t>
  </si>
  <si>
    <t>BSKF2-318</t>
  </si>
  <si>
    <t>BSKF2-306</t>
  </si>
  <si>
    <t>BSKF2-229</t>
  </si>
  <si>
    <t>BSKF2-226</t>
  </si>
  <si>
    <t>BSKF2-739</t>
  </si>
  <si>
    <t>BSKF2-728</t>
  </si>
  <si>
    <t>BSKF2-721</t>
  </si>
  <si>
    <t>BSKF2-712</t>
  </si>
  <si>
    <t>BSKF2-206</t>
  </si>
  <si>
    <t>BSKF2-124</t>
  </si>
  <si>
    <t>BSKF2-639</t>
  </si>
  <si>
    <t>BSKF2-127</t>
  </si>
  <si>
    <t>BSKF2-628</t>
  </si>
  <si>
    <t>BSKF2-621</t>
  </si>
  <si>
    <t>BSKF2-612</t>
  </si>
  <si>
    <t>BSKF2-636</t>
  </si>
  <si>
    <t>BSKF2-106</t>
  </si>
  <si>
    <t>BSKF2-539</t>
  </si>
  <si>
    <t>BSKF2-528</t>
  </si>
  <si>
    <t>BSKF2-536</t>
  </si>
  <si>
    <t>BSKF2-439</t>
  </si>
  <si>
    <t>BSKF2-428</t>
  </si>
  <si>
    <t>BSKF2-421</t>
  </si>
  <si>
    <t>BSKF2-412</t>
  </si>
  <si>
    <t>BSKF2-436</t>
  </si>
  <si>
    <t>BSKF2-339</t>
  </si>
  <si>
    <t>BSKF2-328</t>
  </si>
  <si>
    <t>BSKF2-321</t>
  </si>
  <si>
    <t>BSKF2-312</t>
  </si>
  <si>
    <t>BSKF2-336</t>
  </si>
  <si>
    <t>BSKF2-235</t>
  </si>
  <si>
    <t>BSKF2-224</t>
  </si>
  <si>
    <t>BSKF2-232</t>
  </si>
  <si>
    <t>BSKF2-1725</t>
  </si>
  <si>
    <t>BSKF2-130</t>
  </si>
  <si>
    <t>BSKF2-122</t>
  </si>
  <si>
    <t>BSKF2-1625</t>
  </si>
  <si>
    <t>BSKF2-1525</t>
  </si>
  <si>
    <t>BSKF2-1724</t>
  </si>
  <si>
    <t>BSKF2-1425</t>
  </si>
  <si>
    <t>BSKF2-1325</t>
  </si>
  <si>
    <t>BSKF2-1225</t>
  </si>
  <si>
    <t>BSKF2-1424</t>
  </si>
  <si>
    <t>BSKF2-1125</t>
  </si>
  <si>
    <t>BSKF2-1324</t>
  </si>
  <si>
    <t>BSKF2-1224</t>
  </si>
  <si>
    <t>BSKF2-925</t>
  </si>
  <si>
    <t>BSKF2-1124</t>
  </si>
  <si>
    <t>BSKF2-725</t>
  </si>
  <si>
    <t>BSKF2-924</t>
  </si>
  <si>
    <t>BSKF2-625</t>
  </si>
  <si>
    <t>BSKF2-525</t>
  </si>
  <si>
    <t>BSKF2-724</t>
  </si>
  <si>
    <t>BSKF2-425</t>
  </si>
  <si>
    <t>BSKF2-624</t>
  </si>
  <si>
    <t>BSKF2-325</t>
  </si>
  <si>
    <t>BSKF2-221</t>
  </si>
  <si>
    <t>BSKF2-220</t>
  </si>
  <si>
    <t>BSKF2-424</t>
  </si>
  <si>
    <t>BSKF2-120</t>
  </si>
  <si>
    <t>BSKF2-1726</t>
  </si>
  <si>
    <t>BSKF2-1626</t>
  </si>
  <si>
    <t>BSKF2-1526</t>
  </si>
  <si>
    <t>BSKF2-1426</t>
  </si>
  <si>
    <t>BSKF2-1326</t>
  </si>
  <si>
    <t>BSKF2-1226</t>
  </si>
  <si>
    <t>BSKF2-1131</t>
  </si>
  <si>
    <t>BSKF2-1126</t>
  </si>
  <si>
    <t>BSKF2-931</t>
  </si>
  <si>
    <t>BSKF2-926</t>
  </si>
  <si>
    <t>BSKF2-731</t>
  </si>
  <si>
    <t>BSKF2-726</t>
  </si>
  <si>
    <t>BSKF2-631</t>
  </si>
  <si>
    <t>BSKF2-626</t>
  </si>
  <si>
    <t>BSKF2-531</t>
  </si>
  <si>
    <t>BSKF2-526</t>
  </si>
  <si>
    <t>BSKF2-426</t>
  </si>
  <si>
    <t>BSKF2-331</t>
  </si>
  <si>
    <t>BSKF2-326</t>
  </si>
  <si>
    <t>BSKF2-1623</t>
  </si>
  <si>
    <t>BSKF2-227</t>
  </si>
  <si>
    <t>BSKF2-222</t>
  </si>
  <si>
    <t>BSKF2-125</t>
  </si>
  <si>
    <t>BSKF2-1423</t>
  </si>
  <si>
    <t>BSKF2-1323</t>
  </si>
  <si>
    <t>BSKF2-1223</t>
  </si>
  <si>
    <t>BSKF2-1123</t>
  </si>
  <si>
    <t>BSKF2-923</t>
  </si>
  <si>
    <t>BSKF2-723</t>
  </si>
  <si>
    <t>BSKF2-623</t>
  </si>
  <si>
    <t>BSKF2-523</t>
  </si>
  <si>
    <t>BSKF2-423</t>
  </si>
  <si>
    <t>BSKF2-323</t>
  </si>
  <si>
    <t>BSKF2-219</t>
  </si>
  <si>
    <t>BSKF2-118</t>
  </si>
  <si>
    <t>AMENTY VIEW, MASJID HUSSAIN ABDULLA ALBAHRI, MAIN ROAD</t>
  </si>
  <si>
    <t>MAIN ROAD, SKYFLAME 01</t>
  </si>
  <si>
    <t>VISION ICONIC AVAILABILITY</t>
  </si>
  <si>
    <t>Completion Date:  30/09/2028</t>
  </si>
  <si>
    <t>MBVI-5704</t>
  </si>
  <si>
    <t>BUILDING AMENITIES AND LANDSCAPING</t>
  </si>
  <si>
    <t>MBVI-5604</t>
  </si>
  <si>
    <t>MBVI-5902</t>
  </si>
  <si>
    <t>MBVI-5802</t>
  </si>
  <si>
    <t>MBVI-5702</t>
  </si>
  <si>
    <t>MBVI-5602</t>
  </si>
  <si>
    <t>MBVI-2227</t>
  </si>
  <si>
    <t>MBVI-1537</t>
  </si>
  <si>
    <t>MBVI-1439</t>
  </si>
  <si>
    <t>MBVI-849</t>
  </si>
  <si>
    <t>MBVI-1341</t>
  </si>
  <si>
    <t>MBVI-753</t>
  </si>
  <si>
    <t>MBVI-652</t>
  </si>
  <si>
    <t>MBVI-949</t>
  </si>
  <si>
    <t>MBVI-5401</t>
  </si>
  <si>
    <t>MBVI-5301</t>
  </si>
  <si>
    <t>MBVI-5201</t>
  </si>
  <si>
    <t>MBVI-5101</t>
  </si>
  <si>
    <t>MBVI-4901</t>
  </si>
  <si>
    <t>MBVI-4801</t>
  </si>
  <si>
    <t>MBVI-4701</t>
  </si>
  <si>
    <t>MBVI-5305</t>
  </si>
  <si>
    <t>MBVI-5205</t>
  </si>
  <si>
    <t>MBVI-4201</t>
  </si>
  <si>
    <t>MBVI-4101</t>
  </si>
  <si>
    <t>MBVI-4907</t>
  </si>
  <si>
    <t>MBVI-4807</t>
  </si>
  <si>
    <t>MBVI-3901</t>
  </si>
  <si>
    <t>MBVI-4707</t>
  </si>
  <si>
    <t>MBVI-3801</t>
  </si>
  <si>
    <t>MBVI-3701</t>
  </si>
  <si>
    <t>MBVI-3401</t>
  </si>
  <si>
    <t>MBVI-3301</t>
  </si>
  <si>
    <t>MBVI-4109</t>
  </si>
  <si>
    <t>MBVI-3101</t>
  </si>
  <si>
    <t>MBVI-3911</t>
  </si>
  <si>
    <t>MBVI-2901</t>
  </si>
  <si>
    <t>MBVI-3713</t>
  </si>
  <si>
    <t>MBVI-2801</t>
  </si>
  <si>
    <t>MBVI-2501</t>
  </si>
  <si>
    <t>MBVI-3317</t>
  </si>
  <si>
    <t>MBVI-2301</t>
  </si>
  <si>
    <t>MBVI-3117</t>
  </si>
  <si>
    <t>MBVI-2201</t>
  </si>
  <si>
    <t>MBVI-2101</t>
  </si>
  <si>
    <t>MBVI-2919</t>
  </si>
  <si>
    <t>MBVI-1901</t>
  </si>
  <si>
    <t>MBVI-1701</t>
  </si>
  <si>
    <t>MBVI-2525</t>
  </si>
  <si>
    <t>MBVI-1501</t>
  </si>
  <si>
    <t>MBVI-2325</t>
  </si>
  <si>
    <t>MBVI-1401</t>
  </si>
  <si>
    <t>MBVI-2128</t>
  </si>
  <si>
    <t>MBVI-1301</t>
  </si>
  <si>
    <t>MBVI-1733</t>
  </si>
  <si>
    <t>MBVI-901</t>
  </si>
  <si>
    <t>MBVI-801</t>
  </si>
  <si>
    <t>MBVI-701</t>
  </si>
  <si>
    <t>MBVI-601</t>
  </si>
  <si>
    <t>MBVI-501</t>
  </si>
  <si>
    <t>MBVI-401</t>
  </si>
  <si>
    <t>MBVI-201</t>
  </si>
  <si>
    <t>MBVI-101</t>
  </si>
  <si>
    <t>MBVI-557</t>
  </si>
  <si>
    <t>MBVI-457</t>
  </si>
  <si>
    <t>MBVI-245</t>
  </si>
  <si>
    <t>MBVI-141</t>
  </si>
  <si>
    <t>MBVI-950</t>
  </si>
  <si>
    <t>MBVI-850</t>
  </si>
  <si>
    <t>MBVI-754</t>
  </si>
  <si>
    <t>MBVI-653</t>
  </si>
  <si>
    <t>MBVI-4808</t>
  </si>
  <si>
    <t>MBVI-4708</t>
  </si>
  <si>
    <t>MBVI-3912</t>
  </si>
  <si>
    <t>MBVI-3714</t>
  </si>
  <si>
    <t>MBVI-3318</t>
  </si>
  <si>
    <t>MBVI-3118</t>
  </si>
  <si>
    <t>MBVI-2920</t>
  </si>
  <si>
    <t>MBVI-2724</t>
  </si>
  <si>
    <t>MBVI-2526</t>
  </si>
  <si>
    <t>MBVI-5402</t>
  </si>
  <si>
    <t>MBVI-5302</t>
  </si>
  <si>
    <t>MBVI-2326</t>
  </si>
  <si>
    <t>MBVI-5102</t>
  </si>
  <si>
    <t>MBVI-2129</t>
  </si>
  <si>
    <t>MBVI-4802</t>
  </si>
  <si>
    <t>MBVI-4702</t>
  </si>
  <si>
    <t>MBVI-1734</t>
  </si>
  <si>
    <t>MBVI-4202</t>
  </si>
  <si>
    <t>MBVI-4102</t>
  </si>
  <si>
    <t>MBVI-3902</t>
  </si>
  <si>
    <t>MBVI-3802</t>
  </si>
  <si>
    <t>MBVI-3702</t>
  </si>
  <si>
    <t>MBVI-142</t>
  </si>
  <si>
    <t>MBVI-3402</t>
  </si>
  <si>
    <t>MBVI-558</t>
  </si>
  <si>
    <t>MBVI-3302</t>
  </si>
  <si>
    <t>MBVI-458</t>
  </si>
  <si>
    <t>MBVI-3102</t>
  </si>
  <si>
    <t>MBVI-246</t>
  </si>
  <si>
    <t>MBVI-2905</t>
  </si>
  <si>
    <t>MBVI-2913</t>
  </si>
  <si>
    <t>MBVI-2902</t>
  </si>
  <si>
    <t>MBVI-2813</t>
  </si>
  <si>
    <t>MBVI-2811</t>
  </si>
  <si>
    <t>MBVI-2805</t>
  </si>
  <si>
    <t>MBVI-2802</t>
  </si>
  <si>
    <t>MBVI-2713</t>
  </si>
  <si>
    <t>MBVI-2705</t>
  </si>
  <si>
    <t>MBVI-2711</t>
  </si>
  <si>
    <t>MBVI-2702</t>
  </si>
  <si>
    <t>MBVI-2513</t>
  </si>
  <si>
    <t>MBVI-2505</t>
  </si>
  <si>
    <t>MBVI-2511</t>
  </si>
  <si>
    <t>MBVI-2313</t>
  </si>
  <si>
    <t>MBVI-2305</t>
  </si>
  <si>
    <t>MBVI-2311</t>
  </si>
  <si>
    <t>MBVI-2302</t>
  </si>
  <si>
    <t>MBVI-2213</t>
  </si>
  <si>
    <t>MBVI-2205</t>
  </si>
  <si>
    <t>MBVI-2211</t>
  </si>
  <si>
    <t>MBVI-2202</t>
  </si>
  <si>
    <t>MBVI-2113</t>
  </si>
  <si>
    <t>MBVI-2105</t>
  </si>
  <si>
    <t>MBVI-2111</t>
  </si>
  <si>
    <t>MBVI-2102</t>
  </si>
  <si>
    <t>MBVI-1913</t>
  </si>
  <si>
    <t>MBVI-1911</t>
  </si>
  <si>
    <t>MBVI-1905</t>
  </si>
  <si>
    <t>MBVI-1713</t>
  </si>
  <si>
    <t>MBVI-1705</t>
  </si>
  <si>
    <t>MBVI-1727</t>
  </si>
  <si>
    <t>MBVI-1711</t>
  </si>
  <si>
    <t>MBVI-1702</t>
  </si>
  <si>
    <t>MBVI-1505</t>
  </si>
  <si>
    <t>MBVI-1529</t>
  </si>
  <si>
    <t>MBVI-1513</t>
  </si>
  <si>
    <t>MBVI-1527</t>
  </si>
  <si>
    <t>MBVI-1429</t>
  </si>
  <si>
    <t>MBVI-1427</t>
  </si>
  <si>
    <t>MBVI-1413</t>
  </si>
  <si>
    <t>MBVI-1411</t>
  </si>
  <si>
    <t>MBVI-1405</t>
  </si>
  <si>
    <t>MBVI-1402</t>
  </si>
  <si>
    <t>MBVI-1329</t>
  </si>
  <si>
    <t>MBVI-1313</t>
  </si>
  <si>
    <t>MBVI-1305</t>
  </si>
  <si>
    <t>MBVI-1327</t>
  </si>
  <si>
    <t>MBVI-1311</t>
  </si>
  <si>
    <t>MBVI-1302</t>
  </si>
  <si>
    <t>MBVI-111</t>
  </si>
  <si>
    <t>MBVI-105</t>
  </si>
  <si>
    <t>MBVI-110</t>
  </si>
  <si>
    <t>MBVI-929</t>
  </si>
  <si>
    <t>MBVI-913</t>
  </si>
  <si>
    <t>MBVI-905</t>
  </si>
  <si>
    <t>MBVI-927</t>
  </si>
  <si>
    <t>MBVI-911</t>
  </si>
  <si>
    <t>MBVI-902</t>
  </si>
  <si>
    <t>MBVI-829</t>
  </si>
  <si>
    <t>MBVI-813</t>
  </si>
  <si>
    <t>MBVI-805</t>
  </si>
  <si>
    <t>MBVI-827</t>
  </si>
  <si>
    <t>MBVI-811</t>
  </si>
  <si>
    <t>MBVI-802</t>
  </si>
  <si>
    <t>MBVI-729</t>
  </si>
  <si>
    <t>MBVI-713</t>
  </si>
  <si>
    <t>MBVI-705</t>
  </si>
  <si>
    <t>MBVI-727</t>
  </si>
  <si>
    <t>MBVI-711</t>
  </si>
  <si>
    <t>MBVI-702</t>
  </si>
  <si>
    <t>MBVI-629</t>
  </si>
  <si>
    <t>MBVI-613</t>
  </si>
  <si>
    <t>MBVI-605</t>
  </si>
  <si>
    <t>MBVI-627</t>
  </si>
  <si>
    <t>MBVI-611</t>
  </si>
  <si>
    <t>MBVI-602</t>
  </si>
  <si>
    <t>MBVI-529</t>
  </si>
  <si>
    <t>MBVI-513</t>
  </si>
  <si>
    <t>MBVI-505</t>
  </si>
  <si>
    <t>MBVI-527</t>
  </si>
  <si>
    <t>MBVI-511</t>
  </si>
  <si>
    <t>MBVI-502</t>
  </si>
  <si>
    <t>MBVI-429</t>
  </si>
  <si>
    <t>MBVI-413</t>
  </si>
  <si>
    <t>MBVI-405</t>
  </si>
  <si>
    <t>MBVI-427</t>
  </si>
  <si>
    <t>MBVI-411</t>
  </si>
  <si>
    <t>MBVI-402</t>
  </si>
  <si>
    <t>MBVI-212</t>
  </si>
  <si>
    <t>MBVI-205</t>
  </si>
  <si>
    <t>MBVI-210</t>
  </si>
  <si>
    <t>MBVI-202</t>
  </si>
  <si>
    <t>MBVI-102</t>
  </si>
  <si>
    <t>MBVI-139</t>
  </si>
  <si>
    <t>MBVI-135</t>
  </si>
  <si>
    <t>MBVI-751</t>
  </si>
  <si>
    <t>MBVI-555</t>
  </si>
  <si>
    <t>MBVI-551</t>
  </si>
  <si>
    <t>MBVI-455</t>
  </si>
  <si>
    <t>MBVI-451</t>
  </si>
  <si>
    <t>MBVI-243</t>
  </si>
  <si>
    <t>MBVI-239</t>
  </si>
  <si>
    <t>MBVI-131</t>
  </si>
  <si>
    <t>MBVI-130</t>
  </si>
  <si>
    <t>MBVI-943</t>
  </si>
  <si>
    <t>MBVI-843</t>
  </si>
  <si>
    <t>MBVI-745</t>
  </si>
  <si>
    <t>MBVI-743</t>
  </si>
  <si>
    <t>MBVI-645</t>
  </si>
  <si>
    <t>MBVI-643</t>
  </si>
  <si>
    <t>MBVI-545</t>
  </si>
  <si>
    <t>MBVI-543</t>
  </si>
  <si>
    <t>MBVI-445</t>
  </si>
  <si>
    <t>MBVI-443</t>
  </si>
  <si>
    <t>MBVI-234</t>
  </si>
  <si>
    <t>MBVI-232</t>
  </si>
  <si>
    <t>MBVI-3803</t>
  </si>
  <si>
    <t>MBVI-3307</t>
  </si>
  <si>
    <t>MBVI-3303</t>
  </si>
  <si>
    <t>MBVI-3109</t>
  </si>
  <si>
    <t>MBVI-3103</t>
  </si>
  <si>
    <t>MBVI-2909</t>
  </si>
  <si>
    <t>MBVI-2907</t>
  </si>
  <si>
    <t>MBVI-2903</t>
  </si>
  <si>
    <t>MBVI-2815</t>
  </si>
  <si>
    <t>MBVI-2809</t>
  </si>
  <si>
    <t>MBVI-2807</t>
  </si>
  <si>
    <t>MBVI-2803</t>
  </si>
  <si>
    <t>MBVI-2717</t>
  </si>
  <si>
    <t>MBVI-2715</t>
  </si>
  <si>
    <t>MBVI-2707</t>
  </si>
  <si>
    <t>MBVI-2709</t>
  </si>
  <si>
    <t>MBVI-2703</t>
  </si>
  <si>
    <t>MBVI-2517</t>
  </si>
  <si>
    <t>MBVI-2515</t>
  </si>
  <si>
    <t>MBVI-2509</t>
  </si>
  <si>
    <t>MBVI-2503</t>
  </si>
  <si>
    <t>MBVI-121</t>
  </si>
  <si>
    <t>MBVI-119</t>
  </si>
  <si>
    <t>MBVI-113</t>
  </si>
  <si>
    <t>MBVI-112</t>
  </si>
  <si>
    <t>MBVI-109</t>
  </si>
  <si>
    <t>MBVI-107</t>
  </si>
  <si>
    <t>MBVI-103</t>
  </si>
  <si>
    <t>MBVI-2317</t>
  </si>
  <si>
    <t>MBVI-2315</t>
  </si>
  <si>
    <t>MBVI-2309</t>
  </si>
  <si>
    <t>MBVI-2307</t>
  </si>
  <si>
    <t>MBVI-2303</t>
  </si>
  <si>
    <t>MBVI-2217</t>
  </si>
  <si>
    <t>MBVI-2215</t>
  </si>
  <si>
    <t>MBVI-2209</t>
  </si>
  <si>
    <t>MBVI-2207</t>
  </si>
  <si>
    <t>MBVI-2203</t>
  </si>
  <si>
    <t>MBVI-2117</t>
  </si>
  <si>
    <t>MBVI-2115</t>
  </si>
  <si>
    <t>MBVI-2109</t>
  </si>
  <si>
    <t>MBVI-2107</t>
  </si>
  <si>
    <t>MBVI-2103</t>
  </si>
  <si>
    <t>MBVI-1925</t>
  </si>
  <si>
    <t>MBVI-1923</t>
  </si>
  <si>
    <t>MBVI-1917</t>
  </si>
  <si>
    <t>MBVI-1915</t>
  </si>
  <si>
    <t>MBVI-1909</t>
  </si>
  <si>
    <t>MBVI-1907</t>
  </si>
  <si>
    <t>MBVI-1903</t>
  </si>
  <si>
    <t>MBVI-1731</t>
  </si>
  <si>
    <t>MBVI-1725</t>
  </si>
  <si>
    <t>MBVI-1723</t>
  </si>
  <si>
    <t>MBVI-1717</t>
  </si>
  <si>
    <t>MBVI-1715</t>
  </si>
  <si>
    <t>MBVI-1709</t>
  </si>
  <si>
    <t>MBVI-1707</t>
  </si>
  <si>
    <t>MBVI-1703</t>
  </si>
  <si>
    <t>MBVI-1507</t>
  </si>
  <si>
    <t>MBVI-1503</t>
  </si>
  <si>
    <t>MBVI-1533</t>
  </si>
  <si>
    <t>MBVI-1531</t>
  </si>
  <si>
    <t>MBVI-1525</t>
  </si>
  <si>
    <t>MBVI-1523</t>
  </si>
  <si>
    <t>MBVI-1517</t>
  </si>
  <si>
    <t>MBVI-1515</t>
  </si>
  <si>
    <t>MBVI-1509</t>
  </si>
  <si>
    <t>MBVI-1433</t>
  </si>
  <si>
    <t>MBVI-1431</t>
  </si>
  <si>
    <t>MBVI-1425</t>
  </si>
  <si>
    <t>MBVI-1423</t>
  </si>
  <si>
    <t>MBVI-1417</t>
  </si>
  <si>
    <t>MBVI-1415</t>
  </si>
  <si>
    <t>MBVI-1409</t>
  </si>
  <si>
    <t>MBVI-1407</t>
  </si>
  <si>
    <t>MBVI-1403</t>
  </si>
  <si>
    <t>MBVI-1333</t>
  </si>
  <si>
    <t>MBVI-1331</t>
  </si>
  <si>
    <t>MBVI-1325</t>
  </si>
  <si>
    <t>MBVI-1323</t>
  </si>
  <si>
    <t>MBVI-1317</t>
  </si>
  <si>
    <t>MBVI-1315</t>
  </si>
  <si>
    <t>MBVI-1309</t>
  </si>
  <si>
    <t>MBVI-1307</t>
  </si>
  <si>
    <t>MBVI-1303</t>
  </si>
  <si>
    <t>MBVI-933</t>
  </si>
  <si>
    <t>MBVI-931</t>
  </si>
  <si>
    <t>MBVI-925</t>
  </si>
  <si>
    <t>MBVI-923</t>
  </si>
  <si>
    <t>MBVI-917</t>
  </si>
  <si>
    <t>MBVI-915</t>
  </si>
  <si>
    <t>MBVI-909</t>
  </si>
  <si>
    <t>MBVI-907</t>
  </si>
  <si>
    <t>MBVI-903</t>
  </si>
  <si>
    <t>MBVI-833</t>
  </si>
  <si>
    <t>MBVI-831</t>
  </si>
  <si>
    <t>MBVI-825</t>
  </si>
  <si>
    <t>MBVI-823</t>
  </si>
  <si>
    <t>MBVI-817</t>
  </si>
  <si>
    <t>MBVI-815</t>
  </si>
  <si>
    <t>MBVI-809</t>
  </si>
  <si>
    <t>MBVI-807</t>
  </si>
  <si>
    <t>MBVI-803</t>
  </si>
  <si>
    <t>MBVI-733</t>
  </si>
  <si>
    <t>MBVI-731</t>
  </si>
  <si>
    <t>MBVI-725</t>
  </si>
  <si>
    <t>MBVI-723</t>
  </si>
  <si>
    <t>MBVI-717</t>
  </si>
  <si>
    <t>MBVI-715</t>
  </si>
  <si>
    <t>MBVI-709</t>
  </si>
  <si>
    <t>MBVI-707</t>
  </si>
  <si>
    <t>MBVI-703</t>
  </si>
  <si>
    <t>MBVI-633</t>
  </si>
  <si>
    <t>MBVI-631</t>
  </si>
  <si>
    <t>MBVI-625</t>
  </si>
  <si>
    <t>MBVI-623</t>
  </si>
  <si>
    <t>MBVI-617</t>
  </si>
  <si>
    <t>MBVI-615</t>
  </si>
  <si>
    <t>MBVI-609</t>
  </si>
  <si>
    <t>MBVI-607</t>
  </si>
  <si>
    <t>MBVI-603</t>
  </si>
  <si>
    <t>MBVI-533</t>
  </si>
  <si>
    <t>MBVI-531</t>
  </si>
  <si>
    <t>MBVI-525</t>
  </si>
  <si>
    <t>MBVI-523</t>
  </si>
  <si>
    <t>MBVI-517</t>
  </si>
  <si>
    <t>MBVI-509</t>
  </si>
  <si>
    <t>MBVI-507</t>
  </si>
  <si>
    <t>MBVI-503</t>
  </si>
  <si>
    <t>MBVI-433</t>
  </si>
  <si>
    <t>MBVI-431</t>
  </si>
  <si>
    <t>MBVI-425</t>
  </si>
  <si>
    <t>MBVI-423</t>
  </si>
  <si>
    <t>MBVI-417</t>
  </si>
  <si>
    <t>MBVI-415</t>
  </si>
  <si>
    <t>MBVI-409</t>
  </si>
  <si>
    <t>MBVI-407</t>
  </si>
  <si>
    <t>MBVI-403</t>
  </si>
  <si>
    <t>MBVI-223</t>
  </si>
  <si>
    <t>MBVI-221</t>
  </si>
  <si>
    <t>MBVI-215</t>
  </si>
  <si>
    <t>MBVI-214</t>
  </si>
  <si>
    <t>MBVI-209</t>
  </si>
  <si>
    <t>MBVI-207</t>
  </si>
  <si>
    <t>MBVI-203</t>
  </si>
  <si>
    <t>MBVI-133</t>
  </si>
  <si>
    <t>MBVI-132</t>
  </si>
  <si>
    <t>MBVI-129</t>
  </si>
  <si>
    <t>MBVI-127</t>
  </si>
  <si>
    <t>MBVI-947</t>
  </si>
  <si>
    <t>MBVI-941</t>
  </si>
  <si>
    <t>MBVI-939</t>
  </si>
  <si>
    <t>MBVI-841</t>
  </si>
  <si>
    <t>MBVI-839</t>
  </si>
  <si>
    <t>MBVI-747</t>
  </si>
  <si>
    <t>MBVI-741</t>
  </si>
  <si>
    <t>MBVI-739</t>
  </si>
  <si>
    <t>MBVI-647</t>
  </si>
  <si>
    <t>MBVI-641</t>
  </si>
  <si>
    <t>MBVI-639</t>
  </si>
  <si>
    <t>MBVI-549</t>
  </si>
  <si>
    <t>MBVI-547</t>
  </si>
  <si>
    <t>MBVI-541</t>
  </si>
  <si>
    <t>MBVI-539</t>
  </si>
  <si>
    <t>MBVI-449</t>
  </si>
  <si>
    <t>MBVI-447</t>
  </si>
  <si>
    <t>MBVI-441</t>
  </si>
  <si>
    <t>MBVI-439</t>
  </si>
  <si>
    <t>MBVI-237</t>
  </si>
  <si>
    <t>MBVI-236</t>
  </si>
  <si>
    <t>MBVI-231</t>
  </si>
  <si>
    <t>MBVI-229</t>
  </si>
  <si>
    <t>MBVI-2819</t>
  </si>
  <si>
    <t>MBVI-2521</t>
  </si>
  <si>
    <t>MBVI-2321</t>
  </si>
  <si>
    <t>MBVI-2221</t>
  </si>
  <si>
    <t>MBVI-2719</t>
  </si>
  <si>
    <t>MBVI-125</t>
  </si>
  <si>
    <t>MBVI-117</t>
  </si>
  <si>
    <t>MBVI-2121</t>
  </si>
  <si>
    <t>MBVI-2519</t>
  </si>
  <si>
    <t>MBVI-1921</t>
  </si>
  <si>
    <t>MBVI-2319</t>
  </si>
  <si>
    <t>MBVI-1721</t>
  </si>
  <si>
    <t>MBVI-2219</t>
  </si>
  <si>
    <t>MBVI-2119</t>
  </si>
  <si>
    <t>MBVI-123</t>
  </si>
  <si>
    <t>MBVI-115</t>
  </si>
  <si>
    <t>MBVI-1521</t>
  </si>
  <si>
    <t>MBVI-1421</t>
  </si>
  <si>
    <t>MBVI-1919</t>
  </si>
  <si>
    <t>MBVI-1337</t>
  </si>
  <si>
    <t>MBVI-1321</t>
  </si>
  <si>
    <t>MBVI-1719</t>
  </si>
  <si>
    <t>MBVI-1519</t>
  </si>
  <si>
    <t>MBVI-937</t>
  </si>
  <si>
    <t>MBVI-921</t>
  </si>
  <si>
    <t>MBVI-1435</t>
  </si>
  <si>
    <t>MBVI-1419</t>
  </si>
  <si>
    <t>MBVI-837</t>
  </si>
  <si>
    <t>MBVI-821</t>
  </si>
  <si>
    <t>MBVI-1335</t>
  </si>
  <si>
    <t>MBVI-737</t>
  </si>
  <si>
    <t>MBVI-721</t>
  </si>
  <si>
    <t>MBVI-637</t>
  </si>
  <si>
    <t>MBVI-621</t>
  </si>
  <si>
    <t>MBVI-537</t>
  </si>
  <si>
    <t>MBVI-521</t>
  </si>
  <si>
    <t>MBVI-437</t>
  </si>
  <si>
    <t>MBVI-421</t>
  </si>
  <si>
    <t>MBVI-935</t>
  </si>
  <si>
    <t>MBVI-919</t>
  </si>
  <si>
    <t>MBVI-1535</t>
  </si>
  <si>
    <t>MBVI-835</t>
  </si>
  <si>
    <t>MBVI-819</t>
  </si>
  <si>
    <t>MBVI-227</t>
  </si>
  <si>
    <t>MBVI-219</t>
  </si>
  <si>
    <t>MBVI-735</t>
  </si>
  <si>
    <t>MBVI-719</t>
  </si>
  <si>
    <t>MBVI-3113</t>
  </si>
  <si>
    <t>MBVI-635</t>
  </si>
  <si>
    <t>MBVI-619</t>
  </si>
  <si>
    <t>MBVI-535</t>
  </si>
  <si>
    <t>MBVI-519</t>
  </si>
  <si>
    <t>MBVI-435</t>
  </si>
  <si>
    <t>MBVI-419</t>
  </si>
  <si>
    <t>MBVI-225</t>
  </si>
  <si>
    <t>MBVI-217</t>
  </si>
  <si>
    <t>MBVI-4706</t>
  </si>
  <si>
    <t>MBVI-4206</t>
  </si>
  <si>
    <t>MBVI-4106</t>
  </si>
  <si>
    <t>MBVI-137</t>
  </si>
  <si>
    <t>MBVI-3906</t>
  </si>
  <si>
    <t>MBVI-3806</t>
  </si>
  <si>
    <t>MBVI-3712</t>
  </si>
  <si>
    <t>MBVI-3706</t>
  </si>
  <si>
    <t>MBVI-3414</t>
  </si>
  <si>
    <t>MBVI-3412</t>
  </si>
  <si>
    <t>MBVI-3406</t>
  </si>
  <si>
    <t>MBVI-3314</t>
  </si>
  <si>
    <t>MBVI-3312</t>
  </si>
  <si>
    <t>MBVI-3306</t>
  </si>
  <si>
    <t>MBVI-3112</t>
  </si>
  <si>
    <t>MBVI-3106</t>
  </si>
  <si>
    <t>MBVI-2914</t>
  </si>
  <si>
    <t>MBVI-2912</t>
  </si>
  <si>
    <t>MBVI-2906</t>
  </si>
  <si>
    <t>MBVI-2814</t>
  </si>
  <si>
    <t>MBVI-2812</t>
  </si>
  <si>
    <t>MBVI-2806</t>
  </si>
  <si>
    <t>MBVI-2714</t>
  </si>
  <si>
    <t>MBVI-2712</t>
  </si>
  <si>
    <t>MBVI-2706</t>
  </si>
  <si>
    <t>MBVI-1339</t>
  </si>
  <si>
    <t>MBVI-2514</t>
  </si>
  <si>
    <t>MBVI-2512</t>
  </si>
  <si>
    <t>MBVI-2506</t>
  </si>
  <si>
    <t>MBVI-2314</t>
  </si>
  <si>
    <t>MBVI-2312</t>
  </si>
  <si>
    <t>MBVI-2306</t>
  </si>
  <si>
    <t>MBVI-2214</t>
  </si>
  <si>
    <t>MBVI-2212</t>
  </si>
  <si>
    <t>MBVI-2206</t>
  </si>
  <si>
    <t>MBVI-2114</t>
  </si>
  <si>
    <t>MBVI-2112</t>
  </si>
  <si>
    <t>MBVI-2106</t>
  </si>
  <si>
    <t>MBVI-1914</t>
  </si>
  <si>
    <t>MBVI-1912</t>
  </si>
  <si>
    <t>MBVI-1906</t>
  </si>
  <si>
    <t>MBVI-553</t>
  </si>
  <si>
    <t>MBVI-453</t>
  </si>
  <si>
    <t>MBVI-1730</t>
  </si>
  <si>
    <t>MBVI-1714</t>
  </si>
  <si>
    <t>MBVI-1712</t>
  </si>
  <si>
    <t>MBVI-1706</t>
  </si>
  <si>
    <t>MBVI-241</t>
  </si>
  <si>
    <t>MBVI-1506</t>
  </si>
  <si>
    <t>MBVI-1536</t>
  </si>
  <si>
    <t>MBVI-1528</t>
  </si>
  <si>
    <t>MBVI-1514</t>
  </si>
  <si>
    <t>MBVI-1512</t>
  </si>
  <si>
    <t>MBVI-1438</t>
  </si>
  <si>
    <t>MBVI-1436</t>
  </si>
  <si>
    <t>MBVI-1430</t>
  </si>
  <si>
    <t>MBVI-1428</t>
  </si>
  <si>
    <t>MBVI-1414</t>
  </si>
  <si>
    <t>MBVI-1412</t>
  </si>
  <si>
    <t>MBVI-1406</t>
  </si>
  <si>
    <t>MBVI-1338</t>
  </si>
  <si>
    <t>MBVI-1330</t>
  </si>
  <si>
    <t>MBVI-1328</t>
  </si>
  <si>
    <t>MBVI-1314</t>
  </si>
  <si>
    <t>MBVI-1312</t>
  </si>
  <si>
    <t>MBVI-1306</t>
  </si>
  <si>
    <t>MBVI-945</t>
  </si>
  <si>
    <t>MBVI-1336</t>
  </si>
  <si>
    <t>MBVI-140</t>
  </si>
  <si>
    <t>MBVI-138</t>
  </si>
  <si>
    <t>MBVI-136</t>
  </si>
  <si>
    <t>MBVI-126</t>
  </si>
  <si>
    <t>MBVI-124</t>
  </si>
  <si>
    <t>MBVI-106</t>
  </si>
  <si>
    <t>MBVI-845</t>
  </si>
  <si>
    <t>MBVI-749</t>
  </si>
  <si>
    <t>MBVI-946</t>
  </si>
  <si>
    <t>MBVI-944</t>
  </si>
  <si>
    <t>MBVI-938</t>
  </si>
  <si>
    <t>MBVI-930</t>
  </si>
  <si>
    <t>MBVI-928</t>
  </si>
  <si>
    <t>MBVI-914</t>
  </si>
  <si>
    <t>MBVI-906</t>
  </si>
  <si>
    <t>MBVI-936</t>
  </si>
  <si>
    <t>MBVI-912</t>
  </si>
  <si>
    <t>MBVI-846</t>
  </si>
  <si>
    <t>MBVI-844</t>
  </si>
  <si>
    <t>MBVI-838</t>
  </si>
  <si>
    <t>MBVI-836</t>
  </si>
  <si>
    <t>MBVI-828</t>
  </si>
  <si>
    <t>MBVI-814</t>
  </si>
  <si>
    <t>MBVI-812</t>
  </si>
  <si>
    <t>MBVI-806</t>
  </si>
  <si>
    <t>MBVI-752</t>
  </si>
  <si>
    <t>MBVI-746</t>
  </si>
  <si>
    <t>MBVI-744</t>
  </si>
  <si>
    <t>MBVI-738</t>
  </si>
  <si>
    <t>MBVI-736</t>
  </si>
  <si>
    <t>MBVI-730</t>
  </si>
  <si>
    <t>MBVI-728</t>
  </si>
  <si>
    <t>MBVI-714</t>
  </si>
  <si>
    <t>MBVI-712</t>
  </si>
  <si>
    <t>MBVI-706</t>
  </si>
  <si>
    <t>MBVI-651</t>
  </si>
  <si>
    <t>MBVI-650</t>
  </si>
  <si>
    <t>MBVI-646</t>
  </si>
  <si>
    <t>MBVI-644</t>
  </si>
  <si>
    <t>MBVI-638</t>
  </si>
  <si>
    <t>MBVI-630</t>
  </si>
  <si>
    <t>MBVI-614</t>
  </si>
  <si>
    <t>MBVI-612</t>
  </si>
  <si>
    <t>MBVI-606</t>
  </si>
  <si>
    <t>MBVI-636</t>
  </si>
  <si>
    <t>MBVI-556</t>
  </si>
  <si>
    <t>MBVI-554</t>
  </si>
  <si>
    <t>MBVI-552</t>
  </si>
  <si>
    <t>MBVI-546</t>
  </si>
  <si>
    <t>MBVI-544</t>
  </si>
  <si>
    <t>MBVI-538</t>
  </si>
  <si>
    <t>MBVI-536</t>
  </si>
  <si>
    <t>MBVI-530</t>
  </si>
  <si>
    <t>MBVI-528</t>
  </si>
  <si>
    <t>MBVI-514</t>
  </si>
  <si>
    <t>MBVI-512</t>
  </si>
  <si>
    <t>MBVI-506</t>
  </si>
  <si>
    <t>MBVI-456</t>
  </si>
  <si>
    <t>MBVI-454</t>
  </si>
  <si>
    <t>MBVI-452</t>
  </si>
  <si>
    <t>MBVI-446</t>
  </si>
  <si>
    <t>MBVI-444</t>
  </si>
  <si>
    <t>MBVI-438</t>
  </si>
  <si>
    <t>MBVI-430</t>
  </si>
  <si>
    <t>MBVI-428</t>
  </si>
  <si>
    <t>MBVI-414</t>
  </si>
  <si>
    <t>MBVI-412</t>
  </si>
  <si>
    <t>MBVI-406</t>
  </si>
  <si>
    <t>MBVI-436</t>
  </si>
  <si>
    <t>MBVI-244</t>
  </si>
  <si>
    <t>MBVI-242</t>
  </si>
  <si>
    <t>MBVI-240</t>
  </si>
  <si>
    <t>MBVI-235</t>
  </si>
  <si>
    <t>MBVI-233</t>
  </si>
  <si>
    <t>MBVI-228</t>
  </si>
  <si>
    <t>MBVI-226</t>
  </si>
  <si>
    <t>MBVI-213</t>
  </si>
  <si>
    <t>MBVI-211</t>
  </si>
  <si>
    <t>MBVI-206</t>
  </si>
  <si>
    <t>MBVI-4804</t>
  </si>
  <si>
    <t>MBVI-4704</t>
  </si>
  <si>
    <t>MBVI-4208</t>
  </si>
  <si>
    <t>MBVI-4204</t>
  </si>
  <si>
    <t>MBVI-4108</t>
  </si>
  <si>
    <t>MBVI-4107</t>
  </si>
  <si>
    <t>MBVI-4104</t>
  </si>
  <si>
    <t>MBVI-3904</t>
  </si>
  <si>
    <t>MBVI-3910</t>
  </si>
  <si>
    <t>MBVI-3908</t>
  </si>
  <si>
    <t>MBVI-3810</t>
  </si>
  <si>
    <t>MBVI-3808</t>
  </si>
  <si>
    <t>MBVI-3804</t>
  </si>
  <si>
    <t>MBVI-3710</t>
  </si>
  <si>
    <t>MBVI-3708</t>
  </si>
  <si>
    <t>MBVI-3410</t>
  </si>
  <si>
    <t>MBVI-3408</t>
  </si>
  <si>
    <t>MBVI-3404</t>
  </si>
  <si>
    <t>MBVI-3316</t>
  </si>
  <si>
    <t>MBVI-3310</t>
  </si>
  <si>
    <t>MBVI-3304</t>
  </si>
  <si>
    <t>MBVI-3308</t>
  </si>
  <si>
    <t>MBVI-3115</t>
  </si>
  <si>
    <t>MBVI-3110</t>
  </si>
  <si>
    <t>MBVI-3108</t>
  </si>
  <si>
    <t>MBVI-3116</t>
  </si>
  <si>
    <t>MBVI-2917</t>
  </si>
  <si>
    <t>MBVI-2916</t>
  </si>
  <si>
    <t>MBVI-2910</t>
  </si>
  <si>
    <t>MBVI-2904</t>
  </si>
  <si>
    <t>MBVI-2918</t>
  </si>
  <si>
    <t>MBVI-2908</t>
  </si>
  <si>
    <t>MBVI-2816</t>
  </si>
  <si>
    <t>MBVI-2810</t>
  </si>
  <si>
    <t>MBVI-2808</t>
  </si>
  <si>
    <t>MBVI-2804</t>
  </si>
  <si>
    <t>MBVI-2818</t>
  </si>
  <si>
    <t>MBVI-2722</t>
  </si>
  <si>
    <t>MBVI-2718</t>
  </si>
  <si>
    <t>MBVI-2710</t>
  </si>
  <si>
    <t>MBVI-2708</t>
  </si>
  <si>
    <t>MBVI-2704</t>
  </si>
  <si>
    <t>MBVI-2716</t>
  </si>
  <si>
    <t>MBVI-2522</t>
  </si>
  <si>
    <t>MBVI-2520</t>
  </si>
  <si>
    <t>MBVI-2523</t>
  </si>
  <si>
    <t>MBVI-2518</t>
  </si>
  <si>
    <t>MBVI-2516</t>
  </si>
  <si>
    <t>MBVI-2510</t>
  </si>
  <si>
    <t>MBVI-2508</t>
  </si>
  <si>
    <t>MBVI-2504</t>
  </si>
  <si>
    <t>MBVI-2323</t>
  </si>
  <si>
    <t>MBVI-2320</t>
  </si>
  <si>
    <t>MBVI-2318</t>
  </si>
  <si>
    <t>MBVI-2316</t>
  </si>
  <si>
    <t>MBVI-2310</t>
  </si>
  <si>
    <t>MBVI-2308</t>
  </si>
  <si>
    <t>MBVI-2304</t>
  </si>
  <si>
    <t>MBVI-2220</t>
  </si>
  <si>
    <t>MBVI-2218</t>
  </si>
  <si>
    <t>MBVI-2216</t>
  </si>
  <si>
    <t>MBVI-2210</t>
  </si>
  <si>
    <t>MBVI-2208</t>
  </si>
  <si>
    <t>MBVI-2204</t>
  </si>
  <si>
    <t>MBVI-2120</t>
  </si>
  <si>
    <t>MBVI-2118</t>
  </si>
  <si>
    <t>MBVI-2116</t>
  </si>
  <si>
    <t>MBVI-2110</t>
  </si>
  <si>
    <t>MBVI-2108</t>
  </si>
  <si>
    <t>MBVI-2104</t>
  </si>
  <si>
    <t>MBVI-1926</t>
  </si>
  <si>
    <t>MBVI-1922</t>
  </si>
  <si>
    <t>MBVI-1918</t>
  </si>
  <si>
    <t>MBVI-1916</t>
  </si>
  <si>
    <t>MBVI-1910</t>
  </si>
  <si>
    <t>MBVI-1908</t>
  </si>
  <si>
    <t>MBVI-1904</t>
  </si>
  <si>
    <t>MBVI-1732</t>
  </si>
  <si>
    <t>MBVI-1726</t>
  </si>
  <si>
    <t>MBVI-1724</t>
  </si>
  <si>
    <t>MBVI-1722</t>
  </si>
  <si>
    <t>MBVI-1718</t>
  </si>
  <si>
    <t>MBVI-1716</t>
  </si>
  <si>
    <t>MBVI-1710</t>
  </si>
  <si>
    <t>MBVI-1708</t>
  </si>
  <si>
    <t>MBVI-1504</t>
  </si>
  <si>
    <t>MBVI-1534</t>
  </si>
  <si>
    <t>MBVI-1526</t>
  </si>
  <si>
    <t>MBVI-1524</t>
  </si>
  <si>
    <t>MBVI-1520</t>
  </si>
  <si>
    <t>MBVI-1518</t>
  </si>
  <si>
    <t>MBVI-1516</t>
  </si>
  <si>
    <t>MBVI-1510</t>
  </si>
  <si>
    <t>MBVI-1508</t>
  </si>
  <si>
    <t>MBVI-1432</t>
  </si>
  <si>
    <t>MBVI-1426</t>
  </si>
  <si>
    <t>MBVI-1424</t>
  </si>
  <si>
    <t>MBVI-1420</t>
  </si>
  <si>
    <t>MBVI-1418</t>
  </si>
  <si>
    <t>MBVI-1416</t>
  </si>
  <si>
    <t>MBVI-1410</t>
  </si>
  <si>
    <t>MBVI-1408</t>
  </si>
  <si>
    <t>MBVI-1404</t>
  </si>
  <si>
    <t>MBVI-1340</t>
  </si>
  <si>
    <t>MBVI-1334</t>
  </si>
  <si>
    <t>MBVI-1332</t>
  </si>
  <si>
    <t>MBVI-1326</t>
  </si>
  <si>
    <t>MBVI-1324</t>
  </si>
  <si>
    <t>MBVI-1322</t>
  </si>
  <si>
    <t>MBVI-1320</t>
  </si>
  <si>
    <t>MBVI-1318</t>
  </si>
  <si>
    <t>MBVI-1316</t>
  </si>
  <si>
    <t>MBVI-1310</t>
  </si>
  <si>
    <t>MBVI-1308</t>
  </si>
  <si>
    <t>MBVI-1304</t>
  </si>
  <si>
    <t>MBVI-134</t>
  </si>
  <si>
    <t>MBVI-128</t>
  </si>
  <si>
    <t>MBVI-122</t>
  </si>
  <si>
    <t>MBVI-120</t>
  </si>
  <si>
    <t>MBVI-118</t>
  </si>
  <si>
    <t>MBVI-116</t>
  </si>
  <si>
    <t>MBVI-114</t>
  </si>
  <si>
    <t>MBVI-108</t>
  </si>
  <si>
    <t>MBVI-104</t>
  </si>
  <si>
    <t>MBVI-948</t>
  </si>
  <si>
    <t>MBVI-942</t>
  </si>
  <si>
    <t>MBVI-940</t>
  </si>
  <si>
    <t>MBVI-934</t>
  </si>
  <si>
    <t>MBVI-932</t>
  </si>
  <si>
    <t>MBVI-926</t>
  </si>
  <si>
    <t>MBVI-924</t>
  </si>
  <si>
    <t>MBVI-922</t>
  </si>
  <si>
    <t>MBVI-920</t>
  </si>
  <si>
    <t>MBVI-918</t>
  </si>
  <si>
    <t>MBVI-916</t>
  </si>
  <si>
    <t>MBVI-910</t>
  </si>
  <si>
    <t>MBVI-908</t>
  </si>
  <si>
    <t>MBVI-904</t>
  </si>
  <si>
    <t>MBVI-848</t>
  </si>
  <si>
    <t>MBVI-847</t>
  </si>
  <si>
    <t>MBVI-840</t>
  </si>
  <si>
    <t>MBVI-834</t>
  </si>
  <si>
    <t>MBVI-832</t>
  </si>
  <si>
    <t>MBVI-826</t>
  </si>
  <si>
    <t>MBVI-824</t>
  </si>
  <si>
    <t>MBVI-822</t>
  </si>
  <si>
    <t>MBVI-820</t>
  </si>
  <si>
    <t>MBVI-818</t>
  </si>
  <si>
    <t>MBVI-816</t>
  </si>
  <si>
    <t>MBVI-810</t>
  </si>
  <si>
    <t>MBVI-808</t>
  </si>
  <si>
    <t>MBVI-804</t>
  </si>
  <si>
    <t>MBVI-842</t>
  </si>
  <si>
    <t>MBVI-750</t>
  </si>
  <si>
    <t>MBVI-748</t>
  </si>
  <si>
    <t>MBVI-742</t>
  </si>
  <si>
    <t>MBVI-740</t>
  </si>
  <si>
    <t>MBVI-732</t>
  </si>
  <si>
    <t>MBVI-726</t>
  </si>
  <si>
    <t>MBVI-724</t>
  </si>
  <si>
    <t>MBVI-720</t>
  </si>
  <si>
    <t>MBVI-718</t>
  </si>
  <si>
    <t>MBVI-716</t>
  </si>
  <si>
    <t>MBVI-710</t>
  </si>
  <si>
    <t>MBVI-708</t>
  </si>
  <si>
    <t>MBVI-704</t>
  </si>
  <si>
    <t>MBVI-649</t>
  </si>
  <si>
    <t>MBVI-648</t>
  </si>
  <si>
    <t>MBVI-642</t>
  </si>
  <si>
    <t>MBVI-640</t>
  </si>
  <si>
    <t>MBVI-634</t>
  </si>
  <si>
    <t>MBVI-626</t>
  </si>
  <si>
    <t>MBVI-624</t>
  </si>
  <si>
    <t>MBVI-622</t>
  </si>
  <si>
    <t>MBVI-620</t>
  </si>
  <si>
    <t>MBVI-618</t>
  </si>
  <si>
    <t>MBVI-616</t>
  </si>
  <si>
    <t>MBVI-610</t>
  </si>
  <si>
    <t>MBVI-608</t>
  </si>
  <si>
    <t>MBVI-604</t>
  </si>
  <si>
    <t>MBVI-550</t>
  </si>
  <si>
    <t>MBVI-548</t>
  </si>
  <si>
    <t>MBVI-542</t>
  </si>
  <si>
    <t>MBVI-540</t>
  </si>
  <si>
    <t>MBVI-534</t>
  </si>
  <si>
    <t>MBVI-526</t>
  </si>
  <si>
    <t>MBVI-524</t>
  </si>
  <si>
    <t>MBVI-522</t>
  </si>
  <si>
    <t>MBVI-520</t>
  </si>
  <si>
    <t>MBVI-518</t>
  </si>
  <si>
    <t>MBVI-516</t>
  </si>
  <si>
    <t>MBVI-510</t>
  </si>
  <si>
    <t>MBVI-508</t>
  </si>
  <si>
    <t>MBVI-504</t>
  </si>
  <si>
    <t>MBVI-450</t>
  </si>
  <si>
    <t>MBVI-442</t>
  </si>
  <si>
    <t>MBVI-440</t>
  </si>
  <si>
    <t>MBVI-434</t>
  </si>
  <si>
    <t>MBVI-432</t>
  </si>
  <si>
    <t>MBVI-426</t>
  </si>
  <si>
    <t>MBVI-424</t>
  </si>
  <si>
    <t>MBVI-422</t>
  </si>
  <si>
    <t>MBVI-420</t>
  </si>
  <si>
    <t>MBVI-418</t>
  </si>
  <si>
    <t>MBVI-416</t>
  </si>
  <si>
    <t>MBVI-410</t>
  </si>
  <si>
    <t>MBVI-408</t>
  </si>
  <si>
    <t>MBVI-404</t>
  </si>
  <si>
    <t>MBVI-238</t>
  </si>
  <si>
    <t>MBVI-230</t>
  </si>
  <si>
    <t>MBVI-224</t>
  </si>
  <si>
    <t>MBVI-222</t>
  </si>
  <si>
    <t>MBVI-220</t>
  </si>
  <si>
    <t>MBVI-218</t>
  </si>
  <si>
    <t>MBVI-216</t>
  </si>
  <si>
    <t>MBVI-208</t>
  </si>
  <si>
    <t>MBVI-204</t>
  </si>
  <si>
    <t>BURJ KHALIFA</t>
  </si>
  <si>
    <t>NAD AL SHIBA ROAD</t>
  </si>
  <si>
    <t>CITY PARK VIEW</t>
  </si>
  <si>
    <t>DUBAI AL AIN ROAD, FESTIVAL CITY</t>
  </si>
  <si>
    <t>BINGHATTI LUXURIA</t>
  </si>
  <si>
    <t>COMPLETION DATE: 31/07/2027</t>
  </si>
  <si>
    <t>BLXR-901</t>
  </si>
  <si>
    <t>BLXR-701</t>
  </si>
  <si>
    <t>BLXR-501</t>
  </si>
  <si>
    <t>BLXR-420</t>
  </si>
  <si>
    <t>BLXR-920</t>
  </si>
  <si>
    <t>BLXR-301</t>
  </si>
  <si>
    <t>BLXR-520</t>
  </si>
  <si>
    <t>BLXR-401</t>
  </si>
  <si>
    <t>BLXR-320</t>
  </si>
  <si>
    <t>BLXR-402</t>
  </si>
  <si>
    <t>BLXR-407</t>
  </si>
  <si>
    <t>BLXR-107</t>
  </si>
  <si>
    <t>BLXR-307</t>
  </si>
  <si>
    <t>BLXR-302</t>
  </si>
  <si>
    <t>BLXR-207</t>
  </si>
  <si>
    <t>BLXR-202</t>
  </si>
  <si>
    <t>BLXR-106</t>
  </si>
  <si>
    <t>BLXR-1206</t>
  </si>
  <si>
    <t>BLXR-1203</t>
  </si>
  <si>
    <t>BLXR-1106</t>
  </si>
  <si>
    <t>BLXR-1103</t>
  </si>
  <si>
    <t>BLXR-1003</t>
  </si>
  <si>
    <t>BLXR-806</t>
  </si>
  <si>
    <t>BLXR-906</t>
  </si>
  <si>
    <t>BLXR-903</t>
  </si>
  <si>
    <t>BLXR-803</t>
  </si>
  <si>
    <t>BLXR-706</t>
  </si>
  <si>
    <t>BLXR-703</t>
  </si>
  <si>
    <t>BLXR-406</t>
  </si>
  <si>
    <t>BLXR-506</t>
  </si>
  <si>
    <t>BLXR-503</t>
  </si>
  <si>
    <t>BLXR-403</t>
  </si>
  <si>
    <t>BLXR-203</t>
  </si>
  <si>
    <t>BLXR-206</t>
  </si>
  <si>
    <t>BLXR-103</t>
  </si>
  <si>
    <t>BLXR-105</t>
  </si>
  <si>
    <t>BLXR-904</t>
  </si>
  <si>
    <t>BLXR-504</t>
  </si>
  <si>
    <t>BLXR-1010</t>
  </si>
  <si>
    <t>BLXR-405</t>
  </si>
  <si>
    <t>BLXR-304</t>
  </si>
  <si>
    <t>BLXR-911</t>
  </si>
  <si>
    <t>BLXR-909</t>
  </si>
  <si>
    <t>BLXR-905</t>
  </si>
  <si>
    <t>BLXR-812</t>
  </si>
  <si>
    <t>BLXR-810</t>
  </si>
  <si>
    <t>BLXR-1211</t>
  </si>
  <si>
    <t>BLXR-1209</t>
  </si>
  <si>
    <t>BLXR-711</t>
  </si>
  <si>
    <t>BLXR-709</t>
  </si>
  <si>
    <t>BLXR-1208</t>
  </si>
  <si>
    <t>BLXR-1110</t>
  </si>
  <si>
    <t>BLXR-511</t>
  </si>
  <si>
    <t>BLXR-509</t>
  </si>
  <si>
    <t>BLXR-1011</t>
  </si>
  <si>
    <t>BLXR-1009</t>
  </si>
  <si>
    <t>BLXR-505</t>
  </si>
  <si>
    <t>BLXR-1008</t>
  </si>
  <si>
    <t>BLXR-412</t>
  </si>
  <si>
    <t>BLXR-410</t>
  </si>
  <si>
    <t>BLXR-404</t>
  </si>
  <si>
    <t>BLXR-912</t>
  </si>
  <si>
    <t>BLXR-910</t>
  </si>
  <si>
    <t>BLXR-811</t>
  </si>
  <si>
    <t>BLXR-809</t>
  </si>
  <si>
    <t>BLXR-311</t>
  </si>
  <si>
    <t>BLXR-309</t>
  </si>
  <si>
    <t>BLXR-305</t>
  </si>
  <si>
    <t>BLXR-113</t>
  </si>
  <si>
    <t>BLXR-112</t>
  </si>
  <si>
    <t>BLXR-111</t>
  </si>
  <si>
    <t>BLXR-110</t>
  </si>
  <si>
    <t>BLXR-109</t>
  </si>
  <si>
    <t>BLXR-712</t>
  </si>
  <si>
    <t>BLXR-710</t>
  </si>
  <si>
    <t>BLXR-205</t>
  </si>
  <si>
    <t>BLXR-204</t>
  </si>
  <si>
    <t>BLXR-908</t>
  </si>
  <si>
    <t>BLXR-512</t>
  </si>
  <si>
    <t>BLXR-510</t>
  </si>
  <si>
    <t>BLXR-513</t>
  </si>
  <si>
    <t>BLXR-411</t>
  </si>
  <si>
    <t>BLXR-409</t>
  </si>
  <si>
    <t>BLXR-108</t>
  </si>
  <si>
    <t>BLXR-708</t>
  </si>
  <si>
    <t>BLXR-408</t>
  </si>
  <si>
    <t>BLXR-312</t>
  </si>
  <si>
    <t>BLXR-310</t>
  </si>
  <si>
    <t>BLXR-212</t>
  </si>
  <si>
    <t>BLXR-211</t>
  </si>
  <si>
    <t>BLXR-210</t>
  </si>
  <si>
    <t>BLXR-209</t>
  </si>
  <si>
    <t>BLXR-508</t>
  </si>
  <si>
    <t>BLXR-413</t>
  </si>
  <si>
    <t>BLXR-308</t>
  </si>
  <si>
    <t>NEIGHBOR PLOT, JVT COMMUNITY</t>
  </si>
  <si>
    <t>NEIGHBOR PLOT, JVT COMMUNITY, SHEIKH MOHAMMED BIN ZAYED ROAD, MAIN ROAD</t>
  </si>
  <si>
    <t>SHEIKH MOHAMMED BIN ZAYED ROAD, MAIN ROAD</t>
  </si>
  <si>
    <t>NEIGHBOR PLOT, MAIN ROAD</t>
  </si>
  <si>
    <t>MAYBACH 6</t>
  </si>
  <si>
    <t>Completion Date: 30/04/2028</t>
  </si>
  <si>
    <t>MYB6-B926</t>
  </si>
  <si>
    <t>PARK VIEW, SWIMMING POOL</t>
  </si>
  <si>
    <t>MYB6-B924</t>
  </si>
  <si>
    <t>MYB6-B825</t>
  </si>
  <si>
    <t>MYB6-B823</t>
  </si>
  <si>
    <t>MYB6-B818</t>
  </si>
  <si>
    <t>MYB6-B726</t>
  </si>
  <si>
    <t>MYB6-B725</t>
  </si>
  <si>
    <t>MYB6-B718</t>
  </si>
  <si>
    <t>MYB6-B531</t>
  </si>
  <si>
    <t>MYB6-B527</t>
  </si>
  <si>
    <t>MYB6-B525</t>
  </si>
  <si>
    <t>MYB6-B523</t>
  </si>
  <si>
    <t>MYB6-B520</t>
  </si>
  <si>
    <t>MYB6-B518</t>
  </si>
  <si>
    <t>MYB6-B431</t>
  </si>
  <si>
    <t>MYB6-B429</t>
  </si>
  <si>
    <t>MYB6-B428</t>
  </si>
  <si>
    <t>MYB6-B426</t>
  </si>
  <si>
    <t>MYB6-B425</t>
  </si>
  <si>
    <t>MYB6-B423</t>
  </si>
  <si>
    <t>MYB6-B402</t>
  </si>
  <si>
    <t>MYB6-B3410</t>
  </si>
  <si>
    <t>MYB6-B3408</t>
  </si>
  <si>
    <t>MYB6-B3406</t>
  </si>
  <si>
    <t>MYB6-B3403</t>
  </si>
  <si>
    <t>MYB6-B3308</t>
  </si>
  <si>
    <t>MYB6-B3307</t>
  </si>
  <si>
    <t>MYB6-B3306</t>
  </si>
  <si>
    <t>MYB6-B3303</t>
  </si>
  <si>
    <t>MYB6-B330</t>
  </si>
  <si>
    <t>MYB6-B327</t>
  </si>
  <si>
    <t>MYB6-B326</t>
  </si>
  <si>
    <t>MYB6-B325</t>
  </si>
  <si>
    <t>MYB6-B323</t>
  </si>
  <si>
    <t>MYB6-B322</t>
  </si>
  <si>
    <t>MYB6-B3208</t>
  </si>
  <si>
    <t>MYB6-B3207</t>
  </si>
  <si>
    <t>MYB6-B3206</t>
  </si>
  <si>
    <t>MYB6-B3203</t>
  </si>
  <si>
    <t>MYB6-B319</t>
  </si>
  <si>
    <t>MYB6-B318</t>
  </si>
  <si>
    <t>MYB6-B2718</t>
  </si>
  <si>
    <t>MYB6-B2618</t>
  </si>
  <si>
    <t>MYB6-B2331</t>
  </si>
  <si>
    <t>MYB6-B2318</t>
  </si>
  <si>
    <t>MYB6-B231</t>
  </si>
  <si>
    <t>MYB6-B228</t>
  </si>
  <si>
    <t>MYB6-B226</t>
  </si>
  <si>
    <t>MYB6-B225</t>
  </si>
  <si>
    <t>MYB6-B223</t>
  </si>
  <si>
    <t>MYB6-B220</t>
  </si>
  <si>
    <t>MYB6-B2131</t>
  </si>
  <si>
    <t>MYB6-B212</t>
  </si>
  <si>
    <t>MYB6-B2118</t>
  </si>
  <si>
    <t>MYB6-B2031</t>
  </si>
  <si>
    <t>MYB6-B202</t>
  </si>
  <si>
    <t>MYB6-B1931</t>
  </si>
  <si>
    <t>MYB6-B1831</t>
  </si>
  <si>
    <t>MYB6-B1728</t>
  </si>
  <si>
    <t>MYB6-B1718</t>
  </si>
  <si>
    <t>MYB6-B1631</t>
  </si>
  <si>
    <t>MYB6-B1618</t>
  </si>
  <si>
    <t>MYB6-B1531</t>
  </si>
  <si>
    <t>MYB6-B1523</t>
  </si>
  <si>
    <t>MYB6-B1518</t>
  </si>
  <si>
    <t>MYB6-B1431</t>
  </si>
  <si>
    <t>MYB6-B1424</t>
  </si>
  <si>
    <t>MYB6-B1422</t>
  </si>
  <si>
    <t>MYB6-B1418</t>
  </si>
  <si>
    <t>MYB6-B1331</t>
  </si>
  <si>
    <t>MYB6-B1326</t>
  </si>
  <si>
    <t>MYB6-B1318</t>
  </si>
  <si>
    <t>MYB6-B1231</t>
  </si>
  <si>
    <t>MYB6-B1222</t>
  </si>
  <si>
    <t>MYB6-B1218</t>
  </si>
  <si>
    <t>MYB6-B1118</t>
  </si>
  <si>
    <t>MYB6-B1026</t>
  </si>
  <si>
    <t>MYB6-B1021</t>
  </si>
  <si>
    <t>MYB6-B1019</t>
  </si>
  <si>
    <t>MYB6-A931</t>
  </si>
  <si>
    <t>MYB6-A920</t>
  </si>
  <si>
    <t>MYB6-A918</t>
  </si>
  <si>
    <t>MYB6-A910</t>
  </si>
  <si>
    <t>MYB6-A907</t>
  </si>
  <si>
    <t>MYB6-A906</t>
  </si>
  <si>
    <t>MYB6-A827</t>
  </si>
  <si>
    <t>MYB6-A824</t>
  </si>
  <si>
    <t>MYB6-A821</t>
  </si>
  <si>
    <t>MYB6-A818</t>
  </si>
  <si>
    <t>MYB6-A815</t>
  </si>
  <si>
    <t>MYB6-A814</t>
  </si>
  <si>
    <t>MYB6-A813</t>
  </si>
  <si>
    <t>MYB6-A809</t>
  </si>
  <si>
    <t>MYB6-A807</t>
  </si>
  <si>
    <t>MYB6-A805</t>
  </si>
  <si>
    <t>MYB6-A802</t>
  </si>
  <si>
    <t>MYB6-A728</t>
  </si>
  <si>
    <t>MYB6-A727</t>
  </si>
  <si>
    <t>MYB6-A725</t>
  </si>
  <si>
    <t>MYB6-A724</t>
  </si>
  <si>
    <t>MYB6-A722</t>
  </si>
  <si>
    <t>MYB6-A718</t>
  </si>
  <si>
    <t>MYB6-A715</t>
  </si>
  <si>
    <t>MYB6-A706</t>
  </si>
  <si>
    <t>MYB6-A702</t>
  </si>
  <si>
    <t>MYB6-A631</t>
  </si>
  <si>
    <t>MYB6-A628</t>
  </si>
  <si>
    <t>MYB6-A619</t>
  </si>
  <si>
    <t>MYB6-A618</t>
  </si>
  <si>
    <t>MYB6-A613</t>
  </si>
  <si>
    <t>MYB6-A610</t>
  </si>
  <si>
    <t>MYB6-A609</t>
  </si>
  <si>
    <t>MYB6-A606</t>
  </si>
  <si>
    <t>MYB6-A602</t>
  </si>
  <si>
    <t>MYB6-A529</t>
  </si>
  <si>
    <t>MYB6-A524</t>
  </si>
  <si>
    <t>MYB6-A521</t>
  </si>
  <si>
    <t>MYB6-A520</t>
  </si>
  <si>
    <t>MYB6-A518</t>
  </si>
  <si>
    <t>MYB6-A515</t>
  </si>
  <si>
    <t>MYB6-A510</t>
  </si>
  <si>
    <t>MYB6-A506</t>
  </si>
  <si>
    <t>MYB6-A502</t>
  </si>
  <si>
    <t>MYB6-A431</t>
  </si>
  <si>
    <t>MYB6-A428</t>
  </si>
  <si>
    <t>MYB6-A427</t>
  </si>
  <si>
    <t>MYB6-A426</t>
  </si>
  <si>
    <t>MYB6-A425</t>
  </si>
  <si>
    <t>MYB6-A423</t>
  </si>
  <si>
    <t>MYB6-A419</t>
  </si>
  <si>
    <t>MYB6-A415</t>
  </si>
  <si>
    <t>MYB6-A414</t>
  </si>
  <si>
    <t>MYB6-A413</t>
  </si>
  <si>
    <t>MYB6-A412</t>
  </si>
  <si>
    <t>MYB6-A410</t>
  </si>
  <si>
    <t>MYB6-A408</t>
  </si>
  <si>
    <t>MYB6-A405</t>
  </si>
  <si>
    <t>MYB6-A331</t>
  </si>
  <si>
    <t>MYB6-A330</t>
  </si>
  <si>
    <t>MYB6-A327</t>
  </si>
  <si>
    <t>MYB6-A326</t>
  </si>
  <si>
    <t>MYB6-A325</t>
  </si>
  <si>
    <t>MYB6-A324</t>
  </si>
  <si>
    <t>MYB6-A323</t>
  </si>
  <si>
    <t>MYB6-A322</t>
  </si>
  <si>
    <t>MYB6-A321</t>
  </si>
  <si>
    <t>MYB6-A320</t>
  </si>
  <si>
    <t>MYB6-A318</t>
  </si>
  <si>
    <t>MYB6-A315</t>
  </si>
  <si>
    <t>MYB6-A313</t>
  </si>
  <si>
    <t>MYB6-A312</t>
  </si>
  <si>
    <t>MYB6-A309</t>
  </si>
  <si>
    <t>MYB6-A308</t>
  </si>
  <si>
    <t>MYB6-A305</t>
  </si>
  <si>
    <t>MYB6-A303</t>
  </si>
  <si>
    <t>MYB6-A302</t>
  </si>
  <si>
    <t>MYB6-A2914</t>
  </si>
  <si>
    <t>MYB6-A2913</t>
  </si>
  <si>
    <t>MYB6-A2910</t>
  </si>
  <si>
    <t>MYB6-A2909</t>
  </si>
  <si>
    <t>MYB6-A2908</t>
  </si>
  <si>
    <t>MYB6-A2907</t>
  </si>
  <si>
    <t>MYB6-A2906</t>
  </si>
  <si>
    <t>MYB6-A2903</t>
  </si>
  <si>
    <t>MYB6-A2902</t>
  </si>
  <si>
    <t>MYB6-A2901</t>
  </si>
  <si>
    <t>MYB6-A2814</t>
  </si>
  <si>
    <t>MYB6-A2813</t>
  </si>
  <si>
    <t>MYB6-A2810</t>
  </si>
  <si>
    <t>MYB6-A2808</t>
  </si>
  <si>
    <t>MYB6-A2807</t>
  </si>
  <si>
    <t>MYB6-A2806</t>
  </si>
  <si>
    <t>MYB6-A2803</t>
  </si>
  <si>
    <t>MYB6-A2801</t>
  </si>
  <si>
    <t>MYB6-A2714</t>
  </si>
  <si>
    <t>MYB6-A2713</t>
  </si>
  <si>
    <t>MYB6-A2710</t>
  </si>
  <si>
    <t>MYB6-A2709</t>
  </si>
  <si>
    <t>MYB6-A2708</t>
  </si>
  <si>
    <t>MYB6-A2707</t>
  </si>
  <si>
    <t>MYB6-A2706</t>
  </si>
  <si>
    <t>MYB6-A2703</t>
  </si>
  <si>
    <t>MYB6-A2701</t>
  </si>
  <si>
    <t>MYB6-A2631</t>
  </si>
  <si>
    <t>MYB6-A2618</t>
  </si>
  <si>
    <t>MYB6-A2615</t>
  </si>
  <si>
    <t>MYB6-A2602</t>
  </si>
  <si>
    <t>MYB6-A2531</t>
  </si>
  <si>
    <t>MYB6-A2527</t>
  </si>
  <si>
    <t>MYB6-A2518</t>
  </si>
  <si>
    <t>MYB6-A2515</t>
  </si>
  <si>
    <t>MYB6-A2431</t>
  </si>
  <si>
    <t>MYB6-A2418</t>
  </si>
  <si>
    <t>MYB6-A2415</t>
  </si>
  <si>
    <t>MYB6-A2402</t>
  </si>
  <si>
    <t>MYB6-A2331</t>
  </si>
  <si>
    <t>MYB6-A2318</t>
  </si>
  <si>
    <t>MYB6-A2315</t>
  </si>
  <si>
    <t>MYB6-A231</t>
  </si>
  <si>
    <t>MYB6-A2306</t>
  </si>
  <si>
    <t>MYB6-A2302</t>
  </si>
  <si>
    <t>MYB6-A230</t>
  </si>
  <si>
    <t>MYB6-A229</t>
  </si>
  <si>
    <t>MYB6-A227</t>
  </si>
  <si>
    <t>MYB6-A226</t>
  </si>
  <si>
    <t>MYB6-A224</t>
  </si>
  <si>
    <t>MYB6-A223</t>
  </si>
  <si>
    <t>MYB6-A222</t>
  </si>
  <si>
    <t>MYB6-A2218</t>
  </si>
  <si>
    <t>MYB6-A221</t>
  </si>
  <si>
    <t>MYB6-A220</t>
  </si>
  <si>
    <t>MYB6-A219</t>
  </si>
  <si>
    <t>MYB6-A218</t>
  </si>
  <si>
    <t>MYB6-A211</t>
  </si>
  <si>
    <t>MYB6-A2102</t>
  </si>
  <si>
    <t>MYB6-A210</t>
  </si>
  <si>
    <t>MYB6-A208</t>
  </si>
  <si>
    <t>MYB6-A207</t>
  </si>
  <si>
    <t>MYB6-A205</t>
  </si>
  <si>
    <t>MYB6-A2031</t>
  </si>
  <si>
    <t>MYB6-A2030</t>
  </si>
  <si>
    <t>MYB6-A203</t>
  </si>
  <si>
    <t>MYB6-A2028</t>
  </si>
  <si>
    <t>MYB6-A2026</t>
  </si>
  <si>
    <t>MYB6-A2024</t>
  </si>
  <si>
    <t>MYB6-A202</t>
  </si>
  <si>
    <t>MYB6-A2018</t>
  </si>
  <si>
    <t>MYB6-A2002</t>
  </si>
  <si>
    <t>MYB6-A1931</t>
  </si>
  <si>
    <t>MYB6-A1929</t>
  </si>
  <si>
    <t>MYB6-A1928</t>
  </si>
  <si>
    <t>MYB6-A1927</t>
  </si>
  <si>
    <t>MYB6-A1918</t>
  </si>
  <si>
    <t>MYB6-A1910</t>
  </si>
  <si>
    <t>MYB6-A1909</t>
  </si>
  <si>
    <t>MYB6-A1907</t>
  </si>
  <si>
    <t>MYB6-A1906</t>
  </si>
  <si>
    <t>MYB6-A1831</t>
  </si>
  <si>
    <t>MYB6-A1829</t>
  </si>
  <si>
    <t>MYB6-A1824</t>
  </si>
  <si>
    <t>MYB6-A1820</t>
  </si>
  <si>
    <t>MYB6-A1818</t>
  </si>
  <si>
    <t>MYB6-A1815</t>
  </si>
  <si>
    <t>MYB6-A1811</t>
  </si>
  <si>
    <t>MYB6-A1802</t>
  </si>
  <si>
    <t>MYB6-A1731</t>
  </si>
  <si>
    <t>MYB6-A1718</t>
  </si>
  <si>
    <t>MYB6-A1715</t>
  </si>
  <si>
    <t>MYB6-A1707</t>
  </si>
  <si>
    <t>MYB6-A1706</t>
  </si>
  <si>
    <t>MYB6-A1702</t>
  </si>
  <si>
    <t>MYB6-A1631</t>
  </si>
  <si>
    <t>MYB6-A1630</t>
  </si>
  <si>
    <t>MYB6-A1629</t>
  </si>
  <si>
    <t>MYB6-A1624</t>
  </si>
  <si>
    <t>MYB6-A1623</t>
  </si>
  <si>
    <t>MYB6-A1621</t>
  </si>
  <si>
    <t>MYB6-A1618</t>
  </si>
  <si>
    <t>MYB6-A1615</t>
  </si>
  <si>
    <t>MYB6-A1613</t>
  </si>
  <si>
    <t>MYB6-A1612</t>
  </si>
  <si>
    <t>MYB6-A1602</t>
  </si>
  <si>
    <t>MYB6-A1531</t>
  </si>
  <si>
    <t>MYB6-A1530</t>
  </si>
  <si>
    <t>MYB6-A1528</t>
  </si>
  <si>
    <t>MYB6-A1525</t>
  </si>
  <si>
    <t>MYB6-A1519</t>
  </si>
  <si>
    <t>MYB6-A1518</t>
  </si>
  <si>
    <t>MYB6-A1515</t>
  </si>
  <si>
    <t>MYB6-A1514</t>
  </si>
  <si>
    <t>MYB6-A1509</t>
  </si>
  <si>
    <t>MYB6-A1502</t>
  </si>
  <si>
    <t>MYB6-A1431</t>
  </si>
  <si>
    <t>MYB6-A1426</t>
  </si>
  <si>
    <t>MYB6-A1420</t>
  </si>
  <si>
    <t>MYB6-A1419</t>
  </si>
  <si>
    <t>MYB6-A1418</t>
  </si>
  <si>
    <t>MYB6-A1415</t>
  </si>
  <si>
    <t>MYB6-A1411</t>
  </si>
  <si>
    <t>MYB6-A1409</t>
  </si>
  <si>
    <t>MYB6-A1402</t>
  </si>
  <si>
    <t>MYB6-A1331</t>
  </si>
  <si>
    <t>MYB6-A1325</t>
  </si>
  <si>
    <t>MYB6-A1322</t>
  </si>
  <si>
    <t>MYB6-A1320</t>
  </si>
  <si>
    <t>MYB6-A1319</t>
  </si>
  <si>
    <t>MYB6-A1318</t>
  </si>
  <si>
    <t>MYB6-A1308</t>
  </si>
  <si>
    <t>MYB6-A1302</t>
  </si>
  <si>
    <t>MYB6-A1231</t>
  </si>
  <si>
    <t>MYB6-A1230</t>
  </si>
  <si>
    <t>MYB6-A1228</t>
  </si>
  <si>
    <t>MYB6-A1227</t>
  </si>
  <si>
    <t>MYB6-A1225</t>
  </si>
  <si>
    <t>MYB6-A1224</t>
  </si>
  <si>
    <t>MYB6-A1219</t>
  </si>
  <si>
    <t>MYB6-A1218</t>
  </si>
  <si>
    <t>MYB6-A1215</t>
  </si>
  <si>
    <t>MYB6-A1214</t>
  </si>
  <si>
    <t>MYB6-A1212</t>
  </si>
  <si>
    <t>MYB6-A1211</t>
  </si>
  <si>
    <t>MYB6-A1206</t>
  </si>
  <si>
    <t>MYB6-A1202</t>
  </si>
  <si>
    <t>MYB6-A1125</t>
  </si>
  <si>
    <t>MYB6-A1119</t>
  </si>
  <si>
    <t>MYB6-A1118</t>
  </si>
  <si>
    <t>MYB6-A1115</t>
  </si>
  <si>
    <t>MYB6-A1113</t>
  </si>
  <si>
    <t>MYB6-A1111</t>
  </si>
  <si>
    <t>MYB6-A1105</t>
  </si>
  <si>
    <t>MYB6-A1031</t>
  </si>
  <si>
    <t>MYB6-A1028</t>
  </si>
  <si>
    <t>MYB6-A1026</t>
  </si>
  <si>
    <t>MYB6-A1022</t>
  </si>
  <si>
    <t>MYB6-A1021</t>
  </si>
  <si>
    <t>MYB6-A1014</t>
  </si>
  <si>
    <t>MYB6-A1013</t>
  </si>
  <si>
    <t>MYB6-A1011</t>
  </si>
  <si>
    <t>MYB6-A1010</t>
  </si>
  <si>
    <t>PARK VIEW</t>
  </si>
  <si>
    <t>BURJ KHALIFA VIEW, NADD AL SHIBA ROAD, BINGHATTI MOSQUE</t>
  </si>
  <si>
    <t>BUILDING AMENITIES(OUTDOOR SITTING ARE , KIDS PLAY AREA)</t>
  </si>
  <si>
    <t>BURJ KHALIFA VIEW, BUILDING AMENITIES(OUTDOOR SITTING AREA , KIDS PLAY AREA)</t>
  </si>
  <si>
    <t>SWIMMING POOL, PARK VIEW</t>
  </si>
  <si>
    <t>NADD AL SHIBA ROAD, BINGHATTI MOSQUE</t>
  </si>
  <si>
    <t>PARK VIEW, SPORT FIELDS</t>
  </si>
  <si>
    <t>SWIMMING POOL, NADD AL SHIBA ROAD, PARK VIEW</t>
  </si>
  <si>
    <t>SWIMMING POOL, NADD AL SHIBA ROAD, PARK VIEW, BURJ KHALIFA VIEW</t>
  </si>
  <si>
    <t>SWIMMING POOL, PARK VIEW, NADD AL SHIBA ROAD, BINGHATTI MOSQUE, BURJ KHALIFA VIEW</t>
  </si>
  <si>
    <t>MAYBACH ULTIMATE LUXURY</t>
  </si>
  <si>
    <t>MBUL-B2413</t>
  </si>
  <si>
    <t>PARK VIEW, BUILDING AMENITIES(OUTDOOR SITTING AREA , KIDS PLAY AREA)</t>
  </si>
  <si>
    <t>MBUL-B2410</t>
  </si>
  <si>
    <t>MBUL-B2406</t>
  </si>
  <si>
    <t>MBUL-B2403</t>
  </si>
  <si>
    <t>MBUL-B2313</t>
  </si>
  <si>
    <t>MBUL-B2310</t>
  </si>
  <si>
    <t>MBUL-B2306</t>
  </si>
  <si>
    <t>MBUL-B2303</t>
  </si>
  <si>
    <t>MBUL-B2213</t>
  </si>
  <si>
    <t>MBUL-B2210</t>
  </si>
  <si>
    <t>MBUL-B2206</t>
  </si>
  <si>
    <t>MBUL-B2203</t>
  </si>
  <si>
    <t>MBUL-B2408</t>
  </si>
  <si>
    <t>MBUL-B2308</t>
  </si>
  <si>
    <t>MBUL-B2208</t>
  </si>
  <si>
    <t>MBUL-B2401</t>
  </si>
  <si>
    <t>MBUL-B2301</t>
  </si>
  <si>
    <t>MBUL-B2201</t>
  </si>
  <si>
    <t>MBUL-B2407</t>
  </si>
  <si>
    <t>MBUL-B2409</t>
  </si>
  <si>
    <t>MBUL-B2402</t>
  </si>
  <si>
    <t>MBUL-B2307</t>
  </si>
  <si>
    <t>MBUL-B2309</t>
  </si>
  <si>
    <t>MBUL-B2302</t>
  </si>
  <si>
    <t>MBUL-B2414</t>
  </si>
  <si>
    <t>MBUL-B2207</t>
  </si>
  <si>
    <t>MBUL-B2209</t>
  </si>
  <si>
    <t>MBUL-B2202</t>
  </si>
  <si>
    <t>MBUL-B2314</t>
  </si>
  <si>
    <t>MBUL-B2214</t>
  </si>
  <si>
    <t>MBUL-B2118</t>
  </si>
  <si>
    <t>MBUL-B2018</t>
  </si>
  <si>
    <t>MBUL-B1715</t>
  </si>
  <si>
    <t>MBUL-B1931</t>
  </si>
  <si>
    <t>MBUL-B1902</t>
  </si>
  <si>
    <t>MBUL-B1615</t>
  </si>
  <si>
    <t>MBUL-B1802</t>
  </si>
  <si>
    <t>MBUL-B1831</t>
  </si>
  <si>
    <t>MBUL-B1518</t>
  </si>
  <si>
    <t>MBUL-B1731</t>
  </si>
  <si>
    <t>MBUL-B1702</t>
  </si>
  <si>
    <t>MBUL-B1418</t>
  </si>
  <si>
    <t>MBUL-B1415</t>
  </si>
  <si>
    <t>MBUL-B1631</t>
  </si>
  <si>
    <t>MBUL-B1602</t>
  </si>
  <si>
    <t>MBUL-B1318</t>
  </si>
  <si>
    <t>MBUL-B1315</t>
  </si>
  <si>
    <t>MBUL-B1531</t>
  </si>
  <si>
    <t>MBUL-B1502</t>
  </si>
  <si>
    <t>MBUL-B1218</t>
  </si>
  <si>
    <t>MBUL-B1215</t>
  </si>
  <si>
    <t>MBUL-B1431</t>
  </si>
  <si>
    <t>MBUL-B1402</t>
  </si>
  <si>
    <t>MBUL-B1115</t>
  </si>
  <si>
    <t>MBUL-B1331</t>
  </si>
  <si>
    <t>MBUL-B1231</t>
  </si>
  <si>
    <t>MBUL-B1202</t>
  </si>
  <si>
    <t>MBUL-B918</t>
  </si>
  <si>
    <t>MBUL-B915</t>
  </si>
  <si>
    <t>MBUL-B1131</t>
  </si>
  <si>
    <t>MBUL-B1102</t>
  </si>
  <si>
    <t>MBUL-B818</t>
  </si>
  <si>
    <t>MBUL-B815</t>
  </si>
  <si>
    <t>MBUL-B1031</t>
  </si>
  <si>
    <t>MBUL-B1002</t>
  </si>
  <si>
    <t>MBUL-B902</t>
  </si>
  <si>
    <t>MBUL-B618</t>
  </si>
  <si>
    <t>MBUL-B615</t>
  </si>
  <si>
    <t>MBUL-B831</t>
  </si>
  <si>
    <t>MBUL-B802</t>
  </si>
  <si>
    <t>MBUL-B518</t>
  </si>
  <si>
    <t>MBUL-B515</t>
  </si>
  <si>
    <t>MBUL-B702</t>
  </si>
  <si>
    <t>MBUL-B418</t>
  </si>
  <si>
    <t>MBUL-B415</t>
  </si>
  <si>
    <t>MBUL-B631</t>
  </si>
  <si>
    <t>MBUL-B602</t>
  </si>
  <si>
    <t>MBUL-B318</t>
  </si>
  <si>
    <t>MBUL-B315</t>
  </si>
  <si>
    <t>MBUL-B531</t>
  </si>
  <si>
    <t>MBUL-B502</t>
  </si>
  <si>
    <t>MBUL-B218</t>
  </si>
  <si>
    <t>MBUL-B215</t>
  </si>
  <si>
    <t>MBUL-B431</t>
  </si>
  <si>
    <t>MBUL-B402</t>
  </si>
  <si>
    <t>MBUL-B331</t>
  </si>
  <si>
    <t>MBUL-B302</t>
  </si>
  <si>
    <t>MBUL-B231</t>
  </si>
  <si>
    <t>MBUL-B202</t>
  </si>
  <si>
    <t>MBUL-B232</t>
  </si>
  <si>
    <t>MBUL-B201</t>
  </si>
  <si>
    <t>MBUL-B2124</t>
  </si>
  <si>
    <t>MBUL-B2127</t>
  </si>
  <si>
    <t>MBUL-B2122</t>
  </si>
  <si>
    <t>MBUL-B2111</t>
  </si>
  <si>
    <t>MBUL-B2106</t>
  </si>
  <si>
    <t>MBUL-B2029</t>
  </si>
  <si>
    <t>MBUL-B2013</t>
  </si>
  <si>
    <t>MBUL-B2025</t>
  </si>
  <si>
    <t>MBUL-B2024</t>
  </si>
  <si>
    <t>MBUL-B2008</t>
  </si>
  <si>
    <t>MBUL-B2130</t>
  </si>
  <si>
    <t>MBUL-B2128</t>
  </si>
  <si>
    <t>MBUL-B2121</t>
  </si>
  <si>
    <t>MBUL-B2112</t>
  </si>
  <si>
    <t>MBUL-B2026</t>
  </si>
  <si>
    <t>MBUL-B2023</t>
  </si>
  <si>
    <t>MBUL-B2010</t>
  </si>
  <si>
    <t>MBUL-B2007</t>
  </si>
  <si>
    <t>MBUL-B2027</t>
  </si>
  <si>
    <t>MBUL-B2022</t>
  </si>
  <si>
    <t>MBUL-B2011</t>
  </si>
  <si>
    <t>MBUL-B2006</t>
  </si>
  <si>
    <t>MBUL-B1929</t>
  </si>
  <si>
    <t>MBUL-B1920</t>
  </si>
  <si>
    <t>MBUL-B1904</t>
  </si>
  <si>
    <t>MBUL-B1925</t>
  </si>
  <si>
    <t>MBUL-B1924</t>
  </si>
  <si>
    <t>MBUL-B1909</t>
  </si>
  <si>
    <t>MBUL-B1908</t>
  </si>
  <si>
    <t>MBUL-B2030</t>
  </si>
  <si>
    <t>MBUL-B2028</t>
  </si>
  <si>
    <t>MBUL-B2021</t>
  </si>
  <si>
    <t>MBUL-B2012</t>
  </si>
  <si>
    <t>MBUL-B1804</t>
  </si>
  <si>
    <t>MBUL-B1923</t>
  </si>
  <si>
    <t>MBUL-B1910</t>
  </si>
  <si>
    <t>MBUL-B1907</t>
  </si>
  <si>
    <t>MBUL-B1829</t>
  </si>
  <si>
    <t>MBUL-B1820</t>
  </si>
  <si>
    <t>MBUL-B1813</t>
  </si>
  <si>
    <t>MBUL-B1927</t>
  </si>
  <si>
    <t>MBUL-B1922</t>
  </si>
  <si>
    <t>MBUL-B1911</t>
  </si>
  <si>
    <t>MBUL-B1906</t>
  </si>
  <si>
    <t>MBUL-B1809</t>
  </si>
  <si>
    <t>MBUL-B1808</t>
  </si>
  <si>
    <t>MBUL-B1928</t>
  </si>
  <si>
    <t>MBUL-B1921</t>
  </si>
  <si>
    <t>MBUL-B1912</t>
  </si>
  <si>
    <t>MBUL-B1905</t>
  </si>
  <si>
    <t>MBUL-B1825</t>
  </si>
  <si>
    <t>MBUL-B1824</t>
  </si>
  <si>
    <t>MBUL-B1930</t>
  </si>
  <si>
    <t>MBUL-B1903</t>
  </si>
  <si>
    <t>MBUL-B1810</t>
  </si>
  <si>
    <t>MBUL-B1807</t>
  </si>
  <si>
    <t>MBUL-B1713</t>
  </si>
  <si>
    <t>MBUL-B1826</t>
  </si>
  <si>
    <t>MBUL-B1823</t>
  </si>
  <si>
    <t>MBUL-B1729</t>
  </si>
  <si>
    <t>MBUL-B1720</t>
  </si>
  <si>
    <t>MBUL-B1704</t>
  </si>
  <si>
    <t>MBUL-B1811</t>
  </si>
  <si>
    <t>MBUL-B1806</t>
  </si>
  <si>
    <t>MBUL-B1827</t>
  </si>
  <si>
    <t>MBUL-B1822</t>
  </si>
  <si>
    <t>MBUL-B1805</t>
  </si>
  <si>
    <t>MBUL-B1803</t>
  </si>
  <si>
    <t>MBUL-B1830</t>
  </si>
  <si>
    <t>MBUL-B1828</t>
  </si>
  <si>
    <t>MBUL-B1812</t>
  </si>
  <si>
    <t>MBUL-B1725</t>
  </si>
  <si>
    <t>MBUL-B1724</t>
  </si>
  <si>
    <t>MBUL-B1709</t>
  </si>
  <si>
    <t>MBUL-B1708</t>
  </si>
  <si>
    <t>MBUL-B1726</t>
  </si>
  <si>
    <t>MBUL-B1723</t>
  </si>
  <si>
    <t>MBUL-B1710</t>
  </si>
  <si>
    <t>MBUL-B1629</t>
  </si>
  <si>
    <t>MBUL-B1620</t>
  </si>
  <si>
    <t>MBUL-B1613</t>
  </si>
  <si>
    <t>MBUL-B1604</t>
  </si>
  <si>
    <t>MBUL-B1727</t>
  </si>
  <si>
    <t>MBUL-B1722</t>
  </si>
  <si>
    <t>MBUL-B1711</t>
  </si>
  <si>
    <t>MBUL-B1706</t>
  </si>
  <si>
    <t>MBUL-B1712</t>
  </si>
  <si>
    <t>MBUL-B1730</t>
  </si>
  <si>
    <t>MBUL-B1728</t>
  </si>
  <si>
    <t>MBUL-B1721</t>
  </si>
  <si>
    <t>MBUL-B1705</t>
  </si>
  <si>
    <t>MBUL-B1703</t>
  </si>
  <si>
    <t>MBUL-B1625</t>
  </si>
  <si>
    <t>MBUL-B1624</t>
  </si>
  <si>
    <t>MBUL-B1609</t>
  </si>
  <si>
    <t>MBUL-B1608</t>
  </si>
  <si>
    <t>MBUL-B1626</t>
  </si>
  <si>
    <t>MBUL-B1623</t>
  </si>
  <si>
    <t>MBUL-B1610</t>
  </si>
  <si>
    <t>MBUL-B1607</t>
  </si>
  <si>
    <t>MBUL-B1504</t>
  </si>
  <si>
    <t>MBUL-B1627</t>
  </si>
  <si>
    <t>MBUL-B1622</t>
  </si>
  <si>
    <t>MBUL-B1611</t>
  </si>
  <si>
    <t>MBUL-B1606</t>
  </si>
  <si>
    <t>MBUL-B1529</t>
  </si>
  <si>
    <t>MBUL-B1520</t>
  </si>
  <si>
    <t>MBUL-B1513</t>
  </si>
  <si>
    <t>MBUL-B1525</t>
  </si>
  <si>
    <t>MBUL-B1524</t>
  </si>
  <si>
    <t>MBUL-B1509</t>
  </si>
  <si>
    <t>MBUL-B1508</t>
  </si>
  <si>
    <t>MBUL-B1630</t>
  </si>
  <si>
    <t>MBUL-B1628</t>
  </si>
  <si>
    <t>MBUL-B1619</t>
  </si>
  <si>
    <t>MBUL-B1614</t>
  </si>
  <si>
    <t>MBUL-B1612</t>
  </si>
  <si>
    <t>MBUL-B1605</t>
  </si>
  <si>
    <t>MBUL-B1526</t>
  </si>
  <si>
    <t>MBUL-B1523</t>
  </si>
  <si>
    <t>MBUL-B1510</t>
  </si>
  <si>
    <t>MBUL-B1507</t>
  </si>
  <si>
    <t>MBUL-B1527</t>
  </si>
  <si>
    <t>MBUL-B1511</t>
  </si>
  <si>
    <t>MBUL-B1506</t>
  </si>
  <si>
    <t>MBUL-B1429</t>
  </si>
  <si>
    <t>MBUL-B1420</t>
  </si>
  <si>
    <t>MBUL-B1413</t>
  </si>
  <si>
    <t>MBUL-B1505</t>
  </si>
  <si>
    <t>MBUL-B1528</t>
  </si>
  <si>
    <t>MBUL-B1521</t>
  </si>
  <si>
    <t>MBUL-B1512</t>
  </si>
  <si>
    <t>MBUL-B1425</t>
  </si>
  <si>
    <t>MBUL-B1424</t>
  </si>
  <si>
    <t>MBUL-B1409</t>
  </si>
  <si>
    <t>MBUL-B1408</t>
  </si>
  <si>
    <t>MBUL-B1530</t>
  </si>
  <si>
    <t>MBUL-B1519</t>
  </si>
  <si>
    <t>MBUL-B1514</t>
  </si>
  <si>
    <t>MBUL-B1503</t>
  </si>
  <si>
    <t>MBUL-B1426</t>
  </si>
  <si>
    <t>MBUL-B1423</t>
  </si>
  <si>
    <t>MBUL-B1410</t>
  </si>
  <si>
    <t>MBUL-B1407</t>
  </si>
  <si>
    <t>MBUL-B1427</t>
  </si>
  <si>
    <t>MBUL-B1422</t>
  </si>
  <si>
    <t>MBUL-B1411</t>
  </si>
  <si>
    <t>MBUL-B1406</t>
  </si>
  <si>
    <t>MBUL-B1329</t>
  </si>
  <si>
    <t>MBUL-B1320</t>
  </si>
  <si>
    <t>MBUL-B1313</t>
  </si>
  <si>
    <t>MBUL-B1304</t>
  </si>
  <si>
    <t>MBUL-B1309</t>
  </si>
  <si>
    <t>MBUL-B1308</t>
  </si>
  <si>
    <t>MBUL-B1430</t>
  </si>
  <si>
    <t>MBUL-B1428</t>
  </si>
  <si>
    <t>MBUL-B1421</t>
  </si>
  <si>
    <t>MBUL-B1419</t>
  </si>
  <si>
    <t>MBUL-B1414</t>
  </si>
  <si>
    <t>MBUL-B1412</t>
  </si>
  <si>
    <t>MBUL-B1405</t>
  </si>
  <si>
    <t>MBUL-B1403</t>
  </si>
  <si>
    <t>MBUL-B1325</t>
  </si>
  <si>
    <t>MBUL-B1324</t>
  </si>
  <si>
    <t>MBUL-B1326</t>
  </si>
  <si>
    <t>MBUL-B1323</t>
  </si>
  <si>
    <t>MBUL-B1310</t>
  </si>
  <si>
    <t>MBUL-B1307</t>
  </si>
  <si>
    <t>MBUL-B1229</t>
  </si>
  <si>
    <t>MBUL-B1220</t>
  </si>
  <si>
    <t>MBUL-B1327</t>
  </si>
  <si>
    <t>MBUL-B1322</t>
  </si>
  <si>
    <t>MBUL-B1311</t>
  </si>
  <si>
    <t>MBUL-B1306</t>
  </si>
  <si>
    <t>MBUL-B1330</t>
  </si>
  <si>
    <t>MBUL-B1328</t>
  </si>
  <si>
    <t>MBUL-B1321</t>
  </si>
  <si>
    <t>MBUL-B1319</t>
  </si>
  <si>
    <t>MBUL-B1314</t>
  </si>
  <si>
    <t>MBUL-B1312</t>
  </si>
  <si>
    <t>MBUL-B1305</t>
  </si>
  <si>
    <t>MBUL-B1303</t>
  </si>
  <si>
    <t>MBUL-B1226</t>
  </si>
  <si>
    <t>MBUL-B1223</t>
  </si>
  <si>
    <t>MBUL-B1207</t>
  </si>
  <si>
    <t>MBUL-B1129</t>
  </si>
  <si>
    <t>MBUL-B1104</t>
  </si>
  <si>
    <t>MBUL-B1211</t>
  </si>
  <si>
    <t>MBUL-B1206</t>
  </si>
  <si>
    <t>MBUL-B1219</t>
  </si>
  <si>
    <t>MBUL-B1205</t>
  </si>
  <si>
    <t>MBUL-B1108</t>
  </si>
  <si>
    <t>MBUL-B1110</t>
  </si>
  <si>
    <t>MBUL-B1107</t>
  </si>
  <si>
    <t>MBUL-B1127</t>
  </si>
  <si>
    <t>MBUL-B1122</t>
  </si>
  <si>
    <t>MBUL-B1111</t>
  </si>
  <si>
    <t>MBUL-B1029</t>
  </si>
  <si>
    <t>MBUL-B1130</t>
  </si>
  <si>
    <t>MBUL-B1128</t>
  </si>
  <si>
    <t>MBUL-B1121</t>
  </si>
  <si>
    <t>MBUL-B1119</t>
  </si>
  <si>
    <t>MBUL-B1105</t>
  </si>
  <si>
    <t>MBUL-B1103</t>
  </si>
  <si>
    <t>MBUL-B1025</t>
  </si>
  <si>
    <t>MBUL-B1010</t>
  </si>
  <si>
    <t>MBUL-B1027</t>
  </si>
  <si>
    <t>MBUL-B1028</t>
  </si>
  <si>
    <t>MBUL-B908</t>
  </si>
  <si>
    <t>MBUL-B1019</t>
  </si>
  <si>
    <t>MBUL-B926</t>
  </si>
  <si>
    <t>MBUL-B922</t>
  </si>
  <si>
    <t>MBUL-B829</t>
  </si>
  <si>
    <t>MBUL-B921</t>
  </si>
  <si>
    <t>MBUL-B825</t>
  </si>
  <si>
    <t>MBUL-B824</t>
  </si>
  <si>
    <t>MBUL-B823</t>
  </si>
  <si>
    <t>MBUL-B720</t>
  </si>
  <si>
    <t>MBUL-B713</t>
  </si>
  <si>
    <t>MBUL-B822</t>
  </si>
  <si>
    <t>MBUL-B811</t>
  </si>
  <si>
    <t>MBUL-B819</t>
  </si>
  <si>
    <t>MBUL-B814</t>
  </si>
  <si>
    <t>MBUL-B803</t>
  </si>
  <si>
    <t>MBUL-B725</t>
  </si>
  <si>
    <t>MBUL-B723</t>
  </si>
  <si>
    <t>MBUL-B613</t>
  </si>
  <si>
    <t>MBUL-B604</t>
  </si>
  <si>
    <t>MBUL-B706</t>
  </si>
  <si>
    <t>MBUL-B714</t>
  </si>
  <si>
    <t>MBUL-B703</t>
  </si>
  <si>
    <t>MBUL-B608</t>
  </si>
  <si>
    <t>MBUL-B623</t>
  </si>
  <si>
    <t>MBUL-B627</t>
  </si>
  <si>
    <t>MBUL-B622</t>
  </si>
  <si>
    <t>MBUL-B529</t>
  </si>
  <si>
    <t>MBUL-B520</t>
  </si>
  <si>
    <t>MBUL-B612</t>
  </si>
  <si>
    <t>MBUL-B630</t>
  </si>
  <si>
    <t>MBUL-B619</t>
  </si>
  <si>
    <t>MBUL-B614</t>
  </si>
  <si>
    <t>MBUL-B603</t>
  </si>
  <si>
    <t>MBUL-B509</t>
  </si>
  <si>
    <t>MBUL-B508</t>
  </si>
  <si>
    <t>MBUL-B526</t>
  </si>
  <si>
    <t>MBUL-B523</t>
  </si>
  <si>
    <t>MBUL-B404</t>
  </si>
  <si>
    <t>MBUL-B530</t>
  </si>
  <si>
    <t>MBUL-B519</t>
  </si>
  <si>
    <t>MBUL-B512</t>
  </si>
  <si>
    <t>MBUL-B505</t>
  </si>
  <si>
    <t>MBUL-B503</t>
  </si>
  <si>
    <t>MBUL-B425</t>
  </si>
  <si>
    <t>MBUL-B408</t>
  </si>
  <si>
    <t>MBUL-B423</t>
  </si>
  <si>
    <t>MBUL-B410</t>
  </si>
  <si>
    <t>MBUL-B427</t>
  </si>
  <si>
    <t>MBUL-B422</t>
  </si>
  <si>
    <t>MBUL-B411</t>
  </si>
  <si>
    <t>MBUL-B406</t>
  </si>
  <si>
    <t>MBUL-B329</t>
  </si>
  <si>
    <t>MBUL-B320</t>
  </si>
  <si>
    <t>MBUL-B304</t>
  </si>
  <si>
    <t>MBUL-B430</t>
  </si>
  <si>
    <t>MBUL-B428</t>
  </si>
  <si>
    <t>MBUL-B421</t>
  </si>
  <si>
    <t>MBUL-B419</t>
  </si>
  <si>
    <t>MBUL-B412</t>
  </si>
  <si>
    <t>MBUL-B405</t>
  </si>
  <si>
    <t>MBUL-B403</t>
  </si>
  <si>
    <t>MBUL-B325</t>
  </si>
  <si>
    <t>MBUL-B324</t>
  </si>
  <si>
    <t>MBUL-B309</t>
  </si>
  <si>
    <t>MBUL-B326</t>
  </si>
  <si>
    <t>MBUL-B307</t>
  </si>
  <si>
    <t>MBUL-B327</t>
  </si>
  <si>
    <t>MBUL-B322</t>
  </si>
  <si>
    <t>MBUL-B213</t>
  </si>
  <si>
    <t>MBUL-B204</t>
  </si>
  <si>
    <t>MBUL-B328</t>
  </si>
  <si>
    <t>MBUL-B319</t>
  </si>
  <si>
    <t>MBUL-B312</t>
  </si>
  <si>
    <t>MBUL-B225</t>
  </si>
  <si>
    <t>MBUL-B224</t>
  </si>
  <si>
    <t>MBUL-B209</t>
  </si>
  <si>
    <t>MBUL-B226</t>
  </si>
  <si>
    <t>MBUL-B210</t>
  </si>
  <si>
    <t>MBUL-B207</t>
  </si>
  <si>
    <t>MBUL-B222</t>
  </si>
  <si>
    <t>MBUL-B211</t>
  </si>
  <si>
    <t>MBUL-B206</t>
  </si>
  <si>
    <t>MBUL-B230</t>
  </si>
  <si>
    <t>MBUL-B228</t>
  </si>
  <si>
    <t>MBUL-B221</t>
  </si>
  <si>
    <t>MBUL-B214</t>
  </si>
  <si>
    <t>MBUL-B205</t>
  </si>
  <si>
    <t>MBUL-B203</t>
  </si>
  <si>
    <t>MBUL-A1913</t>
  </si>
  <si>
    <t>MBUL-A1910</t>
  </si>
  <si>
    <t>MBUL-A1906</t>
  </si>
  <si>
    <t>MBUL-A1903</t>
  </si>
  <si>
    <t>MBUL-A1813</t>
  </si>
  <si>
    <t>MBUL-A1810</t>
  </si>
  <si>
    <t>MBUL-A1806</t>
  </si>
  <si>
    <t>MBUL-A1803</t>
  </si>
  <si>
    <t>MBUL-A1713</t>
  </si>
  <si>
    <t>MBUL-A1710</t>
  </si>
  <si>
    <t>MBUL-A1706</t>
  </si>
  <si>
    <t>MBUL-A1703</t>
  </si>
  <si>
    <t>MBUL-A1908</t>
  </si>
  <si>
    <t>MBUL-A1808</t>
  </si>
  <si>
    <t>MBUL-A1801</t>
  </si>
  <si>
    <t>MBUL-A1914</t>
  </si>
  <si>
    <t>MBUL-A1907</t>
  </si>
  <si>
    <t>MBUL-A1909</t>
  </si>
  <si>
    <t>MBUL-A1814</t>
  </si>
  <si>
    <t>MBUL-A1807</t>
  </si>
  <si>
    <t>MBUL-A1809</t>
  </si>
  <si>
    <t>MBUL-A1802</t>
  </si>
  <si>
    <t>MBUL-A1714</t>
  </si>
  <si>
    <t>MBUL-A1707</t>
  </si>
  <si>
    <t>MBUL-A1709</t>
  </si>
  <si>
    <t>MBUL-A1702</t>
  </si>
  <si>
    <t>MBUL-A1615</t>
  </si>
  <si>
    <t>MBUL-A1515</t>
  </si>
  <si>
    <t>MBUL-A1418</t>
  </si>
  <si>
    <t>MBUL-A1415</t>
  </si>
  <si>
    <t>MBUL-A1631</t>
  </si>
  <si>
    <t>MBUL-A1602</t>
  </si>
  <si>
    <t>MBUL-A1318</t>
  </si>
  <si>
    <t>MBUL-A1315</t>
  </si>
  <si>
    <t>MBUL-A1531</t>
  </si>
  <si>
    <t>MBUL-A1502</t>
  </si>
  <si>
    <t>MBUL-A1215</t>
  </si>
  <si>
    <t>MBUL-A1431</t>
  </si>
  <si>
    <t>MBUL-A1402</t>
  </si>
  <si>
    <t>MBUL-A1115</t>
  </si>
  <si>
    <t>MBUL-A1331</t>
  </si>
  <si>
    <t>MBUL-A1302</t>
  </si>
  <si>
    <t>MBUL-A1018</t>
  </si>
  <si>
    <t>MBUL-A1015</t>
  </si>
  <si>
    <t>MBUL-A1231</t>
  </si>
  <si>
    <t>MBUL-A1202</t>
  </si>
  <si>
    <t>MBUL-A915</t>
  </si>
  <si>
    <t>MBUL-A1131</t>
  </si>
  <si>
    <t>MBUL-A1102</t>
  </si>
  <si>
    <t>MBUL-A818</t>
  </si>
  <si>
    <t>MBUL-A815</t>
  </si>
  <si>
    <t>MBUL-A1031</t>
  </si>
  <si>
    <t>MBUL-A1002</t>
  </si>
  <si>
    <t>MBUL-A718</t>
  </si>
  <si>
    <t>MBUL-A715</t>
  </si>
  <si>
    <t>MBUL-A931</t>
  </si>
  <si>
    <t>MBUL-A902</t>
  </si>
  <si>
    <t>MBUL-A618</t>
  </si>
  <si>
    <t>MBUL-A615</t>
  </si>
  <si>
    <t>MBUL-A831</t>
  </si>
  <si>
    <t>MBUL-A802</t>
  </si>
  <si>
    <t>MBUL-A515</t>
  </si>
  <si>
    <t>MBUL-A731</t>
  </si>
  <si>
    <t>MBUL-A702</t>
  </si>
  <si>
    <t>MBUL-A418</t>
  </si>
  <si>
    <t>MBUL-A415</t>
  </si>
  <si>
    <t>MBUL-A631</t>
  </si>
  <si>
    <t>MBUL-A602</t>
  </si>
  <si>
    <t>MBUL-A318</t>
  </si>
  <si>
    <t>MBUL-A315</t>
  </si>
  <si>
    <t>MBUL-A531</t>
  </si>
  <si>
    <t>MBUL-A502</t>
  </si>
  <si>
    <t>MBUL-A215</t>
  </si>
  <si>
    <t>MBUL-A218</t>
  </si>
  <si>
    <t>MBUL-A431</t>
  </si>
  <si>
    <t>MBUL-A402</t>
  </si>
  <si>
    <t>MBUL-A331</t>
  </si>
  <si>
    <t>MBUL-A302</t>
  </si>
  <si>
    <t>MBUL-A231</t>
  </si>
  <si>
    <t>MBUL-A202</t>
  </si>
  <si>
    <t>MBUL-A801</t>
  </si>
  <si>
    <t>MBUL-A732</t>
  </si>
  <si>
    <t>MBUL-A417</t>
  </si>
  <si>
    <t>MBUL-A416</t>
  </si>
  <si>
    <t>MBUL-A317</t>
  </si>
  <si>
    <t>MBUL-A232</t>
  </si>
  <si>
    <t>MBUL-A1912</t>
  </si>
  <si>
    <t>MBUL-A1911</t>
  </si>
  <si>
    <t>MBUL-A1904</t>
  </si>
  <si>
    <t>MBUL-A1812</t>
  </si>
  <si>
    <t>MBUL-A1811</t>
  </si>
  <si>
    <t>MBUL-A1805</t>
  </si>
  <si>
    <t>MBUL-A1804</t>
  </si>
  <si>
    <t>MBUL-A1712</t>
  </si>
  <si>
    <t>MBUL-A1711</t>
  </si>
  <si>
    <t>MBUL-A1705</t>
  </si>
  <si>
    <t>MBUL-A1704</t>
  </si>
  <si>
    <t>MBUL-A1629</t>
  </si>
  <si>
    <t>MBUL-A1613</t>
  </si>
  <si>
    <t>MBUL-A1604</t>
  </si>
  <si>
    <t>MBUL-A1625</t>
  </si>
  <si>
    <t>MBUL-A1624</t>
  </si>
  <si>
    <t>MBUL-A1609</t>
  </si>
  <si>
    <t>MBUL-A1608</t>
  </si>
  <si>
    <t>MBUL-A1626</t>
  </si>
  <si>
    <t>MBUL-A1623</t>
  </si>
  <si>
    <t>MBUL-A1610</t>
  </si>
  <si>
    <t>MBUL-A1607</t>
  </si>
  <si>
    <t>MBUL-A1627</t>
  </si>
  <si>
    <t>MBUL-A1611</t>
  </si>
  <si>
    <t>MBUL-A1606</t>
  </si>
  <si>
    <t>MBUL-A1529</t>
  </si>
  <si>
    <t>MBUL-A1520</t>
  </si>
  <si>
    <t>MBUL-A1513</t>
  </si>
  <si>
    <t>MBUL-A1504</t>
  </si>
  <si>
    <t>MBUL-A1525</t>
  </si>
  <si>
    <t>MBUL-A1524</t>
  </si>
  <si>
    <t>MBUL-A1509</t>
  </si>
  <si>
    <t>MBUL-A1508</t>
  </si>
  <si>
    <t>MBUL-A1614</t>
  </si>
  <si>
    <t>MBUL-A1612</t>
  </si>
  <si>
    <t>MBUL-A1605</t>
  </si>
  <si>
    <t>MBUL-A1603</t>
  </si>
  <si>
    <t>MBUL-A1526</t>
  </si>
  <si>
    <t>MBUL-A1523</t>
  </si>
  <si>
    <t>MBUL-A1510</t>
  </si>
  <si>
    <t>MBUL-A1507</t>
  </si>
  <si>
    <t>MBUL-A1511</t>
  </si>
  <si>
    <t>MBUL-A1506</t>
  </si>
  <si>
    <t>MBUL-A1429</t>
  </si>
  <si>
    <t>MBUL-A1413</t>
  </si>
  <si>
    <t>MBUL-A1404</t>
  </si>
  <si>
    <t>MBUL-A1512</t>
  </si>
  <si>
    <t>MBUL-A1505</t>
  </si>
  <si>
    <t>MBUL-A1425</t>
  </si>
  <si>
    <t>MBUL-A1424</t>
  </si>
  <si>
    <t>MBUL-A1409</t>
  </si>
  <si>
    <t>MBUL-A1408</t>
  </si>
  <si>
    <t>MBUL-A1514</t>
  </si>
  <si>
    <t>MBUL-A1503</t>
  </si>
  <si>
    <t>MBUL-A1426</t>
  </si>
  <si>
    <t>MBUL-A1423</t>
  </si>
  <si>
    <t>MBUL-A1410</t>
  </si>
  <si>
    <t>MBUL-A1407</t>
  </si>
  <si>
    <t>MBUL-A1411</t>
  </si>
  <si>
    <t>MBUL-A1406</t>
  </si>
  <si>
    <t>MBUL-A1329</t>
  </si>
  <si>
    <t>MBUL-A1320</t>
  </si>
  <si>
    <t>MBUL-A1313</t>
  </si>
  <si>
    <t>MBUL-A1304</t>
  </si>
  <si>
    <t>MBUL-A1430</t>
  </si>
  <si>
    <t>MBUL-A1428</t>
  </si>
  <si>
    <t>MBUL-A1421</t>
  </si>
  <si>
    <t>MBUL-A1414</t>
  </si>
  <si>
    <t>MBUL-A1412</t>
  </si>
  <si>
    <t>MBUL-A1405</t>
  </si>
  <si>
    <t>MBUL-A1403</t>
  </si>
  <si>
    <t>MBUL-A1325</t>
  </si>
  <si>
    <t>MBUL-A1324</t>
  </si>
  <si>
    <t>MBUL-A1309</t>
  </si>
  <si>
    <t>MBUL-A1308</t>
  </si>
  <si>
    <t>MBUL-A1326</t>
  </si>
  <si>
    <t>MBUL-A1323</t>
  </si>
  <si>
    <t>MBUL-A1310</t>
  </si>
  <si>
    <t>MBUL-A1307</t>
  </si>
  <si>
    <t>MBUL-A1229</t>
  </si>
  <si>
    <t>MBUL-A1220</t>
  </si>
  <si>
    <t>MBUL-A1213</t>
  </si>
  <si>
    <t>MBUL-A1204</t>
  </si>
  <si>
    <t>MBUL-A1327</t>
  </si>
  <si>
    <t>MBUL-A1322</t>
  </si>
  <si>
    <t>MBUL-A1311</t>
  </si>
  <si>
    <t>MBUL-A1306</t>
  </si>
  <si>
    <t>MBUL-A1330</t>
  </si>
  <si>
    <t>MBUL-A1328</t>
  </si>
  <si>
    <t>MBUL-A1321</t>
  </si>
  <si>
    <t>MBUL-A1319</t>
  </si>
  <si>
    <t>MBUL-A1314</t>
  </si>
  <si>
    <t>MBUL-A1312</t>
  </si>
  <si>
    <t>MBUL-A1305</t>
  </si>
  <si>
    <t>MBUL-A1303</t>
  </si>
  <si>
    <t>MBUL-A1225</t>
  </si>
  <si>
    <t>MBUL-A1224</t>
  </si>
  <si>
    <t>MBUL-A1209</t>
  </si>
  <si>
    <t>MBUL-A1208</t>
  </si>
  <si>
    <t>MBUL-A1226</t>
  </si>
  <si>
    <t>MBUL-A1223</t>
  </si>
  <si>
    <t>MBUL-A1210</t>
  </si>
  <si>
    <t>MBUL-A1207</t>
  </si>
  <si>
    <t>MBUL-A1129</t>
  </si>
  <si>
    <t>MBUL-A1120</t>
  </si>
  <si>
    <t>MBUL-A1113</t>
  </si>
  <si>
    <t>MBUL-A1104</t>
  </si>
  <si>
    <t>MBUL-A1227</t>
  </si>
  <si>
    <t>MBUL-A1222</t>
  </si>
  <si>
    <t>MBUL-A1211</t>
  </si>
  <si>
    <t>MBUL-A1206</t>
  </si>
  <si>
    <t>MBUL-A1230</t>
  </si>
  <si>
    <t>MBUL-A1228</t>
  </si>
  <si>
    <t>MBUL-A1221</t>
  </si>
  <si>
    <t>MBUL-A1219</t>
  </si>
  <si>
    <t>MBUL-A1212</t>
  </si>
  <si>
    <t>MBUL-A1205</t>
  </si>
  <si>
    <t>MBUL-A1203</t>
  </si>
  <si>
    <t>MBUL-A1125</t>
  </si>
  <si>
    <t>MBUL-A1124</t>
  </si>
  <si>
    <t>MBUL-A1109</t>
  </si>
  <si>
    <t>MBUL-A1108</t>
  </si>
  <si>
    <t>MBUL-A1126</t>
  </si>
  <si>
    <t>MBUL-A1123</t>
  </si>
  <si>
    <t>MBUL-A1110</t>
  </si>
  <si>
    <t>MBUL-A1107</t>
  </si>
  <si>
    <t>MBUL-A1127</t>
  </si>
  <si>
    <t>MBUL-A1122</t>
  </si>
  <si>
    <t>MBUL-A1111</t>
  </si>
  <si>
    <t>MBUL-A1106</t>
  </si>
  <si>
    <t>MBUL-A1029</t>
  </si>
  <si>
    <t>MBUL-A1020</t>
  </si>
  <si>
    <t>MBUL-A1013</t>
  </si>
  <si>
    <t>MBUL-A1004</t>
  </si>
  <si>
    <t>MBUL-A1130</t>
  </si>
  <si>
    <t>MBUL-A1128</t>
  </si>
  <si>
    <t>MBUL-A1119</t>
  </si>
  <si>
    <t>MBUL-A1114</t>
  </si>
  <si>
    <t>MBUL-A1112</t>
  </si>
  <si>
    <t>MBUL-A1105</t>
  </si>
  <si>
    <t>MBUL-A1103</t>
  </si>
  <si>
    <t>MBUL-A1025</t>
  </si>
  <si>
    <t>MBUL-A1024</t>
  </si>
  <si>
    <t>MBUL-A1009</t>
  </si>
  <si>
    <t>MBUL-A1008</t>
  </si>
  <si>
    <t>MBUL-A1026</t>
  </si>
  <si>
    <t>MBUL-A1023</t>
  </si>
  <si>
    <t>MBUL-A1010</t>
  </si>
  <si>
    <t>MBUL-A1007</t>
  </si>
  <si>
    <t>MBUL-A1027</t>
  </si>
  <si>
    <t>MBUL-A1011</t>
  </si>
  <si>
    <t>MBUL-A1006</t>
  </si>
  <si>
    <t>MBUL-A929</t>
  </si>
  <si>
    <t>MBUL-A920</t>
  </si>
  <si>
    <t>MBUL-A913</t>
  </si>
  <si>
    <t>MBUL-A904</t>
  </si>
  <si>
    <t>MBUL-A1028</t>
  </si>
  <si>
    <t>MBUL-A1012</t>
  </si>
  <si>
    <t>MBUL-A1005</t>
  </si>
  <si>
    <t>MBUL-A925</t>
  </si>
  <si>
    <t>MBUL-A924</t>
  </si>
  <si>
    <t>MBUL-A909</t>
  </si>
  <si>
    <t>MBUL-A908</t>
  </si>
  <si>
    <t>MBUL-A1030</t>
  </si>
  <si>
    <t>MBUL-A1014</t>
  </si>
  <si>
    <t>MBUL-A1003</t>
  </si>
  <si>
    <t>MBUL-A926</t>
  </si>
  <si>
    <t>MBUL-A923</t>
  </si>
  <si>
    <t>MBUL-A910</t>
  </si>
  <si>
    <t>MBUL-A907</t>
  </si>
  <si>
    <t>MBUL-A927</t>
  </si>
  <si>
    <t>MBUL-A922</t>
  </si>
  <si>
    <t>MBUL-A911</t>
  </si>
  <si>
    <t>MBUL-A906</t>
  </si>
  <si>
    <t>MBUL-A829</t>
  </si>
  <si>
    <t>MBUL-A820</t>
  </si>
  <si>
    <t>MBUL-A813</t>
  </si>
  <si>
    <t>MBUL-A804</t>
  </si>
  <si>
    <t>MBUL-A930</t>
  </si>
  <si>
    <t>MBUL-A928</t>
  </si>
  <si>
    <t>MBUL-A921</t>
  </si>
  <si>
    <t>MBUL-A919</t>
  </si>
  <si>
    <t>MBUL-A914</t>
  </si>
  <si>
    <t>MBUL-A912</t>
  </si>
  <si>
    <t>MBUL-A905</t>
  </si>
  <si>
    <t>MBUL-A903</t>
  </si>
  <si>
    <t>MBUL-A825</t>
  </si>
  <si>
    <t>MBUL-A824</t>
  </si>
  <si>
    <t>MBUL-A809</t>
  </si>
  <si>
    <t>MBUL-A808</t>
  </si>
  <si>
    <t>MBUL-A826</t>
  </si>
  <si>
    <t>MBUL-A823</t>
  </si>
  <si>
    <t>MBUL-A810</t>
  </si>
  <si>
    <t>MBUL-A807</t>
  </si>
  <si>
    <t>MBUL-A729</t>
  </si>
  <si>
    <t>MBUL-A720</t>
  </si>
  <si>
    <t>MBUL-A713</t>
  </si>
  <si>
    <t>MBUL-A704</t>
  </si>
  <si>
    <t>MBUL-A827</t>
  </si>
  <si>
    <t>MBUL-A822</t>
  </si>
  <si>
    <t>MBUL-A811</t>
  </si>
  <si>
    <t>MBUL-A806</t>
  </si>
  <si>
    <t>MBUL-A830</t>
  </si>
  <si>
    <t>MBUL-A828</t>
  </si>
  <si>
    <t>MBUL-A821</t>
  </si>
  <si>
    <t>MBUL-A819</t>
  </si>
  <si>
    <t>MBUL-A814</t>
  </si>
  <si>
    <t>MBUL-A812</t>
  </si>
  <si>
    <t>MBUL-A805</t>
  </si>
  <si>
    <t>MBUL-A803</t>
  </si>
  <si>
    <t>MBUL-A725</t>
  </si>
  <si>
    <t>MBUL-A724</t>
  </si>
  <si>
    <t>MBUL-A709</t>
  </si>
  <si>
    <t>MBUL-A708</t>
  </si>
  <si>
    <t>MBUL-A726</t>
  </si>
  <si>
    <t>MBUL-A723</t>
  </si>
  <si>
    <t>MBUL-A710</t>
  </si>
  <si>
    <t>MBUL-A707</t>
  </si>
  <si>
    <t>MBUL-A629</t>
  </si>
  <si>
    <t>MBUL-A620</t>
  </si>
  <si>
    <t>MBUL-A613</t>
  </si>
  <si>
    <t>MBUL-A604</t>
  </si>
  <si>
    <t>MBUL-A727</t>
  </si>
  <si>
    <t>MBUL-A722</t>
  </si>
  <si>
    <t>MBUL-A711</t>
  </si>
  <si>
    <t>MBUL-A706</t>
  </si>
  <si>
    <t>MBUL-A730</t>
  </si>
  <si>
    <t>MBUL-A728</t>
  </si>
  <si>
    <t>MBUL-A721</t>
  </si>
  <si>
    <t>MBUL-A719</t>
  </si>
  <si>
    <t>MBUL-A714</t>
  </si>
  <si>
    <t>MBUL-A712</t>
  </si>
  <si>
    <t>MBUL-A705</t>
  </si>
  <si>
    <t>MBUL-A703</t>
  </si>
  <si>
    <t>MBUL-A625</t>
  </si>
  <si>
    <t>MBUL-A624</t>
  </si>
  <si>
    <t>MBUL-A609</t>
  </si>
  <si>
    <t>MBUL-A608</t>
  </si>
  <si>
    <t>MBUL-A626</t>
  </si>
  <si>
    <t>MBUL-A623</t>
  </si>
  <si>
    <t>MBUL-A610</t>
  </si>
  <si>
    <t>MBUL-A607</t>
  </si>
  <si>
    <t>MBUL-A627</t>
  </si>
  <si>
    <t>MBUL-A622</t>
  </si>
  <si>
    <t>MBUL-A611</t>
  </si>
  <si>
    <t>MBUL-A606</t>
  </si>
  <si>
    <t>MBUL-A529</t>
  </si>
  <si>
    <t>MBUL-A520</t>
  </si>
  <si>
    <t>MBUL-A513</t>
  </si>
  <si>
    <t>MBUL-A504</t>
  </si>
  <si>
    <t>MBUL-A612</t>
  </si>
  <si>
    <t>MBUL-A605</t>
  </si>
  <si>
    <t>MBUL-A630</t>
  </si>
  <si>
    <t>MBUL-A619</t>
  </si>
  <si>
    <t>MBUL-A614</t>
  </si>
  <si>
    <t>MBUL-A603</t>
  </si>
  <si>
    <t>MBUL-A525</t>
  </si>
  <si>
    <t>MBUL-A524</t>
  </si>
  <si>
    <t>MBUL-A509</t>
  </si>
  <si>
    <t>MBUL-A508</t>
  </si>
  <si>
    <t>MBUL-A526</t>
  </si>
  <si>
    <t>MBUL-A523</t>
  </si>
  <si>
    <t>MBUL-A510</t>
  </si>
  <si>
    <t>MBUL-A507</t>
  </si>
  <si>
    <t>MBUL-A527</t>
  </si>
  <si>
    <t>MBUL-A522</t>
  </si>
  <si>
    <t>MBUL-A511</t>
  </si>
  <si>
    <t>MBUL-A506</t>
  </si>
  <si>
    <t>MBUL-A429</t>
  </si>
  <si>
    <t>MBUL-A420</t>
  </si>
  <si>
    <t>MBUL-A413</t>
  </si>
  <si>
    <t>MBUL-A404</t>
  </si>
  <si>
    <t>MBUL-A530</t>
  </si>
  <si>
    <t>MBUL-A528</t>
  </si>
  <si>
    <t>MBUL-A521</t>
  </si>
  <si>
    <t>MBUL-A519</t>
  </si>
  <si>
    <t>MBUL-A514</t>
  </si>
  <si>
    <t>MBUL-A512</t>
  </si>
  <si>
    <t>MBUL-A505</t>
  </si>
  <si>
    <t>MBUL-A503</t>
  </si>
  <si>
    <t>MBUL-A425</t>
  </si>
  <si>
    <t>MBUL-A424</t>
  </si>
  <si>
    <t>MBUL-A409</t>
  </si>
  <si>
    <t>MBUL-A408</t>
  </si>
  <si>
    <t>MBUL-A426</t>
  </si>
  <si>
    <t>MBUL-A423</t>
  </si>
  <si>
    <t>MBUL-A410</t>
  </si>
  <si>
    <t>MBUL-A407</t>
  </si>
  <si>
    <t>MBUL-A427</t>
  </si>
  <si>
    <t>MBUL-A422</t>
  </si>
  <si>
    <t>MBUL-A411</t>
  </si>
  <si>
    <t>MBUL-A406</t>
  </si>
  <si>
    <t>MBUL-A329</t>
  </si>
  <si>
    <t>MBUL-A320</t>
  </si>
  <si>
    <t>MBUL-A313</t>
  </si>
  <si>
    <t>MBUL-A304</t>
  </si>
  <si>
    <t>MBUL-A430</t>
  </si>
  <si>
    <t>MBUL-A428</t>
  </si>
  <si>
    <t>MBUL-A421</t>
  </si>
  <si>
    <t>MBUL-A419</t>
  </si>
  <si>
    <t>MBUL-A414</t>
  </si>
  <si>
    <t>MBUL-A412</t>
  </si>
  <si>
    <t>MBUL-A405</t>
  </si>
  <si>
    <t>MBUL-A403</t>
  </si>
  <si>
    <t>MBUL-A325</t>
  </si>
  <si>
    <t>MBUL-A324</t>
  </si>
  <si>
    <t>MBUL-A309</t>
  </si>
  <si>
    <t>MBUL-A308</t>
  </si>
  <si>
    <t>MBUL-A326</t>
  </si>
  <si>
    <t>MBUL-A323</t>
  </si>
  <si>
    <t>MBUL-A310</t>
  </si>
  <si>
    <t>MBUL-A307</t>
  </si>
  <si>
    <t>MBUL-A327</t>
  </si>
  <si>
    <t>MBUL-A322</t>
  </si>
  <si>
    <t>MBUL-A311</t>
  </si>
  <si>
    <t>MBUL-A306</t>
  </si>
  <si>
    <t>MBUL-A229</t>
  </si>
  <si>
    <t>MBUL-A220</t>
  </si>
  <si>
    <t>MBUL-A213</t>
  </si>
  <si>
    <t>MBUL-A204</t>
  </si>
  <si>
    <t>MBUL-A330</t>
  </si>
  <si>
    <t>MBUL-A321</t>
  </si>
  <si>
    <t>MBUL-A319</t>
  </si>
  <si>
    <t>MBUL-A314</t>
  </si>
  <si>
    <t>MBUL-A303</t>
  </si>
  <si>
    <t>MBUL-A225</t>
  </si>
  <si>
    <t>MBUL-A224</t>
  </si>
  <si>
    <t>MBUL-A209</t>
  </si>
  <si>
    <t>MBUL-A208</t>
  </si>
  <si>
    <t>MBUL-A226</t>
  </si>
  <si>
    <t>MBUL-A223</t>
  </si>
  <si>
    <t>MBUL-A210</t>
  </si>
  <si>
    <t>MBUL-A207</t>
  </si>
  <si>
    <t>MBUL-A227</t>
  </si>
  <si>
    <t>MBUL-A222</t>
  </si>
  <si>
    <t>MBUL-A211</t>
  </si>
  <si>
    <t>MBUL-A206</t>
  </si>
  <si>
    <t>MBUL-A230</t>
  </si>
  <si>
    <t>MBUL-A219</t>
  </si>
  <si>
    <t>MBUL-A214</t>
  </si>
  <si>
    <t>MBUL-A203</t>
  </si>
  <si>
    <t>SPORT FIELDS, NADD AL SHIBA ROAD, PARK VIEW</t>
  </si>
  <si>
    <t>SWIMMING POOL, PARK VIEW, NADD AL SHIBA ROAD, BINGHATTI MOSQUE</t>
  </si>
  <si>
    <t>BINGHATTI ETHEREA</t>
  </si>
  <si>
    <t>MAIN ROAD, HESSA STREET, NEIGHBOR PLOT</t>
  </si>
  <si>
    <t>BETH-101</t>
  </si>
  <si>
    <t>BETH-1811</t>
  </si>
  <si>
    <t>BETH-1808</t>
  </si>
  <si>
    <t>BETH-1805</t>
  </si>
  <si>
    <t>BETH-1711</t>
  </si>
  <si>
    <t>BETH-1802</t>
  </si>
  <si>
    <t>BETH-1708</t>
  </si>
  <si>
    <t>BETH-1705</t>
  </si>
  <si>
    <t>BETH-1702</t>
  </si>
  <si>
    <t>BETH-1511</t>
  </si>
  <si>
    <t>BETH-1508</t>
  </si>
  <si>
    <t>BETH-1505</t>
  </si>
  <si>
    <t>BETH-1411</t>
  </si>
  <si>
    <t>BETH-1502</t>
  </si>
  <si>
    <t>BETH-1408</t>
  </si>
  <si>
    <t>BETH-1405</t>
  </si>
  <si>
    <t>BETH-1311</t>
  </si>
  <si>
    <t>BETH-1308</t>
  </si>
  <si>
    <t>BETH-1305</t>
  </si>
  <si>
    <t>BETH-1211</t>
  </si>
  <si>
    <t>BETH-1302</t>
  </si>
  <si>
    <t>BETH-1208</t>
  </si>
  <si>
    <t>BETH-1205</t>
  </si>
  <si>
    <t>BETH-1202</t>
  </si>
  <si>
    <t>BETH-1105</t>
  </si>
  <si>
    <t>BETH-1102</t>
  </si>
  <si>
    <t>BETH-907</t>
  </si>
  <si>
    <t>BETH-902</t>
  </si>
  <si>
    <t>BETH-915</t>
  </si>
  <si>
    <t>BETH-910</t>
  </si>
  <si>
    <t>BETH-802</t>
  </si>
  <si>
    <t>BETH-807</t>
  </si>
  <si>
    <t>BETH-815</t>
  </si>
  <si>
    <t>BETH-810</t>
  </si>
  <si>
    <t>BETH-707</t>
  </si>
  <si>
    <t>BETH-702</t>
  </si>
  <si>
    <t>BETH-715</t>
  </si>
  <si>
    <t>BETH-710</t>
  </si>
  <si>
    <t>BETH-607</t>
  </si>
  <si>
    <t>BETH-602</t>
  </si>
  <si>
    <t>BETH-615</t>
  </si>
  <si>
    <t>BETH-610</t>
  </si>
  <si>
    <t>BETH-507</t>
  </si>
  <si>
    <t>BETH-502</t>
  </si>
  <si>
    <t>BETH-515</t>
  </si>
  <si>
    <t>BETH-510</t>
  </si>
  <si>
    <t>BETH-407</t>
  </si>
  <si>
    <t>BETH-402</t>
  </si>
  <si>
    <t>BETH-415</t>
  </si>
  <si>
    <t>BETH-410</t>
  </si>
  <si>
    <t>BETH-307</t>
  </si>
  <si>
    <t>BETH-302</t>
  </si>
  <si>
    <t>BETH-315</t>
  </si>
  <si>
    <t>BETH-310</t>
  </si>
  <si>
    <t>BETH-207</t>
  </si>
  <si>
    <t>BETH-202</t>
  </si>
  <si>
    <t>BETH-212</t>
  </si>
  <si>
    <t>BETH-211</t>
  </si>
  <si>
    <t>BETH-1504</t>
  </si>
  <si>
    <t>BETH-1503</t>
  </si>
  <si>
    <t>BETH-1404</t>
  </si>
  <si>
    <t>BETH-1403</t>
  </si>
  <si>
    <t>BETH-1310</t>
  </si>
  <si>
    <t>BETH-1104</t>
  </si>
  <si>
    <t>BETH-1103</t>
  </si>
  <si>
    <t>BETH-1309</t>
  </si>
  <si>
    <t>BETH-1304</t>
  </si>
  <si>
    <t>BETH-1303</t>
  </si>
  <si>
    <t>BETH-1210</t>
  </si>
  <si>
    <t>BETH-1209</t>
  </si>
  <si>
    <t>BETH-1204</t>
  </si>
  <si>
    <t>BETH-107</t>
  </si>
  <si>
    <t>BETH-1812</t>
  </si>
  <si>
    <t>BETH-1801</t>
  </si>
  <si>
    <t>BETH-1807</t>
  </si>
  <si>
    <t>BETH-1512</t>
  </si>
  <si>
    <t>BETH-1707</t>
  </si>
  <si>
    <t>BETH-1412</t>
  </si>
  <si>
    <t>BETH-1312</t>
  </si>
  <si>
    <t>BETH-1806</t>
  </si>
  <si>
    <t>BETH-1706</t>
  </si>
  <si>
    <t>BETH-1507</t>
  </si>
  <si>
    <t>BETH-1401</t>
  </si>
  <si>
    <t>BETH-1212</t>
  </si>
  <si>
    <t>BETH-1407</t>
  </si>
  <si>
    <t>BETH-1301</t>
  </si>
  <si>
    <t>BETH-1201</t>
  </si>
  <si>
    <t>BETH-1506</t>
  </si>
  <si>
    <t>BETH-1307</t>
  </si>
  <si>
    <t>BETH-1207</t>
  </si>
  <si>
    <t>BETH-1406</t>
  </si>
  <si>
    <t>BETH-1306</t>
  </si>
  <si>
    <t>BETH-1206</t>
  </si>
  <si>
    <t>BETH-1101</t>
  </si>
  <si>
    <t>BETH-916</t>
  </si>
  <si>
    <t>BETH-816</t>
  </si>
  <si>
    <t>BETH-901</t>
  </si>
  <si>
    <t>BETH-716</t>
  </si>
  <si>
    <t>BETH-909</t>
  </si>
  <si>
    <t>BETH-801</t>
  </si>
  <si>
    <t>BETH-616</t>
  </si>
  <si>
    <t>BETH-1106</t>
  </si>
  <si>
    <t>BETH-809</t>
  </si>
  <si>
    <t>BETH-701</t>
  </si>
  <si>
    <t>BETH-516</t>
  </si>
  <si>
    <t>BETH-908</t>
  </si>
  <si>
    <t>BETH-709</t>
  </si>
  <si>
    <t>BETH-416</t>
  </si>
  <si>
    <t>BETH-808</t>
  </si>
  <si>
    <t>BETH-316</t>
  </si>
  <si>
    <t>BETH-708</t>
  </si>
  <si>
    <t>BETH-210</t>
  </si>
  <si>
    <t>BETH-409</t>
  </si>
  <si>
    <t>BETH-301</t>
  </si>
  <si>
    <t>BETH-309</t>
  </si>
  <si>
    <t>BETH-408</t>
  </si>
  <si>
    <t>BETH-209</t>
  </si>
  <si>
    <t>BETH-308</t>
  </si>
  <si>
    <t>BETH-208</t>
  </si>
  <si>
    <t>BETH-104</t>
  </si>
  <si>
    <t>BETH-102</t>
  </si>
  <si>
    <t>BETH-105</t>
  </si>
  <si>
    <t>BETH-604</t>
  </si>
  <si>
    <t>BETH-603</t>
  </si>
  <si>
    <t>BETH-506</t>
  </si>
  <si>
    <t>BETH-505</t>
  </si>
  <si>
    <t>BETH-504</t>
  </si>
  <si>
    <t>BETH-503</t>
  </si>
  <si>
    <t>BETH-406</t>
  </si>
  <si>
    <t>BETH-405</t>
  </si>
  <si>
    <t>BETH-404</t>
  </si>
  <si>
    <t>BETH-403</t>
  </si>
  <si>
    <t>BETH-306</t>
  </si>
  <si>
    <t>BETH-305</t>
  </si>
  <si>
    <t>BETH-304</t>
  </si>
  <si>
    <t>BETH-303</t>
  </si>
  <si>
    <t>BETH-311</t>
  </si>
  <si>
    <t>BETH-206</t>
  </si>
  <si>
    <t>MAIN ROAD, HESSA STREET</t>
  </si>
  <si>
    <t>AMENITY VIEW, CIRCLE MALL, JVC GADAF PARK, NEIGHBOR PLOT,AMENITY GARDEN/SITTING AREA VIEW</t>
  </si>
  <si>
    <t>MAIN ROAD,  NEIGHBOR PLOT, AMENITY VIEW, CIRCLE MALL, JVC GADAF PARK</t>
  </si>
  <si>
    <t>MAIN ROAD, HESSA STREET, NEIGHBOR PLOT, AMENITY GARDEN/SITTING AREA VIEW</t>
  </si>
  <si>
    <t>MAIN ROAD,  NEIGHBOR PLOT</t>
  </si>
  <si>
    <t>NEIGHBOR PLOT, AMENITY GARDEN/SITTING AREA VIEW</t>
  </si>
  <si>
    <t>AMENITY VIEW, CIRCLE MALL, JVC GADAF PARK</t>
  </si>
  <si>
    <t>PROJECT MAYBACH</t>
  </si>
  <si>
    <t>COMPLETION DATE: 31/12/2027</t>
  </si>
  <si>
    <t>PMYB-2503</t>
  </si>
  <si>
    <t>PARK VIEW, BUILDING GARDEN AREA</t>
  </si>
  <si>
    <t>PMYB-2403</t>
  </si>
  <si>
    <t>PMYB-2406</t>
  </si>
  <si>
    <t>PMYB-2513</t>
  </si>
  <si>
    <t>PMYB-2510</t>
  </si>
  <si>
    <t>PMYB-2306</t>
  </si>
  <si>
    <t>PMYB-2303</t>
  </si>
  <si>
    <t>PMYB-2413</t>
  </si>
  <si>
    <t>PMYB-2410</t>
  </si>
  <si>
    <t>PMYB-2206</t>
  </si>
  <si>
    <t>PMYB-2203</t>
  </si>
  <si>
    <t>PMYB-2313</t>
  </si>
  <si>
    <t>PMYB-2310</t>
  </si>
  <si>
    <t>PMYB-2213</t>
  </si>
  <si>
    <t>PMYB-2210</t>
  </si>
  <si>
    <t>PMYB-2301</t>
  </si>
  <si>
    <t>PMYB-2508</t>
  </si>
  <si>
    <t>PMYB-2201</t>
  </si>
  <si>
    <t>PMYB-2408</t>
  </si>
  <si>
    <t>PMYB-2308</t>
  </si>
  <si>
    <t>PMYB-2208</t>
  </si>
  <si>
    <t>PMYB-2509</t>
  </si>
  <si>
    <t>PMYB-2507</t>
  </si>
  <si>
    <t>PMYB-2514</t>
  </si>
  <si>
    <t>PMYB-2302</t>
  </si>
  <si>
    <t>PMYB-2409</t>
  </si>
  <si>
    <t>PMYB-2407</t>
  </si>
  <si>
    <t>PMYB-2414</t>
  </si>
  <si>
    <t>PMYB-2202</t>
  </si>
  <si>
    <t>PMYB-2309</t>
  </si>
  <si>
    <t>PMYB-2307</t>
  </si>
  <si>
    <t>PMYB-2314</t>
  </si>
  <si>
    <t>PMYB-2209</t>
  </si>
  <si>
    <t>PMYB-2214</t>
  </si>
  <si>
    <t>PMYB-2207</t>
  </si>
  <si>
    <t>PMYB-2512</t>
  </si>
  <si>
    <t>PMYB-2505</t>
  </si>
  <si>
    <t>PMYB-2504</t>
  </si>
  <si>
    <t>PMYB-2412</t>
  </si>
  <si>
    <t>PMYB-2405</t>
  </si>
  <si>
    <t>PMYB-2404</t>
  </si>
  <si>
    <t>PMYB-2511</t>
  </si>
  <si>
    <t>PMYB-2305</t>
  </si>
  <si>
    <t>PMYB-2304</t>
  </si>
  <si>
    <t>PMYB-2411</t>
  </si>
  <si>
    <t>PMYB-2205</t>
  </si>
  <si>
    <t>PMYB-2204</t>
  </si>
  <si>
    <t>PMYB-2311</t>
  </si>
  <si>
    <t>PMYB-2211</t>
  </si>
  <si>
    <t>PMYB-2039</t>
  </si>
  <si>
    <t>PMYB-1939</t>
  </si>
  <si>
    <t>PMYB-2119</t>
  </si>
  <si>
    <t>PMYB-2022</t>
  </si>
  <si>
    <t>PMYB-2019</t>
  </si>
  <si>
    <t>PMYB-1739</t>
  </si>
  <si>
    <t>PMYB-1922</t>
  </si>
  <si>
    <t>PMYB-1919</t>
  </si>
  <si>
    <t>PMYB-1639</t>
  </si>
  <si>
    <t>PMYB-1822</t>
  </si>
  <si>
    <t>PMYB-1819</t>
  </si>
  <si>
    <t>PMYB-1539</t>
  </si>
  <si>
    <t>PMYB-1722</t>
  </si>
  <si>
    <t>PMYB-1719</t>
  </si>
  <si>
    <t>PMYB-1439</t>
  </si>
  <si>
    <t>PMYB-1622</t>
  </si>
  <si>
    <t>PMYB-1619</t>
  </si>
  <si>
    <t>PMYB-1522</t>
  </si>
  <si>
    <t>PMYB-1519</t>
  </si>
  <si>
    <t>PMYB-1239</t>
  </si>
  <si>
    <t>PMYB-1422</t>
  </si>
  <si>
    <t>PMYB-1419</t>
  </si>
  <si>
    <t>PMYB-1139</t>
  </si>
  <si>
    <t>PMYB-1102</t>
  </si>
  <si>
    <t>PMYB-1222</t>
  </si>
  <si>
    <t>PMYB-1219</t>
  </si>
  <si>
    <t>PMYB-1122</t>
  </si>
  <si>
    <t>PMYB-1119</t>
  </si>
  <si>
    <t>PMYB-739</t>
  </si>
  <si>
    <t>PMYB-922</t>
  </si>
  <si>
    <t>PMYB-919</t>
  </si>
  <si>
    <t>PMYB-822</t>
  </si>
  <si>
    <t>PMYB-819</t>
  </si>
  <si>
    <t>PMYB-722</t>
  </si>
  <si>
    <t>PMYB-719</t>
  </si>
  <si>
    <t>PMYB-622</t>
  </si>
  <si>
    <t>PMYB-619</t>
  </si>
  <si>
    <t>PMYB-519</t>
  </si>
  <si>
    <t>PMYB-422</t>
  </si>
  <si>
    <t>PMYB-419</t>
  </si>
  <si>
    <t>PMYB-322</t>
  </si>
  <si>
    <t>PMYB-319</t>
  </si>
  <si>
    <t>PMYB-222</t>
  </si>
  <si>
    <t>PMYB-219</t>
  </si>
  <si>
    <t>PMYB-1721</t>
  </si>
  <si>
    <t>PMYB-1401</t>
  </si>
  <si>
    <t>PMYB-1621</t>
  </si>
  <si>
    <t>PMYB-1620</t>
  </si>
  <si>
    <t>PMYB-1020</t>
  </si>
  <si>
    <t>PMYB-921</t>
  </si>
  <si>
    <t>PMYB-920</t>
  </si>
  <si>
    <t>PMYB-340</t>
  </si>
  <si>
    <t>PMYB-301</t>
  </si>
  <si>
    <t>PMYB-520</t>
  </si>
  <si>
    <t>PMYB-321</t>
  </si>
  <si>
    <t>PMYB-320</t>
  </si>
  <si>
    <t>PMYB-2136</t>
  </si>
  <si>
    <t>PMYB-2127</t>
  </si>
  <si>
    <t>PMYB-2125</t>
  </si>
  <si>
    <t>PMYB-2130</t>
  </si>
  <si>
    <t>PMYB-1915</t>
  </si>
  <si>
    <t>PMYB-2032</t>
  </si>
  <si>
    <t>PMYB-2029</t>
  </si>
  <si>
    <t>PMYB-2037</t>
  </si>
  <si>
    <t>PMYB-2024</t>
  </si>
  <si>
    <t>PMYB-1914</t>
  </si>
  <si>
    <t>PMYB-1907</t>
  </si>
  <si>
    <t>PMYB-2035</t>
  </si>
  <si>
    <t>PMYB-2033</t>
  </si>
  <si>
    <t>PMYB-2028</t>
  </si>
  <si>
    <t>PMYB-1916</t>
  </si>
  <si>
    <t>PMYB-1938</t>
  </si>
  <si>
    <t>PMYB-1923</t>
  </si>
  <si>
    <t>PMYB-2034</t>
  </si>
  <si>
    <t>PMYB-2036</t>
  </si>
  <si>
    <t>PMYB-2027</t>
  </si>
  <si>
    <t>PMYB-2025</t>
  </si>
  <si>
    <t>PMYB-2031</t>
  </si>
  <si>
    <t>PMYB-2030</t>
  </si>
  <si>
    <t>PMYB-2013</t>
  </si>
  <si>
    <t>PMYB-2008</t>
  </si>
  <si>
    <t>PMYB-1817</t>
  </si>
  <si>
    <t>PMYB-1811</t>
  </si>
  <si>
    <t>PMYB-1810</t>
  </si>
  <si>
    <t>PMYB-1932</t>
  </si>
  <si>
    <t>PMYB-1929</t>
  </si>
  <si>
    <t>PMYB-1815</t>
  </si>
  <si>
    <t>PMYB-1806</t>
  </si>
  <si>
    <t>PMYB-1718</t>
  </si>
  <si>
    <t>PMYB-1937</t>
  </si>
  <si>
    <t>PMYB-1935</t>
  </si>
  <si>
    <t>PMYB-1933</t>
  </si>
  <si>
    <t>PMYB-1928</t>
  </si>
  <si>
    <t>PMYB-1926</t>
  </si>
  <si>
    <t>PMYB-1924</t>
  </si>
  <si>
    <t>PMYB-1816</t>
  </si>
  <si>
    <t>PMYB-1814</t>
  </si>
  <si>
    <t>PMYB-1807</t>
  </si>
  <si>
    <t>PMYB-1838</t>
  </si>
  <si>
    <t>PMYB-1823</t>
  </si>
  <si>
    <t>PMYB-1936</t>
  </si>
  <si>
    <t>PMYB-1934</t>
  </si>
  <si>
    <t>PMYB-1927</t>
  </si>
  <si>
    <t>PMYB-1925</t>
  </si>
  <si>
    <t>PMYB-1931</t>
  </si>
  <si>
    <t>PMYB-1930</t>
  </si>
  <si>
    <t>PMYB-1913</t>
  </si>
  <si>
    <t>PMYB-1908</t>
  </si>
  <si>
    <t>PMYB-1711</t>
  </si>
  <si>
    <t>PMYB-1710</t>
  </si>
  <si>
    <t>PMYB-1717</t>
  </si>
  <si>
    <t>PMYB-1715</t>
  </si>
  <si>
    <t>PMYB-1706</t>
  </si>
  <si>
    <t>PMYB-1832</t>
  </si>
  <si>
    <t>PMYB-1829</t>
  </si>
  <si>
    <t>PMYB-1618</t>
  </si>
  <si>
    <t>PMYB-1837</t>
  </si>
  <si>
    <t>PMYB-1826</t>
  </si>
  <si>
    <t>PMYB-1824</t>
  </si>
  <si>
    <t>PMYB-1714</t>
  </si>
  <si>
    <t>PMYB-1707</t>
  </si>
  <si>
    <t>PMYB-1835</t>
  </si>
  <si>
    <t>PMYB-1833</t>
  </si>
  <si>
    <t>PMYB-1828</t>
  </si>
  <si>
    <t>PMYB-1716</t>
  </si>
  <si>
    <t>PMYB-1834</t>
  </si>
  <si>
    <t>PMYB-1827</t>
  </si>
  <si>
    <t>PMYB-1738</t>
  </si>
  <si>
    <t>PMYB-1723</t>
  </si>
  <si>
    <t>PMYB-1836</t>
  </si>
  <si>
    <t>PMYB-1825</t>
  </si>
  <si>
    <t>PMYB-1831</t>
  </si>
  <si>
    <t>PMYB-1830</t>
  </si>
  <si>
    <t>PMYB-1813</t>
  </si>
  <si>
    <t>PMYB-1808</t>
  </si>
  <si>
    <t>PMYB-1611</t>
  </si>
  <si>
    <t>PMYB-1610</t>
  </si>
  <si>
    <t>PMYB-1617</t>
  </si>
  <si>
    <t>PMYB-1615</t>
  </si>
  <si>
    <t>PMYB-1606</t>
  </si>
  <si>
    <t>PMYB-1209</t>
  </si>
  <si>
    <t>PMYB-1732</t>
  </si>
  <si>
    <t>PMYB-1729</t>
  </si>
  <si>
    <t>PMYB-1737</t>
  </si>
  <si>
    <t>PMYB-1724</t>
  </si>
  <si>
    <t>PMYB-1614</t>
  </si>
  <si>
    <t>PMYB-1607</t>
  </si>
  <si>
    <t>PMYB-1735</t>
  </si>
  <si>
    <t>PMYB-1733</t>
  </si>
  <si>
    <t>PMYB-1728</t>
  </si>
  <si>
    <t>PMYB-1726</t>
  </si>
  <si>
    <t>PMYB-1616</t>
  </si>
  <si>
    <t>PMYB-1605</t>
  </si>
  <si>
    <t>PMYB-1638</t>
  </si>
  <si>
    <t>PMYB-1623</t>
  </si>
  <si>
    <t>PMYB-1736</t>
  </si>
  <si>
    <t>PMYB-1734</t>
  </si>
  <si>
    <t>PMYB-1727</t>
  </si>
  <si>
    <t>PMYB-1725</t>
  </si>
  <si>
    <t>PMYB-1731</t>
  </si>
  <si>
    <t>PMYB-1730</t>
  </si>
  <si>
    <t>PMYB-1713</t>
  </si>
  <si>
    <t>PMYB-1109</t>
  </si>
  <si>
    <t>PMYB-1637</t>
  </si>
  <si>
    <t>PMYB-1626</t>
  </si>
  <si>
    <t>PMYB-1624</t>
  </si>
  <si>
    <t>PMYB-1516</t>
  </si>
  <si>
    <t>PMYB-1628</t>
  </si>
  <si>
    <t>PMYB-1627</t>
  </si>
  <si>
    <t>PMYB-1630</t>
  </si>
  <si>
    <t>PMYB-1411</t>
  </si>
  <si>
    <t>PMYB-1410</t>
  </si>
  <si>
    <t>PMYB-1532</t>
  </si>
  <si>
    <t>PMYB-1529</t>
  </si>
  <si>
    <t>PMYB-1012</t>
  </si>
  <si>
    <t>PMYB-1009</t>
  </si>
  <si>
    <t>PMYB-1537</t>
  </si>
  <si>
    <t>PMYB-1535</t>
  </si>
  <si>
    <t>PMYB-1533</t>
  </si>
  <si>
    <t>PMYB-1526</t>
  </si>
  <si>
    <t>PMYB-912</t>
  </si>
  <si>
    <t>PMYB-909</t>
  </si>
  <si>
    <t>PMYB-1434</t>
  </si>
  <si>
    <t>PMYB-1425</t>
  </si>
  <si>
    <t>PMYB-1211</t>
  </si>
  <si>
    <t>PMYB-812</t>
  </si>
  <si>
    <t>PMYB-809</t>
  </si>
  <si>
    <t>PMYB-1238</t>
  </si>
  <si>
    <t>PMYB-1223</t>
  </si>
  <si>
    <t>PMYB-1117</t>
  </si>
  <si>
    <t>PMYB-1111</t>
  </si>
  <si>
    <t>PMYB-1110</t>
  </si>
  <si>
    <t>PMYB-1232</t>
  </si>
  <si>
    <t>PMYB-1229</t>
  </si>
  <si>
    <t>PMYB-712</t>
  </si>
  <si>
    <t>PMYB-709</t>
  </si>
  <si>
    <t>PMYB-1237</t>
  </si>
  <si>
    <t>PMYB-1011</t>
  </si>
  <si>
    <t>PMYB-918</t>
  </si>
  <si>
    <t>PMYB-612</t>
  </si>
  <si>
    <t>PMYB-609</t>
  </si>
  <si>
    <t>PMYB-1007</t>
  </si>
  <si>
    <t>PMYB-1016</t>
  </si>
  <si>
    <t>PMYB-1023</t>
  </si>
  <si>
    <t>PMYB-917</t>
  </si>
  <si>
    <t>PMYB-915</t>
  </si>
  <si>
    <t>PMYB-911</t>
  </si>
  <si>
    <t>PMYB-910</t>
  </si>
  <si>
    <t>PMYB-906</t>
  </si>
  <si>
    <t>PMYB-904</t>
  </si>
  <si>
    <t>PMYB-916</t>
  </si>
  <si>
    <t>PMYB-914</t>
  </si>
  <si>
    <t>PMYB-907</t>
  </si>
  <si>
    <t>PMYB-905</t>
  </si>
  <si>
    <t>PMYB-818</t>
  </si>
  <si>
    <t>PMYB-512</t>
  </si>
  <si>
    <t>PMYB-509</t>
  </si>
  <si>
    <t>PMYB-938</t>
  </si>
  <si>
    <t>PMYB-923</t>
  </si>
  <si>
    <t>PMYB-817</t>
  </si>
  <si>
    <t>PMYB-811</t>
  </si>
  <si>
    <t>PMYB-810</t>
  </si>
  <si>
    <t>PMYB-804</t>
  </si>
  <si>
    <t>PMYB-815</t>
  </si>
  <si>
    <t>PMYB-806</t>
  </si>
  <si>
    <t>PMYB-932</t>
  </si>
  <si>
    <t>PMYB-412</t>
  </si>
  <si>
    <t>PMYB-409</t>
  </si>
  <si>
    <t>PMYB-924</t>
  </si>
  <si>
    <t>PMYB-807</t>
  </si>
  <si>
    <t>PMYB-718</t>
  </si>
  <si>
    <t>PMYB-816</t>
  </si>
  <si>
    <t>PMYB-814</t>
  </si>
  <si>
    <t>PMYB-805</t>
  </si>
  <si>
    <t>PMYB-935</t>
  </si>
  <si>
    <t>PMYB-933</t>
  </si>
  <si>
    <t>PMYB-928</t>
  </si>
  <si>
    <t>PMYB-934</t>
  </si>
  <si>
    <t>PMYB-838</t>
  </si>
  <si>
    <t>PMYB-823</t>
  </si>
  <si>
    <t>PMYB-936</t>
  </si>
  <si>
    <t>PMYB-930</t>
  </si>
  <si>
    <t>PMYB-927</t>
  </si>
  <si>
    <t>PMYB-925</t>
  </si>
  <si>
    <t>PMYB-931</t>
  </si>
  <si>
    <t>PMYB-913</t>
  </si>
  <si>
    <t>PMYB-908</t>
  </si>
  <si>
    <t>PMYB-717</t>
  </si>
  <si>
    <t>PMYB-715</t>
  </si>
  <si>
    <t>PMYB-711</t>
  </si>
  <si>
    <t>PMYB-710</t>
  </si>
  <si>
    <t>PMYB-706</t>
  </si>
  <si>
    <t>PMYB-704</t>
  </si>
  <si>
    <t>PMYB-832</t>
  </si>
  <si>
    <t>PMYB-829</t>
  </si>
  <si>
    <t>PMYB-837</t>
  </si>
  <si>
    <t>PMYB-824</t>
  </si>
  <si>
    <t>PMYB-714</t>
  </si>
  <si>
    <t>PMYB-707</t>
  </si>
  <si>
    <t>PMYB-312</t>
  </si>
  <si>
    <t>PMYB-309</t>
  </si>
  <si>
    <t>PMYB-716</t>
  </si>
  <si>
    <t>PMYB-705</t>
  </si>
  <si>
    <t>PMYB-618</t>
  </si>
  <si>
    <t>PMYB-835</t>
  </si>
  <si>
    <t>PMYB-833</t>
  </si>
  <si>
    <t>PMYB-828</t>
  </si>
  <si>
    <t>PMYB-826</t>
  </si>
  <si>
    <t>PMYB-834</t>
  </si>
  <si>
    <t>PMYB-738</t>
  </si>
  <si>
    <t>PMYB-723</t>
  </si>
  <si>
    <t>PMYB-836</t>
  </si>
  <si>
    <t>PMYB-827</t>
  </si>
  <si>
    <t>PMYB-825</t>
  </si>
  <si>
    <t>PMYB-831</t>
  </si>
  <si>
    <t>PMYB-830</t>
  </si>
  <si>
    <t>PMYB-813</t>
  </si>
  <si>
    <t>PMYB-808</t>
  </si>
  <si>
    <t>PMYB-617</t>
  </si>
  <si>
    <t>PMYB-615</t>
  </si>
  <si>
    <t>PMYB-611</t>
  </si>
  <si>
    <t>PMYB-610</t>
  </si>
  <si>
    <t>PMYB-604</t>
  </si>
  <si>
    <t>PMYB-606</t>
  </si>
  <si>
    <t>PMYB-732</t>
  </si>
  <si>
    <t>PMYB-729</t>
  </si>
  <si>
    <t>PMYB-737</t>
  </si>
  <si>
    <t>PMYB-724</t>
  </si>
  <si>
    <t>PMYB-614</t>
  </si>
  <si>
    <t>PMYB-607</t>
  </si>
  <si>
    <t>PMYB-212</t>
  </si>
  <si>
    <t>PMYB-209</t>
  </si>
  <si>
    <t>PMYB-518</t>
  </si>
  <si>
    <t>PMYB-735</t>
  </si>
  <si>
    <t>PMYB-733</t>
  </si>
  <si>
    <t>PMYB-728</t>
  </si>
  <si>
    <t>PMYB-726</t>
  </si>
  <si>
    <t>PMYB-616</t>
  </si>
  <si>
    <t>PMYB-605</t>
  </si>
  <si>
    <t>PMYB-734</t>
  </si>
  <si>
    <t>PMYB-638</t>
  </si>
  <si>
    <t>PMYB-623</t>
  </si>
  <si>
    <t>PMYB-736</t>
  </si>
  <si>
    <t>PMYB-727</t>
  </si>
  <si>
    <t>PMYB-725</t>
  </si>
  <si>
    <t>PMYB-731</t>
  </si>
  <si>
    <t>PMYB-730</t>
  </si>
  <si>
    <t>PMYB-713</t>
  </si>
  <si>
    <t>PMYB-517</t>
  </si>
  <si>
    <t>PMYB-511</t>
  </si>
  <si>
    <t>PMYB-510</t>
  </si>
  <si>
    <t>PMYB-504</t>
  </si>
  <si>
    <t>PMYB-515</t>
  </si>
  <si>
    <t>PMYB-629</t>
  </si>
  <si>
    <t>PMYB-506</t>
  </si>
  <si>
    <t>PMYB-637</t>
  </si>
  <si>
    <t>PMYB-624</t>
  </si>
  <si>
    <t>PMYB-514</t>
  </si>
  <si>
    <t>PMYB-507</t>
  </si>
  <si>
    <t>PMYB-635</t>
  </si>
  <si>
    <t>PMYB-633</t>
  </si>
  <si>
    <t>PMYB-628</t>
  </si>
  <si>
    <t>PMYB-626</t>
  </si>
  <si>
    <t>PMYB-516</t>
  </si>
  <si>
    <t>PMYB-505</t>
  </si>
  <si>
    <t>PMYB-418</t>
  </si>
  <si>
    <t>PMYB-636</t>
  </si>
  <si>
    <t>PMYB-634</t>
  </si>
  <si>
    <t>PMYB-627</t>
  </si>
  <si>
    <t>PMYB-625</t>
  </si>
  <si>
    <t>PMYB-538</t>
  </si>
  <si>
    <t>PMYB-523</t>
  </si>
  <si>
    <t>PMYB-630</t>
  </si>
  <si>
    <t>PMYB-631</t>
  </si>
  <si>
    <t>PMYB-613</t>
  </si>
  <si>
    <t>PMYB-608</t>
  </si>
  <si>
    <t>PMYB-417</t>
  </si>
  <si>
    <t>PMYB-415</t>
  </si>
  <si>
    <t>PMYB-411</t>
  </si>
  <si>
    <t>PMYB-410</t>
  </si>
  <si>
    <t>PMYB-404</t>
  </si>
  <si>
    <t>PMYB-406</t>
  </si>
  <si>
    <t>PMYB-532</t>
  </si>
  <si>
    <t>PMYB-529</t>
  </si>
  <si>
    <t>PMYB-414</t>
  </si>
  <si>
    <t>PMYB-407</t>
  </si>
  <si>
    <t>PMYB-537</t>
  </si>
  <si>
    <t>PMYB-524</t>
  </si>
  <si>
    <t>PMYB-318</t>
  </si>
  <si>
    <t>PMYB-303</t>
  </si>
  <si>
    <t>PMYB-535</t>
  </si>
  <si>
    <t>PMYB-533</t>
  </si>
  <si>
    <t>PMYB-528</t>
  </si>
  <si>
    <t>PMYB-526</t>
  </si>
  <si>
    <t>PMYB-416</t>
  </si>
  <si>
    <t>PMYB-405</t>
  </si>
  <si>
    <t>PMYB-534</t>
  </si>
  <si>
    <t>PMYB-438</t>
  </si>
  <si>
    <t>PMYB-423</t>
  </si>
  <si>
    <t>PMYB-527</t>
  </si>
  <si>
    <t>PMYB-536</t>
  </si>
  <si>
    <t>PMYB-531</t>
  </si>
  <si>
    <t>PMYB-530</t>
  </si>
  <si>
    <t>PMYB-525</t>
  </si>
  <si>
    <t>PMYB-513</t>
  </si>
  <si>
    <t>PMYB-508</t>
  </si>
  <si>
    <t>PMYB-317</t>
  </si>
  <si>
    <t>PMYB-311</t>
  </si>
  <si>
    <t>PMYB-310</t>
  </si>
  <si>
    <t>PMYB-304</t>
  </si>
  <si>
    <t>PMYB-432</t>
  </si>
  <si>
    <t>PMYB-429</t>
  </si>
  <si>
    <t>PMYB-315</t>
  </si>
  <si>
    <t>PMYB-306</t>
  </si>
  <si>
    <t>PMYB-307</t>
  </si>
  <si>
    <t>PMYB-437</t>
  </si>
  <si>
    <t>PMYB-435</t>
  </si>
  <si>
    <t>PMYB-433</t>
  </si>
  <si>
    <t>PMYB-428</t>
  </si>
  <si>
    <t>PMYB-426</t>
  </si>
  <si>
    <t>PMYB-424</t>
  </si>
  <si>
    <t>PMYB-316</t>
  </si>
  <si>
    <t>PMYB-314</t>
  </si>
  <si>
    <t>PMYB-305</t>
  </si>
  <si>
    <t>PMYB-218</t>
  </si>
  <si>
    <t>PMYB-203</t>
  </si>
  <si>
    <t>PMYB-436</t>
  </si>
  <si>
    <t>PMYB-434</t>
  </si>
  <si>
    <t>PMYB-427</t>
  </si>
  <si>
    <t>PMYB-425</t>
  </si>
  <si>
    <t>PMYB-338</t>
  </si>
  <si>
    <t>PMYB-323</t>
  </si>
  <si>
    <t>PMYB-430</t>
  </si>
  <si>
    <t>PMYB-431</t>
  </si>
  <si>
    <t>PMYB-413</t>
  </si>
  <si>
    <t>PMYB-408</t>
  </si>
  <si>
    <t>PMYB-217</t>
  </si>
  <si>
    <t>PMYB-211</t>
  </si>
  <si>
    <t>PMYB-210</t>
  </si>
  <si>
    <t>PMYB-204</t>
  </si>
  <si>
    <t>PMYB-215</t>
  </si>
  <si>
    <t>PMYB-206</t>
  </si>
  <si>
    <t>PMYB-332</t>
  </si>
  <si>
    <t>PMYB-329</t>
  </si>
  <si>
    <t>PMYB-207</t>
  </si>
  <si>
    <t>PMYB-337</t>
  </si>
  <si>
    <t>PMYB-326</t>
  </si>
  <si>
    <t>PMYB-324</t>
  </si>
  <si>
    <t>PMYB-216</t>
  </si>
  <si>
    <t>PMYB-214</t>
  </si>
  <si>
    <t>PMYB-205</t>
  </si>
  <si>
    <t>PMYB-335</t>
  </si>
  <si>
    <t>PMYB-333</t>
  </si>
  <si>
    <t>PMYB-328</t>
  </si>
  <si>
    <t>PMYB-334</t>
  </si>
  <si>
    <t>PMYB-327</t>
  </si>
  <si>
    <t>PMYB-238</t>
  </si>
  <si>
    <t>PMYB-223</t>
  </si>
  <si>
    <t>PMYB-336</t>
  </si>
  <si>
    <t>PMYB-331</t>
  </si>
  <si>
    <t>PMYB-330</t>
  </si>
  <si>
    <t>PMYB-325</t>
  </si>
  <si>
    <t>PMYB-313</t>
  </si>
  <si>
    <t>PMYB-308</t>
  </si>
  <si>
    <t>PMYB-232</t>
  </si>
  <si>
    <t>PMYB-229</t>
  </si>
  <si>
    <t>PMYB-237</t>
  </si>
  <si>
    <t>PMYB-224</t>
  </si>
  <si>
    <t>PMYB-235</t>
  </si>
  <si>
    <t>PMYB-233</t>
  </si>
  <si>
    <t>PMYB-228</t>
  </si>
  <si>
    <t>PMYB-226</t>
  </si>
  <si>
    <t>PMYB-234</t>
  </si>
  <si>
    <t>PMYB-236</t>
  </si>
  <si>
    <t>PMYB-231</t>
  </si>
  <si>
    <t>PMYB-230</t>
  </si>
  <si>
    <t>PMYB-227</t>
  </si>
  <si>
    <t>PMYB-225</t>
  </si>
  <si>
    <t>PMYB-213</t>
  </si>
  <si>
    <t>PMYB-208</t>
  </si>
  <si>
    <t>SWIMMING POOL VIEW</t>
  </si>
  <si>
    <t>DUBAI AL AIN ROAD</t>
  </si>
  <si>
    <t>PARK VIEW, BUILDING GARDEN AREA, DUBAI AL AIN ROAD</t>
  </si>
  <si>
    <t>SWIMMING POOL VIEW, PARK VIEW</t>
  </si>
  <si>
    <t>Completed Project</t>
  </si>
  <si>
    <t>COMPLETION DATE: 30/04/2027</t>
  </si>
  <si>
    <t>COMPLETION DATE: 30/11/2026</t>
  </si>
  <si>
    <t>Completion Date: 31/07/2026</t>
  </si>
  <si>
    <t>Completion Date: 30/04/2026</t>
  </si>
  <si>
    <t>Completion Date: 30/04/2027</t>
  </si>
  <si>
    <t>COMPLETION DATE: 31/03/2026</t>
  </si>
  <si>
    <t>COMPLETION DATE: 31/05/2027</t>
  </si>
  <si>
    <t>BGRV-1306</t>
  </si>
  <si>
    <t>BGRV-1305</t>
  </si>
  <si>
    <t>BGRV-1210</t>
  </si>
  <si>
    <t>BGRV-1206</t>
  </si>
  <si>
    <t>BGRV-1205</t>
  </si>
  <si>
    <t>BGRV-1201</t>
  </si>
  <si>
    <t>BGRV-1110</t>
  </si>
  <si>
    <t>BGRV-1106</t>
  </si>
  <si>
    <t>KIDS PLAY AREA + KIDS POOL</t>
  </si>
  <si>
    <t>SITTING AREA</t>
  </si>
  <si>
    <t>KIDS PLAY AREA</t>
  </si>
  <si>
    <t>OUTDOOR GYM + SITTING AREA</t>
  </si>
  <si>
    <t>BINGHATT GROVE AVAILABILITY</t>
  </si>
  <si>
    <t>BAQR-B816</t>
  </si>
  <si>
    <t>BAQR-A314</t>
  </si>
  <si>
    <t>BAQR-B1430</t>
  </si>
  <si>
    <t>BAQR-B530</t>
  </si>
  <si>
    <t>BAQR-B430</t>
  </si>
  <si>
    <t>BAQR-C840</t>
  </si>
  <si>
    <t>BAQR-B819</t>
  </si>
  <si>
    <t>BAQR-A1401</t>
  </si>
  <si>
    <t>BAQR-A1301</t>
  </si>
  <si>
    <t>BAQR-A1201</t>
  </si>
  <si>
    <t>BAQR-A1101</t>
  </si>
  <si>
    <t>BAQR-C340</t>
  </si>
  <si>
    <t>BAQR-B319</t>
  </si>
  <si>
    <t>BAQR-C240</t>
  </si>
  <si>
    <t>BAQR-B219</t>
  </si>
  <si>
    <t>BAQR-A407</t>
  </si>
  <si>
    <t>BAQR-A511</t>
  </si>
  <si>
    <t>BAQR-A411</t>
  </si>
  <si>
    <t>BAQR-B1230</t>
  </si>
  <si>
    <t>BAQR-A113</t>
  </si>
  <si>
    <t>BAQR-C738</t>
  </si>
  <si>
    <t>BAQR-C638</t>
  </si>
  <si>
    <t>BAQR-A2101</t>
  </si>
  <si>
    <t>BAQR-C1140</t>
  </si>
  <si>
    <t>BAQR-B1119</t>
  </si>
  <si>
    <t>BAQR-C1040</t>
  </si>
  <si>
    <t>BAQR-B1019</t>
  </si>
  <si>
    <t>BAQR-C940</t>
  </si>
  <si>
    <t>BAQR-B919</t>
  </si>
  <si>
    <t>BAQR-A2107</t>
  </si>
  <si>
    <t>BAQR-A901</t>
  </si>
  <si>
    <t>BAQR-C137</t>
  </si>
  <si>
    <t>BAQR-B116</t>
  </si>
  <si>
    <t>BAQR-A1307</t>
  </si>
  <si>
    <t>BAQR-A801</t>
  </si>
  <si>
    <t>BAQR-A701</t>
  </si>
  <si>
    <t>BAQR-A1107</t>
  </si>
  <si>
    <t>BAQR-A601</t>
  </si>
  <si>
    <t>BAQR-A1007</t>
  </si>
  <si>
    <t>BAQR-A501</t>
  </si>
  <si>
    <t>BAQR-A907</t>
  </si>
  <si>
    <t>BAQR-A401</t>
  </si>
  <si>
    <t>BAQR-A807</t>
  </si>
  <si>
    <t>BAQR-C1437</t>
  </si>
  <si>
    <t>BAQR-A301</t>
  </si>
  <si>
    <t>BAQR-A707</t>
  </si>
  <si>
    <t>BAQR-C1337</t>
  </si>
  <si>
    <t>BAQR-B1332</t>
  </si>
  <si>
    <t>BAQR-A201</t>
  </si>
  <si>
    <t>BAQR-A607</t>
  </si>
  <si>
    <t>BSKT-B3402</t>
  </si>
  <si>
    <t>BSKT-B2406</t>
  </si>
  <si>
    <t>BSKT-B2306</t>
  </si>
  <si>
    <t>BSKT-B1416</t>
  </si>
  <si>
    <t>BSKT-B1407</t>
  </si>
  <si>
    <t>BSKT-B1316</t>
  </si>
  <si>
    <t>BSKT-B1207</t>
  </si>
  <si>
    <t>BSKT-B1107</t>
  </si>
  <si>
    <t>BSKT-A812</t>
  </si>
  <si>
    <t>BSKT-A3419</t>
  </si>
  <si>
    <t>BSKT-A3319</t>
  </si>
  <si>
    <t>BSKT-A3230</t>
  </si>
  <si>
    <t>BSKT-A3132</t>
  </si>
  <si>
    <t>BSKT-A3130</t>
  </si>
  <si>
    <t>BSKT-A312</t>
  </si>
  <si>
    <t>BSKT-A2230</t>
  </si>
  <si>
    <t>BSKT-A2130</t>
  </si>
  <si>
    <t>BSKT-A1235</t>
  </si>
  <si>
    <t>BSKT-A1230</t>
  </si>
  <si>
    <t>BSKT-A1129</t>
  </si>
  <si>
    <t>BSKF1-1309</t>
  </si>
  <si>
    <t>BSKF1-1109</t>
  </si>
  <si>
    <t>BSKF1-1324</t>
  </si>
  <si>
    <t>BSKF1-1330</t>
  </si>
  <si>
    <t>BSKF1-1318</t>
  </si>
  <si>
    <t>BSKF1-1145</t>
  </si>
  <si>
    <t>BSKF1-1121</t>
  </si>
  <si>
    <t>BSKF1-1139</t>
  </si>
  <si>
    <t>BSKF2-501</t>
  </si>
  <si>
    <t>BSKF2-502</t>
  </si>
  <si>
    <t>BSKF2-1921</t>
  </si>
  <si>
    <t>BSKF2-1106</t>
  </si>
  <si>
    <t>BSKF2-706</t>
  </si>
  <si>
    <t>BSKF2-509</t>
  </si>
  <si>
    <t>BSKF2-506</t>
  </si>
  <si>
    <t>BSKF2-1926</t>
  </si>
  <si>
    <t>BSKF2-1924</t>
  </si>
  <si>
    <t>MYB6-B831</t>
  </si>
  <si>
    <t>MYB6-B622</t>
  </si>
  <si>
    <t>BSKF2-1033</t>
  </si>
  <si>
    <t>BSKF2-1030</t>
  </si>
  <si>
    <t>BSKF2-1015</t>
  </si>
  <si>
    <t>BSKF2-1009</t>
  </si>
  <si>
    <t>BSKF2-1018</t>
  </si>
  <si>
    <t>BSKF2-1006</t>
  </si>
  <si>
    <t>BSKF2-1039</t>
  </si>
  <si>
    <t>BSKF2-1028</t>
  </si>
  <si>
    <t>BSKF2-1021</t>
  </si>
  <si>
    <t>BSKF2-1012</t>
  </si>
  <si>
    <t>BSKF2-1036</t>
  </si>
  <si>
    <t>BSKF2-1025</t>
  </si>
  <si>
    <t>BSKF2-1024</t>
  </si>
  <si>
    <t>BSKF2-1026</t>
  </si>
  <si>
    <t>BSKF2-1023</t>
  </si>
  <si>
    <t>BSKH-111</t>
  </si>
  <si>
    <t>BSKF2-2209</t>
  </si>
  <si>
    <t>BSKF2-2218</t>
  </si>
  <si>
    <t>BSKF2-2206</t>
  </si>
  <si>
    <t>BSKF2-2212</t>
  </si>
  <si>
    <t>Complated Project</t>
  </si>
  <si>
    <t>BURJ-8402</t>
  </si>
  <si>
    <t>BURJ-8303</t>
  </si>
  <si>
    <t>BURJ-8302</t>
  </si>
  <si>
    <t>BURJ-8202</t>
  </si>
  <si>
    <t>BURJ-8104</t>
  </si>
  <si>
    <t>BURJ-8103</t>
  </si>
  <si>
    <t>BURJ-8102</t>
  </si>
  <si>
    <t>BURJ-7903</t>
  </si>
  <si>
    <t>BURJ-7803</t>
  </si>
  <si>
    <t>BURJ-7704</t>
  </si>
  <si>
    <t>BURJ-7703</t>
  </si>
  <si>
    <t>BURJ-7603</t>
  </si>
  <si>
    <t>BURJ-7503</t>
  </si>
  <si>
    <t>BURJ-7403</t>
  </si>
  <si>
    <t>BURJ-7104</t>
  </si>
  <si>
    <t>BURJ-7103</t>
  </si>
  <si>
    <t>BURJ-7004</t>
  </si>
  <si>
    <t>BURJ-7003</t>
  </si>
  <si>
    <t>BURJ-R104</t>
  </si>
  <si>
    <t>BURJ-R103</t>
  </si>
  <si>
    <t>BURJ-R102</t>
  </si>
  <si>
    <t>BURJ-R101</t>
  </si>
  <si>
    <t>BURJ-7001</t>
  </si>
  <si>
    <t>BURJ-7102</t>
  </si>
  <si>
    <t>BURJ-7101</t>
  </si>
  <si>
    <t>BURJ-7002</t>
  </si>
  <si>
    <t>BURJ-7501</t>
  </si>
  <si>
    <t>BURJ-7401</t>
  </si>
  <si>
    <t>BURJ-7601</t>
  </si>
  <si>
    <t>BURJ-7801</t>
  </si>
  <si>
    <t>BURJ-7702</t>
  </si>
  <si>
    <t>BURJ-8001</t>
  </si>
  <si>
    <t>BURJ-7901</t>
  </si>
  <si>
    <t>BURJ-8301</t>
  </si>
  <si>
    <t>BURJ-8201</t>
  </si>
  <si>
    <t>BURJ-8101</t>
  </si>
  <si>
    <t>R1</t>
  </si>
  <si>
    <t>BFLR2-110</t>
  </si>
  <si>
    <t>FLARE A + INFINITY BEACH POOL + LANDSCAPING &amp; KIDS PLAY AREA</t>
  </si>
  <si>
    <t>Completion Date: 31/08/2027</t>
  </si>
  <si>
    <t>BHCR-404</t>
  </si>
  <si>
    <t>BHCR-418</t>
  </si>
  <si>
    <t>BHCR-420</t>
  </si>
  <si>
    <t>BHCR-422</t>
  </si>
  <si>
    <t>BHCR-424</t>
  </si>
  <si>
    <t>BHCR-426</t>
  </si>
  <si>
    <t>BHCR-427</t>
  </si>
  <si>
    <t>BHCR-429</t>
  </si>
  <si>
    <t>BHCR-431</t>
  </si>
  <si>
    <t>BHCR-432</t>
  </si>
  <si>
    <t>BHCR-433</t>
  </si>
  <si>
    <t>BHCR-449</t>
  </si>
  <si>
    <t>BHCR-304</t>
  </si>
  <si>
    <t>BHCR-315</t>
  </si>
  <si>
    <t>BHCR-318</t>
  </si>
  <si>
    <t>BHCR-320</t>
  </si>
  <si>
    <t>BHCR-322</t>
  </si>
  <si>
    <t>BHCR-324</t>
  </si>
  <si>
    <t>BHCR-326</t>
  </si>
  <si>
    <t>BHCR-327</t>
  </si>
  <si>
    <t>BHCR-329</t>
  </si>
  <si>
    <t>BHCR-331</t>
  </si>
  <si>
    <t>BHCR-332</t>
  </si>
  <si>
    <t>BHCR-333</t>
  </si>
  <si>
    <t>BHCR-349</t>
  </si>
  <si>
    <t>BHCR-R08</t>
  </si>
  <si>
    <t>BHCR-R20</t>
  </si>
  <si>
    <t>BHCR-R24</t>
  </si>
  <si>
    <t>BHCR-R37</t>
  </si>
  <si>
    <t>BHCR-R39</t>
  </si>
  <si>
    <t>AMENITY VIEW</t>
  </si>
  <si>
    <t>41</t>
  </si>
  <si>
    <t>Sky Mansion Penthouse</t>
  </si>
  <si>
    <t>Riviera - Cannes</t>
  </si>
  <si>
    <t>Riviera - Saint Tropez</t>
  </si>
  <si>
    <t>7</t>
  </si>
  <si>
    <t>10</t>
  </si>
  <si>
    <t>14</t>
  </si>
  <si>
    <t>15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</si>
  <si>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</si>
  <si>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</si>
  <si>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</si>
  <si>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</si>
  <si>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</si>
  <si>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</si>
  <si>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</si>
  <si>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</si>
  <si>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</si>
  <si>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</si>
  <si>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</si>
  <si>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</si>
  <si>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</si>
  <si>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</si>
  <si>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</si>
  <si>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</si>
  <si>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</si>
  <si>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BUGA-3801</t>
  </si>
  <si>
    <t>38</t>
  </si>
  <si>
    <t>Ruby Villa</t>
  </si>
  <si>
    <t>Diamond Villa</t>
  </si>
  <si>
    <t>Emerald Villa</t>
  </si>
  <si>
    <t>53</t>
  </si>
  <si>
    <t>54</t>
  </si>
  <si>
    <t>55</t>
  </si>
  <si>
    <t>57</t>
  </si>
  <si>
    <t>56</t>
  </si>
  <si>
    <t>58</t>
  </si>
  <si>
    <t>59</t>
  </si>
  <si>
    <t>BURJ-5402</t>
  </si>
  <si>
    <t>2 Bedroom Type 1</t>
  </si>
  <si>
    <t>MERC-704</t>
  </si>
  <si>
    <t>18</t>
  </si>
  <si>
    <t>19</t>
  </si>
  <si>
    <t>3 Bedroom Type 1</t>
  </si>
  <si>
    <t>37</t>
  </si>
  <si>
    <t>40</t>
  </si>
  <si>
    <t>39</t>
  </si>
  <si>
    <t>3 Bedroom Type 2</t>
  </si>
  <si>
    <t>49</t>
  </si>
  <si>
    <t>51</t>
  </si>
  <si>
    <t>4 Bedroom</t>
  </si>
  <si>
    <t>2 Bedroom Royal Suite</t>
  </si>
  <si>
    <t>BAQR-D147</t>
  </si>
  <si>
    <t>BAQR-D152</t>
  </si>
  <si>
    <t>BAQR-D141</t>
  </si>
  <si>
    <t xml:space="preserve">NEIGHBOR'S PLOT </t>
  </si>
  <si>
    <t>BLXR-808</t>
  </si>
  <si>
    <t>MYB6-B821</t>
  </si>
  <si>
    <t>MYB6-B418</t>
  </si>
  <si>
    <t xml:space="preserve">PARK VIEW, SPORT FIELDS, NADD AL SHIBA ROAD, BINGHATTI MOSQUE </t>
  </si>
  <si>
    <t xml:space="preserve">PARK VIEW, BUILDING AMENITIES(OUTDOOR SITTING AREA , KIDS PLAY AREA), NADD AL SHIBA ROAD, BINGHATTI MOSQUE </t>
  </si>
  <si>
    <t>MBVI-5502</t>
  </si>
  <si>
    <t>3 Bedroom Royal Suite</t>
  </si>
  <si>
    <t>52</t>
  </si>
  <si>
    <t>MBVI-2126</t>
  </si>
  <si>
    <t>MBVI-5304</t>
  </si>
  <si>
    <t>BSKT-A3109</t>
  </si>
  <si>
    <t>BSKT-A2306</t>
  </si>
  <si>
    <t>BSKF1-102</t>
  </si>
  <si>
    <t>BSKF1-1606</t>
  </si>
  <si>
    <t>BSKF1-1609</t>
  </si>
  <si>
    <t>BTNT-118</t>
  </si>
  <si>
    <t>BVNT-509</t>
  </si>
  <si>
    <t>NEIGHBOR, AMENITY VIEW</t>
  </si>
  <si>
    <t>Completion Date: 31/10/2026</t>
  </si>
  <si>
    <t>BAMH-316</t>
  </si>
  <si>
    <t>2 Bedroom Royale Suite</t>
  </si>
  <si>
    <t>AMENITY VIEW, NEIGHBOR PLOT</t>
  </si>
  <si>
    <t>AMENITY VIEW + NEIGHBORS PLOT</t>
  </si>
  <si>
    <t>Completion Date:31/10/2026</t>
  </si>
  <si>
    <t>MERC-2103</t>
  </si>
  <si>
    <t>MERC-3702</t>
  </si>
  <si>
    <t>BAQR-C537</t>
  </si>
  <si>
    <t>BETH-108</t>
  </si>
  <si>
    <t>BHCR-441</t>
  </si>
  <si>
    <t>BHCR-469</t>
  </si>
  <si>
    <t>BHCR-464</t>
  </si>
  <si>
    <t>BHCR-459</t>
  </si>
  <si>
    <t>BHCR-465</t>
  </si>
  <si>
    <t>BHCR-460</t>
  </si>
  <si>
    <t>BHCR-472</t>
  </si>
  <si>
    <t>AMENITY VIEW, JVT COMMUNITY PARK, MAIN ROAD</t>
  </si>
  <si>
    <t>BLXR-318</t>
  </si>
  <si>
    <t>MYB6-A605</t>
  </si>
  <si>
    <t>MYB6-A1030</t>
  </si>
  <si>
    <t>MBUL-B1118</t>
  </si>
  <si>
    <t>MBUL-B718</t>
  </si>
  <si>
    <t>MBUL-B715</t>
  </si>
  <si>
    <t>MBUL-B931</t>
  </si>
  <si>
    <t>MBUL-B1017</t>
  </si>
  <si>
    <t>MBUL-B1132</t>
  </si>
  <si>
    <t>MBUL-A216</t>
  </si>
  <si>
    <t>MBUL-A1630</t>
  </si>
  <si>
    <t>MBUL-A1628</t>
  </si>
  <si>
    <t>MBUL-A1621</t>
  </si>
  <si>
    <t>MBUL-A1619</t>
  </si>
  <si>
    <t>MBUL-A1527</t>
  </si>
  <si>
    <t>MBUL-A1528</t>
  </si>
  <si>
    <t>MBUL-A1521</t>
  </si>
  <si>
    <t>MBUL-A1530</t>
  </si>
  <si>
    <t>MBUL-A1519</t>
  </si>
  <si>
    <t>MBUL-A1427</t>
  </si>
  <si>
    <t>PMYB-2506</t>
  </si>
  <si>
    <t>PMYB-522</t>
  </si>
  <si>
    <t>MBVI-2601</t>
  </si>
  <si>
    <t>MBVI-3514</t>
  </si>
  <si>
    <t>MBVI-2613</t>
  </si>
  <si>
    <t>MBVI-2605</t>
  </si>
  <si>
    <t>MBVI-2611</t>
  </si>
  <si>
    <t>MBVI-2602</t>
  </si>
  <si>
    <t>MBVI-1502</t>
  </si>
  <si>
    <t>MBVI-2617</t>
  </si>
  <si>
    <t>MBVI-2607</t>
  </si>
  <si>
    <t>MBVI-2615</t>
  </si>
  <si>
    <t>MBVI-2609</t>
  </si>
  <si>
    <t>MBVI-2603</t>
  </si>
  <si>
    <t>MBVI-2621</t>
  </si>
  <si>
    <t>MBVI-2619</t>
  </si>
  <si>
    <t>MBVI-2614</t>
  </si>
  <si>
    <t>MBVI-2612</t>
  </si>
  <si>
    <t>MBVI-2606</t>
  </si>
  <si>
    <t>MBVI-2622</t>
  </si>
  <si>
    <t>MBVI-2620</t>
  </si>
  <si>
    <t>MBVI-2618</t>
  </si>
  <si>
    <t>MBVI-2616</t>
  </si>
  <si>
    <t>MBVI-2610</t>
  </si>
  <si>
    <t>MBVI-2608</t>
  </si>
  <si>
    <t>MBVI-2604</t>
  </si>
  <si>
    <t>BSKB-4904</t>
  </si>
  <si>
    <t>BSKT-A2309</t>
  </si>
  <si>
    <t>BSKT-A1126</t>
  </si>
  <si>
    <t>BSKT-A1106</t>
  </si>
  <si>
    <t>BSKT-A1026</t>
  </si>
  <si>
    <t>BSKT-A1025</t>
  </si>
  <si>
    <t>BSKF1-1445</t>
  </si>
  <si>
    <t>BSKF1-1927</t>
  </si>
  <si>
    <t>BSKF1-1926</t>
  </si>
  <si>
    <t>BSKF1-1727</t>
  </si>
  <si>
    <t>BSKF1-1726</t>
  </si>
  <si>
    <t>BSKF1-1626</t>
  </si>
  <si>
    <t>BSKF2-1402</t>
  </si>
  <si>
    <t>BSKF2-1302</t>
  </si>
  <si>
    <t>BSKF2-1712</t>
  </si>
  <si>
    <t>BSKF2-1612</t>
  </si>
  <si>
    <t>BSKF2-1624</t>
  </si>
  <si>
    <t>BSKF2-1524</t>
  </si>
  <si>
    <t>BSKF2-524</t>
  </si>
  <si>
    <t>BSKF2-324</t>
  </si>
  <si>
    <t>BSKF2-1531</t>
  </si>
  <si>
    <t>BSKF2-1231</t>
  </si>
  <si>
    <t>BSKF2-1031</t>
  </si>
  <si>
    <t>BAQR-A1202</t>
  </si>
  <si>
    <t>BHCR-475</t>
  </si>
  <si>
    <t>BHCR-467</t>
  </si>
  <si>
    <t>BLXR-1508</t>
  </si>
  <si>
    <t>MYB6-B922</t>
  </si>
  <si>
    <t>MYB6-B510</t>
  </si>
  <si>
    <t>MYB6-B502</t>
  </si>
  <si>
    <t>MYB6-B1927</t>
  </si>
  <si>
    <t>PMYB-539</t>
  </si>
  <si>
    <t>PMYB-1112</t>
  </si>
  <si>
    <t>BSKT-A412</t>
  </si>
  <si>
    <t>BSKT-A407</t>
  </si>
  <si>
    <t>BSKT-A309</t>
  </si>
  <si>
    <t>BSKT-A210</t>
  </si>
  <si>
    <t>BSKT-A1112</t>
  </si>
  <si>
    <t>BSKT-A1103</t>
  </si>
  <si>
    <t>BSKF1-2706</t>
  </si>
  <si>
    <t>BSKF2-1118</t>
  </si>
  <si>
    <t>BTNT-318</t>
  </si>
  <si>
    <t>Actual Price</t>
  </si>
  <si>
    <t>MYB6-B1926</t>
  </si>
  <si>
    <t>MYB6-A1805</t>
  </si>
  <si>
    <t>MYB6-A1705</t>
  </si>
  <si>
    <t>MBUL-B1926</t>
  </si>
  <si>
    <t>BUGA-4001</t>
  </si>
  <si>
    <t>MAIN ROAD + BUSINESS BAY COMMUNITY + AMENITY VIEW +  SPORTS FIELD</t>
  </si>
  <si>
    <t>3 Bedroom Suite</t>
  </si>
  <si>
    <t>ONEB-103</t>
  </si>
  <si>
    <t>BSKF1-706</t>
  </si>
  <si>
    <t>BAQR-C1940</t>
  </si>
  <si>
    <t>BAQR-B1919</t>
  </si>
  <si>
    <t>BAQR-C1840</t>
  </si>
  <si>
    <t>BAQR-B1819</t>
  </si>
  <si>
    <t>BAQR-A2007</t>
  </si>
  <si>
    <t>BAQR-A1501</t>
  </si>
  <si>
    <t>BAQR-A1207</t>
  </si>
  <si>
    <t>BETH-103</t>
  </si>
  <si>
    <t>BHLS-306</t>
  </si>
  <si>
    <t>MYB6-B532</t>
  </si>
  <si>
    <t>MYB6-B432</t>
  </si>
  <si>
    <t>MYB6-B1623</t>
  </si>
  <si>
    <t>MYB6-A932</t>
  </si>
  <si>
    <t>MYB6-A732</t>
  </si>
  <si>
    <t>MYB6-A632</t>
  </si>
  <si>
    <t>MYB6-A532</t>
  </si>
  <si>
    <t>MYB6-A432</t>
  </si>
  <si>
    <t>MYB6-A332</t>
  </si>
  <si>
    <t>MYB6-A316</t>
  </si>
  <si>
    <t>MYB6-A2423</t>
  </si>
  <si>
    <t>MYB6-A2422</t>
  </si>
  <si>
    <t>MYB6-A232</t>
  </si>
  <si>
    <t>MYB6-A2132</t>
  </si>
  <si>
    <t>MYB6-A201</t>
  </si>
  <si>
    <t>MYB6-A1716</t>
  </si>
  <si>
    <t>MYB6-A1201</t>
  </si>
  <si>
    <t>PMYB-601</t>
  </si>
  <si>
    <t>PMYB-540</t>
  </si>
  <si>
    <t>PMYB-401</t>
  </si>
  <si>
    <t>PMYB-621</t>
  </si>
  <si>
    <t>BUGA-605</t>
  </si>
  <si>
    <t>BUGA-2103</t>
  </si>
  <si>
    <t>BINGHATTI FLARE 01</t>
  </si>
  <si>
    <t>MAIN ROAD + DUBAI MARINA</t>
  </si>
  <si>
    <t>BHLS-1903</t>
  </si>
  <si>
    <t>BHLS-1717</t>
  </si>
  <si>
    <t>BHLS-1716</t>
  </si>
  <si>
    <t>BHLS-1704</t>
  </si>
  <si>
    <t>BHLS-1703</t>
  </si>
  <si>
    <t>BHLS-1617</t>
  </si>
  <si>
    <t>BHLS-1616</t>
  </si>
  <si>
    <t>BHLS-1605</t>
  </si>
  <si>
    <t>BHLS-1604</t>
  </si>
  <si>
    <t>BHLS-1603</t>
  </si>
  <si>
    <t>BHLS-1517</t>
  </si>
  <si>
    <t>BHLS-1516</t>
  </si>
  <si>
    <t>BHLS-1503</t>
  </si>
  <si>
    <t>BHLS-1417</t>
  </si>
  <si>
    <t>BHLS-1403</t>
  </si>
  <si>
    <t>BHLS-1715</t>
  </si>
  <si>
    <t>BHLS-1702</t>
  </si>
  <si>
    <t>BHLS-1316</t>
  </si>
  <si>
    <t>BHLS-1305</t>
  </si>
  <si>
    <t>BHLS-1304</t>
  </si>
  <si>
    <t>BHLS-1303</t>
  </si>
  <si>
    <t>BHLS-1615</t>
  </si>
  <si>
    <t>BHLS-1218</t>
  </si>
  <si>
    <t>BHLS-1217</t>
  </si>
  <si>
    <t>BHLS-1216</t>
  </si>
  <si>
    <t>BHLS-1205</t>
  </si>
  <si>
    <t>BHLS-1204</t>
  </si>
  <si>
    <t>BHLS-1203</t>
  </si>
  <si>
    <t>BHLS-1118</t>
  </si>
  <si>
    <t>BHLS-1117</t>
  </si>
  <si>
    <t>BHLS-1116</t>
  </si>
  <si>
    <t>BHLS-1105</t>
  </si>
  <si>
    <t>BHLS-1103</t>
  </si>
  <si>
    <t>BHLS-1017</t>
  </si>
  <si>
    <t>BHLS-1016</t>
  </si>
  <si>
    <t>BHLS-1005</t>
  </si>
  <si>
    <t>BHLS-1004</t>
  </si>
  <si>
    <t>BHLS-1003</t>
  </si>
  <si>
    <t>BHLS-1315</t>
  </si>
  <si>
    <t>BHLS-918</t>
  </si>
  <si>
    <t>BHLS-917</t>
  </si>
  <si>
    <t>BHLS-916</t>
  </si>
  <si>
    <t>BHLS-905</t>
  </si>
  <si>
    <t>BHLS-904</t>
  </si>
  <si>
    <t>BHLS-1215</t>
  </si>
  <si>
    <t>BHLS-818</t>
  </si>
  <si>
    <t>BHLS-817</t>
  </si>
  <si>
    <t>BHLS-816</t>
  </si>
  <si>
    <t>BHLS-805</t>
  </si>
  <si>
    <t>BHLS-804</t>
  </si>
  <si>
    <t>BHLS-803</t>
  </si>
  <si>
    <t>BHLS-1102</t>
  </si>
  <si>
    <t>BHLS-718</t>
  </si>
  <si>
    <t>BHLS-717</t>
  </si>
  <si>
    <t>BHLS-716</t>
  </si>
  <si>
    <t>BHLS-705</t>
  </si>
  <si>
    <t>BHLS-704</t>
  </si>
  <si>
    <t>BHLS-703</t>
  </si>
  <si>
    <t>BHLS-1015</t>
  </si>
  <si>
    <t>BHLS-1002</t>
  </si>
  <si>
    <t>BHLS-915</t>
  </si>
  <si>
    <t>BHLS-902</t>
  </si>
  <si>
    <t>BHLS-618</t>
  </si>
  <si>
    <t>BHLS-617</t>
  </si>
  <si>
    <t>BHLS-616</t>
  </si>
  <si>
    <t>BHLS-605</t>
  </si>
  <si>
    <t>BHLS-604</t>
  </si>
  <si>
    <t>BHLS-603</t>
  </si>
  <si>
    <t>BHLS-518</t>
  </si>
  <si>
    <t>BHLS-505</t>
  </si>
  <si>
    <t>BHLS-504</t>
  </si>
  <si>
    <t>BHLS-503</t>
  </si>
  <si>
    <t>BHLS-815</t>
  </si>
  <si>
    <t>BHLS-418</t>
  </si>
  <si>
    <t>BHLS-417</t>
  </si>
  <si>
    <t>BHLS-416</t>
  </si>
  <si>
    <t>BHLS-405</t>
  </si>
  <si>
    <t>BHLS-404</t>
  </si>
  <si>
    <t>BHLS-403</t>
  </si>
  <si>
    <t>BHLS-715</t>
  </si>
  <si>
    <t>BHLS-318</t>
  </si>
  <si>
    <t>BHLS-317</t>
  </si>
  <si>
    <t>BHLS-305</t>
  </si>
  <si>
    <t>BHLS-304</t>
  </si>
  <si>
    <t>BHLS-303</t>
  </si>
  <si>
    <t>BHLS-602</t>
  </si>
  <si>
    <t>BHLS-210</t>
  </si>
  <si>
    <t>BHLS-205</t>
  </si>
  <si>
    <t>BHLS-204</t>
  </si>
  <si>
    <t>BHLS-203</t>
  </si>
  <si>
    <t>BHLS-108</t>
  </si>
  <si>
    <t>BHLS-107</t>
  </si>
  <si>
    <t>BHLS-415</t>
  </si>
  <si>
    <t>BHLS-402</t>
  </si>
  <si>
    <t>BHLS-315</t>
  </si>
  <si>
    <t>BHLS-302</t>
  </si>
  <si>
    <t>BSKF1-802</t>
  </si>
  <si>
    <t>BSKF1-2620</t>
  </si>
  <si>
    <t>BSKF2-119</t>
  </si>
  <si>
    <t>BINGHATTI PHANTOM</t>
  </si>
  <si>
    <t>BAQR-D1266</t>
  </si>
  <si>
    <t>BAQR-D958</t>
  </si>
  <si>
    <t>BAQR-D767</t>
  </si>
  <si>
    <t>BAQR-D667</t>
  </si>
  <si>
    <t>BAQR-D858</t>
  </si>
  <si>
    <t>BAQR-D2181</t>
  </si>
  <si>
    <t>BAQR-D567</t>
  </si>
  <si>
    <t>BAQR-D1566</t>
  </si>
  <si>
    <t>BAQR-D466</t>
  </si>
  <si>
    <t>BAQR-A1709</t>
  </si>
  <si>
    <t>BAQR-A1509</t>
  </si>
  <si>
    <t>BAQR-D256</t>
  </si>
  <si>
    <t>BAQR-A204</t>
  </si>
  <si>
    <t>BAQR-C241</t>
  </si>
  <si>
    <t>BAQR-B630</t>
  </si>
  <si>
    <t>BAQR-D142</t>
  </si>
  <si>
    <t>BAQR-A111</t>
  </si>
  <si>
    <t>BAQR-D2179</t>
  </si>
  <si>
    <t>BAQR-D2522</t>
  </si>
  <si>
    <t>BAQR-D2079</t>
  </si>
  <si>
    <t>BAQR-D1955</t>
  </si>
  <si>
    <t>BAQR-D2432</t>
  </si>
  <si>
    <t>BAQR-D250</t>
  </si>
  <si>
    <t>BAQR-A209</t>
  </si>
  <si>
    <t>BAQR-D1855</t>
  </si>
  <si>
    <t>BAQR-D2340</t>
  </si>
  <si>
    <t>BAQR-D145</t>
  </si>
  <si>
    <t>BAQR-A108</t>
  </si>
  <si>
    <t>BAQR-D1755</t>
  </si>
  <si>
    <t>BAQR-D855</t>
  </si>
  <si>
    <t>BAQR-D1260</t>
  </si>
  <si>
    <t>BAQR-D764</t>
  </si>
  <si>
    <t>BAQR-D1152</t>
  </si>
  <si>
    <t>BAQR-D664</t>
  </si>
  <si>
    <t>BAQR-D1052</t>
  </si>
  <si>
    <t>BAQR-D564</t>
  </si>
  <si>
    <t>BAQR-D952</t>
  </si>
  <si>
    <t>BAQR-D463</t>
  </si>
  <si>
    <t>BAQR-D852</t>
  </si>
  <si>
    <t>BAQR-D355</t>
  </si>
  <si>
    <t>BAQR-D762</t>
  </si>
  <si>
    <t>BAQR-D255</t>
  </si>
  <si>
    <t>BAQR-D456</t>
  </si>
  <si>
    <t>BAQR-D348</t>
  </si>
  <si>
    <t>BAQR-D1957</t>
  </si>
  <si>
    <t>BAQR-D358</t>
  </si>
  <si>
    <t>BAQR-C238</t>
  </si>
  <si>
    <t>BAQR-B221</t>
  </si>
  <si>
    <t>BAQR-D2171</t>
  </si>
  <si>
    <t>BAQR-D258</t>
  </si>
  <si>
    <t>BAQR-B118</t>
  </si>
  <si>
    <t>BAQR-C1044</t>
  </si>
  <si>
    <t>BAQR-D1747</t>
  </si>
  <si>
    <t>BAQR-D1647</t>
  </si>
  <si>
    <t>BAQR-D1850</t>
  </si>
  <si>
    <t>BAQR-B1330</t>
  </si>
  <si>
    <t>BAQR-C138</t>
  </si>
  <si>
    <t>BAQR-B115</t>
  </si>
  <si>
    <t>BAQR-A1309</t>
  </si>
  <si>
    <t>BAQR-D947</t>
  </si>
  <si>
    <t>BAQR-D668</t>
  </si>
  <si>
    <t>BAQR-A603</t>
  </si>
  <si>
    <t>BAQR-A812</t>
  </si>
  <si>
    <t>BAQR-D568</t>
  </si>
  <si>
    <t>BAQR-A712</t>
  </si>
  <si>
    <t>BAQR-D465</t>
  </si>
  <si>
    <t>BAQR-A403</t>
  </si>
  <si>
    <t>BAQR-D1050</t>
  </si>
  <si>
    <t>BAQR-D357</t>
  </si>
  <si>
    <t>BAQR-A303</t>
  </si>
  <si>
    <t>BAQR-D257</t>
  </si>
  <si>
    <t>BAQR-A203</t>
  </si>
  <si>
    <t>BAQR-D2525</t>
  </si>
  <si>
    <t>BAQR-D850</t>
  </si>
  <si>
    <t>BAQR-A809</t>
  </si>
  <si>
    <t>BAQR-D455</t>
  </si>
  <si>
    <t>BAQR-D2276</t>
  </si>
  <si>
    <t>BAQR-D1655</t>
  </si>
  <si>
    <t>BAQR-D2176</t>
  </si>
  <si>
    <t>BAQR-D1564</t>
  </si>
  <si>
    <t>BAQR-D2076</t>
  </si>
  <si>
    <t>BAQR-D1464</t>
  </si>
  <si>
    <t>BAQR-D1952</t>
  </si>
  <si>
    <t>BAQR-D1364</t>
  </si>
  <si>
    <t>BAQR-D1852</t>
  </si>
  <si>
    <t>BAQR-D1263</t>
  </si>
  <si>
    <t>BAQR-D1752</t>
  </si>
  <si>
    <t>BAQR-D1155</t>
  </si>
  <si>
    <t>BAQR-D1055</t>
  </si>
  <si>
    <t>BAQR-D1562</t>
  </si>
  <si>
    <t>BAQR-D1462</t>
  </si>
  <si>
    <t>BAQR-D955</t>
  </si>
  <si>
    <t>BAQR-D662</t>
  </si>
  <si>
    <t>BAQR-D150</t>
  </si>
  <si>
    <t>BAQR-D562</t>
  </si>
  <si>
    <t>BAQR-D460</t>
  </si>
  <si>
    <t>BAQR-D352</t>
  </si>
  <si>
    <t>BAQR-D252</t>
  </si>
  <si>
    <t>BAQR-D2336</t>
  </si>
  <si>
    <t>BAQR-D2272</t>
  </si>
  <si>
    <t>ARTIFICIAL BEACH +AL KHAIL ROAD</t>
  </si>
  <si>
    <t>ARTIFICIAL BEACH</t>
  </si>
  <si>
    <t>BSKB-4506</t>
  </si>
  <si>
    <t>AMENITY VIEW, MAIN ROAD, BURJ KHALIFA, AL GHAFOOR MOSQUE</t>
  </si>
  <si>
    <t>BSKT-B2513</t>
  </si>
  <si>
    <t>BSKT-B1708</t>
  </si>
  <si>
    <t>BSKT-B1608</t>
  </si>
  <si>
    <t>BSKT-B1424</t>
  </si>
  <si>
    <t>BSKT-B1011</t>
  </si>
  <si>
    <t>BSKT-A712</t>
  </si>
  <si>
    <t>BSKT-A3507</t>
  </si>
  <si>
    <t>BSKT-A3506</t>
  </si>
  <si>
    <t>BSKT-A1935</t>
  </si>
  <si>
    <t>BSKT-A1518</t>
  </si>
  <si>
    <t>BSKT-A1506</t>
  </si>
  <si>
    <t>BSKT-A1125</t>
  </si>
  <si>
    <t>BSKT-A1013</t>
  </si>
  <si>
    <t>MERC-4301</t>
  </si>
  <si>
    <t>WATER CANAL VIEW+BUSINESS BAY+BURJ KHALIFA VIEW+BURJ KHALIFA DISTRICT</t>
  </si>
  <si>
    <t>BAQR-C1438</t>
  </si>
  <si>
    <t>BAQR-C2050</t>
  </si>
  <si>
    <t>BAQR-B2032</t>
  </si>
  <si>
    <t>BAQR-C1939</t>
  </si>
  <si>
    <t>BAQR-B1920</t>
  </si>
  <si>
    <t>BAQR-A1907</t>
  </si>
  <si>
    <t>BAQR-C1839</t>
  </si>
  <si>
    <t>BAQR-B1820</t>
  </si>
  <si>
    <t>BAQR-A1807</t>
  </si>
  <si>
    <t>BAQR-C1739</t>
  </si>
  <si>
    <t>BAQR-B1720</t>
  </si>
  <si>
    <t>BAQR-A1707</t>
  </si>
  <si>
    <t>BAQR-B1620</t>
  </si>
  <si>
    <t>BAQR-A1607</t>
  </si>
  <si>
    <t>BAQR-A1507</t>
  </si>
  <si>
    <t>BAQR-A1011</t>
  </si>
  <si>
    <t>BAQR-D248</t>
  </si>
  <si>
    <t>BAQR-A911</t>
  </si>
  <si>
    <t>BAQR-A811</t>
  </si>
  <si>
    <t>BAQR-D148</t>
  </si>
  <si>
    <t>BAQR-C1740</t>
  </si>
  <si>
    <t>BAQR-B1719</t>
  </si>
  <si>
    <t>BAQR-C1640</t>
  </si>
  <si>
    <t>BAQR-B1619</t>
  </si>
  <si>
    <t>BAQR-A2001</t>
  </si>
  <si>
    <t>BAQR-A1901</t>
  </si>
  <si>
    <t>BAQR-A1801</t>
  </si>
  <si>
    <t>BAQR-A1701</t>
  </si>
  <si>
    <t>BAQR-A1601</t>
  </si>
  <si>
    <t>BAQR-C1537</t>
  </si>
  <si>
    <t>BAQR-B1532</t>
  </si>
  <si>
    <t>BELT-922</t>
  </si>
  <si>
    <t>BELT-522</t>
  </si>
  <si>
    <t>MAIN ROAD + NEIGHBOR PLOT</t>
  </si>
  <si>
    <t>BCLN-412</t>
  </si>
  <si>
    <t>BCLN-410</t>
  </si>
  <si>
    <t>BCLN-408</t>
  </si>
  <si>
    <t>BCLN-112</t>
  </si>
  <si>
    <t>BCLN-117</t>
  </si>
  <si>
    <t>BCLN-108</t>
  </si>
  <si>
    <t>BCLN-123</t>
  </si>
  <si>
    <t>BCLN-110</t>
  </si>
  <si>
    <t>BCLN-415</t>
  </si>
  <si>
    <t>BCLN-215</t>
  </si>
  <si>
    <t>BCLN-115</t>
  </si>
  <si>
    <t>BCLN-314</t>
  </si>
  <si>
    <t>BCLN-214</t>
  </si>
  <si>
    <t>BCLN-126</t>
  </si>
  <si>
    <t>BCLN-516</t>
  </si>
  <si>
    <t>BCLN-413</t>
  </si>
  <si>
    <t>IBN AL ZAHRAWI ST, BURJ KHALIFA, ZABEEL STADIUM</t>
  </si>
  <si>
    <t>BHLS-608</t>
  </si>
  <si>
    <t>BHLS-513</t>
  </si>
  <si>
    <t>BHLS-508</t>
  </si>
  <si>
    <t>BHLS-1106</t>
  </si>
  <si>
    <t>BHLS-1019</t>
  </si>
  <si>
    <t>BHLS-1006</t>
  </si>
  <si>
    <t>BHLS-906</t>
  </si>
  <si>
    <t>BHLS-719</t>
  </si>
  <si>
    <t>BHLS-706</t>
  </si>
  <si>
    <t>BHLS-619</t>
  </si>
  <si>
    <t>BHLS-419</t>
  </si>
  <si>
    <t>BHLS-1917</t>
  </si>
  <si>
    <t>AMENITY VIEW + COMMUNITY PARK</t>
  </si>
  <si>
    <t>BHLW-TA2216</t>
  </si>
  <si>
    <t>BHLW-TB214</t>
  </si>
  <si>
    <t>MYB6-B2218</t>
  </si>
  <si>
    <t>MYB6-B2018</t>
  </si>
  <si>
    <t>MYB6-A1904</t>
  </si>
  <si>
    <t>MYB6-A1903</t>
  </si>
  <si>
    <t>MBUL-A1317</t>
  </si>
  <si>
    <t>MBUL-A816</t>
  </si>
  <si>
    <t>PMYB-2112</t>
  </si>
  <si>
    <t>PMYB-2109</t>
  </si>
  <si>
    <t>PMYB-2012</t>
  </si>
  <si>
    <t>PMYB-2009</t>
  </si>
  <si>
    <t>PMYB-1912</t>
  </si>
  <si>
    <t>PMYB-1909</t>
  </si>
  <si>
    <t>PMYB-1812</t>
  </si>
  <si>
    <t>PMYB-1809</t>
  </si>
  <si>
    <t>PMYB-2117</t>
  </si>
  <si>
    <t>PMYB-2111</t>
  </si>
  <si>
    <t>PMYB-2110</t>
  </si>
  <si>
    <t>PMYB-1712</t>
  </si>
  <si>
    <t>PMYB-1709</t>
  </si>
  <si>
    <t>PMYB-2115</t>
  </si>
  <si>
    <t>PMYB-2018</t>
  </si>
  <si>
    <t>PMYB-2116</t>
  </si>
  <si>
    <t>PMYB-2017</t>
  </si>
  <si>
    <t>PMYB-2011</t>
  </si>
  <si>
    <t>PMYB-2010</t>
  </si>
  <si>
    <t>PMYB-1612</t>
  </si>
  <si>
    <t>PMYB-1609</t>
  </si>
  <si>
    <t>PMYB-2015</t>
  </si>
  <si>
    <t>PMYB-1918</t>
  </si>
  <si>
    <t>PMYB-2016</t>
  </si>
  <si>
    <t>PMYB-2014</t>
  </si>
  <si>
    <t>PMYB-2113</t>
  </si>
  <si>
    <t>PMYB-2108</t>
  </si>
  <si>
    <t>PMYB-1917</t>
  </si>
  <si>
    <t>PMYB-1911</t>
  </si>
  <si>
    <t>PMYB-1910</t>
  </si>
  <si>
    <t>BSKT-B1001</t>
  </si>
  <si>
    <t>BSKF1-2709</t>
  </si>
  <si>
    <t>BSKF1-2609</t>
  </si>
  <si>
    <t>BSKF1-2718</t>
  </si>
  <si>
    <t>BSKF1-2715</t>
  </si>
  <si>
    <t>BSKF1-2712</t>
  </si>
  <si>
    <t>BTNT-1724</t>
  </si>
  <si>
    <t>BTNT-2906</t>
  </si>
  <si>
    <t>BFLR1-635</t>
  </si>
  <si>
    <t>BPNL-605</t>
  </si>
  <si>
    <t>BPNL-106</t>
  </si>
  <si>
    <t>BPNL-101</t>
  </si>
  <si>
    <t>OUD METHA ROAD+BURJ KHALIFA+MAIN ROAD</t>
  </si>
  <si>
    <t>DUBAI FRAME+OUD METHA ROAD</t>
  </si>
  <si>
    <t>OUD METHA ROAD+MAIN ROAD</t>
  </si>
  <si>
    <t>RF84</t>
  </si>
  <si>
    <t>CITY AND CREEK VIEW, BURJ VIEW, CITY VIEW</t>
  </si>
  <si>
    <t>RF83</t>
  </si>
  <si>
    <t>CITY AND CREEK VIEW</t>
  </si>
  <si>
    <t>RF82</t>
  </si>
  <si>
    <t>RF81</t>
  </si>
  <si>
    <t>CITY VIEW</t>
  </si>
  <si>
    <t>BURJ VIEW, CITY VIEW</t>
  </si>
  <si>
    <t>RF79</t>
  </si>
  <si>
    <t>RF78</t>
  </si>
  <si>
    <t>RF77</t>
  </si>
  <si>
    <t>RF76</t>
  </si>
  <si>
    <t>RF75</t>
  </si>
  <si>
    <t>RF74</t>
  </si>
  <si>
    <t>RF71</t>
  </si>
  <si>
    <t>RF70</t>
  </si>
  <si>
    <t>CITY AND CREEK VIEW, CITY VIEW</t>
  </si>
  <si>
    <t>CITY AND CREEK VIEW, BURJ VIEW</t>
  </si>
  <si>
    <t>RF1</t>
  </si>
  <si>
    <t>RF36</t>
  </si>
  <si>
    <t>RF42</t>
  </si>
  <si>
    <t>RF43</t>
  </si>
  <si>
    <t>RF44</t>
  </si>
  <si>
    <t>RF46</t>
  </si>
  <si>
    <t>RF45</t>
  </si>
  <si>
    <t>RF47</t>
  </si>
  <si>
    <t>RF48</t>
  </si>
  <si>
    <t>RF49</t>
  </si>
  <si>
    <t>RF51</t>
  </si>
  <si>
    <t>RF50</t>
  </si>
  <si>
    <t>RF52</t>
  </si>
  <si>
    <t>RF53</t>
  </si>
  <si>
    <t>RF54</t>
  </si>
  <si>
    <t>RF55</t>
  </si>
  <si>
    <t>RF56</t>
  </si>
  <si>
    <t>RF57</t>
  </si>
  <si>
    <t>RF58</t>
  </si>
  <si>
    <t>RF59</t>
  </si>
  <si>
    <t>RF60</t>
  </si>
  <si>
    <t>RF61</t>
  </si>
  <si>
    <t>RF64</t>
  </si>
  <si>
    <t>RF65</t>
  </si>
  <si>
    <t>RF66</t>
  </si>
  <si>
    <t>RF80</t>
  </si>
  <si>
    <t>BETH-1709</t>
  </si>
  <si>
    <t>BETH-1510</t>
  </si>
  <si>
    <t>BETH-1509</t>
  </si>
  <si>
    <t>BFLR2-1618</t>
  </si>
  <si>
    <t>NEIGHBOR'S PLOT + SPORTS AMENITY + KIDS PLAY AREA + MAIN ROAD</t>
  </si>
  <si>
    <t>BSKT-A2427</t>
  </si>
  <si>
    <t>BSKT-A2426</t>
  </si>
  <si>
    <t>BSKT-A2327</t>
  </si>
  <si>
    <t>BSKT-A2326</t>
  </si>
  <si>
    <t>BSKT-A2227</t>
  </si>
  <si>
    <t>BSKT-A2127</t>
  </si>
  <si>
    <t>BSKT-A1927</t>
  </si>
  <si>
    <t>BSKT-A1812</t>
  </si>
  <si>
    <t>BSKT-A1226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</si>
</sst>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2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b/>
      <sz val="18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1"/>
      <color theme="1"/>
      <name val="JaCCUZZI"/>
      <charset val="1"/>
    </font>
    <font>
      <sz val="11"/>
      <color rgb="FF000000"/>
      <name val="JaCCUZZI"/>
      <charset val="1"/>
    </font>
    <font>
      <sz val="11"/>
      <color theme="1"/>
      <name val="JaCCUZZI"/>
    </font>
    <font>
      <b/>
      <sz val="11"/>
      <color theme="0"/>
      <name val="Aptos Narrow"/>
      <family val="2"/>
      <scheme val="minor"/>
    </font>
    <font>
      <b/>
      <sz val="20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name val="Aptos Narrow"/>
      <family val="2"/>
    </font>
    <font>
      <b/>
      <sz val="13"/>
      <name val="Aptos Narrow"/>
      <family val="2"/>
    </font>
    <font>
      <sz val="12"/>
      <color theme="1"/>
      <name val="JaCCUZZI"/>
      <charset val="1"/>
    </font>
    <font>
      <sz val="11"/>
      <color theme="1"/>
      <name val="Aptos Narrow"/>
      <family val="2"/>
      <charset val="1"/>
      <scheme val="minor"/>
    </font>
    <font>
      <sz val="10"/>
      <color rgb="FF000000"/>
      <name val="Calibri"/>
      <family val="2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8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8"/>
      <color rgb="FF000000"/>
      <name val="Calibri"/>
      <family val="2"/>
    </font>
    <font>
      <sz val="14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0"/>
      <name val="Aptos Narrow"/>
      <family val="2"/>
    </font>
    <font>
      <sz val="12"/>
      <color rgb="FF000000"/>
      <name val="Aptos Narrow"/>
      <family val="2"/>
      <scheme val="minor"/>
    </font>
    <font>
      <sz val="18"/>
      <color rgb="FF00000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3"/>
      <color rgb="FF00000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FFFFFF"/>
      <name val="Calibri"/>
      <family val="2"/>
    </font>
    <font>
      <sz val="11"/>
      <color theme="0"/>
      <name val="JaCCUZZI"/>
      <charset val="1"/>
    </font>
    <font>
      <sz val="10"/>
      <color theme="0"/>
      <name val="Calibri"/>
      <family val="2"/>
    </font>
    <font>
      <b/>
      <sz val="10"/>
      <color theme="0"/>
      <name val="Aptos Narrow"/>
      <family val="2"/>
      <scheme val="minor"/>
    </font>
    <font>
      <b/>
      <sz val="20"/>
      <color theme="1"/>
      <name val="Calibri"/>
      <family val="2"/>
    </font>
    <font>
      <b/>
      <sz val="20"/>
      <color theme="1"/>
      <name val="JaCCUZZI"/>
      <charset val="1"/>
    </font>
    <font>
      <b/>
      <sz val="20"/>
      <color theme="1"/>
      <name val="JaCCUZZI"/>
    </font>
    <font>
      <b/>
      <sz val="22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Aptos Narrow"/>
      <family val="2"/>
      <scheme val="minor"/>
    </font>
    <font>
      <sz val="14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 applyBorder="0"/>
    <xf numFmtId="43" fontId="4" fillId="0" borderId="0" applyFont="0" applyFill="0" applyBorder="0" applyAlignment="0" applyProtection="0"/>
    <xf numFmtId="0" fontId="4" fillId="0" borderId="0" applyBorder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</cellStyleXfs>
  <cellXfs count="366">
    <xf numFmtId="0" fontId="0" fillId="0" borderId="0" xfId="0"/>
    <xf numFmtId="0" fontId="0" fillId="0" borderId="2" xfId="0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4" fillId="0" borderId="0" xfId="6"/>
    <xf numFmtId="0" fontId="4" fillId="0" borderId="2" xfId="6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6" applyAlignment="1">
      <alignment horizontal="center" vertical="center"/>
    </xf>
    <xf numFmtId="43" fontId="0" fillId="0" borderId="0" xfId="1" applyFont="1"/>
    <xf numFmtId="0" fontId="14" fillId="0" borderId="2" xfId="0" applyFont="1" applyBorder="1" applyAlignment="1">
      <alignment horizontal="center"/>
    </xf>
    <xf numFmtId="43" fontId="14" fillId="15" borderId="2" xfId="1" applyFont="1" applyFill="1" applyBorder="1" applyAlignment="1">
      <alignment horizontal="center"/>
    </xf>
    <xf numFmtId="43" fontId="14" fillId="16" borderId="2" xfId="1" applyFont="1" applyFill="1" applyBorder="1" applyAlignment="1">
      <alignment horizontal="center"/>
    </xf>
    <xf numFmtId="43" fontId="14" fillId="8" borderId="2" xfId="1" applyFont="1" applyFill="1" applyBorder="1" applyAlignment="1">
      <alignment horizontal="center"/>
    </xf>
    <xf numFmtId="0" fontId="14" fillId="0" borderId="2" xfId="1" applyNumberFormat="1" applyFont="1" applyBorder="1" applyAlignment="1">
      <alignment horizontal="center"/>
    </xf>
    <xf numFmtId="0" fontId="14" fillId="15" borderId="2" xfId="0" applyFont="1" applyFill="1" applyBorder="1" applyAlignment="1">
      <alignment horizontal="center"/>
    </xf>
    <xf numFmtId="0" fontId="0" fillId="17" borderId="0" xfId="0" applyFill="1"/>
    <xf numFmtId="0" fontId="3" fillId="18" borderId="2" xfId="6" applyFont="1" applyFill="1" applyBorder="1" applyAlignment="1">
      <alignment horizontal="center" vertical="center"/>
    </xf>
    <xf numFmtId="43" fontId="3" fillId="18" borderId="2" xfId="2" applyFont="1" applyFill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15" borderId="2" xfId="6" applyFont="1" applyFill="1" applyBorder="1" applyAlignment="1">
      <alignment horizontal="center" vertical="center"/>
    </xf>
    <xf numFmtId="43" fontId="14" fillId="8" borderId="2" xfId="2" applyFont="1" applyFill="1" applyBorder="1" applyAlignment="1">
      <alignment horizontal="center" vertical="center"/>
    </xf>
    <xf numFmtId="43" fontId="14" fillId="19" borderId="2" xfId="2" applyFont="1" applyFill="1" applyBorder="1" applyAlignment="1">
      <alignment horizontal="center" vertical="center"/>
    </xf>
    <xf numFmtId="43" fontId="14" fillId="15" borderId="2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0" fontId="14" fillId="20" borderId="2" xfId="0" applyFont="1" applyFill="1" applyBorder="1" applyAlignment="1">
      <alignment horizontal="center" vertical="center"/>
    </xf>
    <xf numFmtId="43" fontId="14" fillId="21" borderId="2" xfId="1" applyFont="1" applyFill="1" applyBorder="1" applyAlignment="1">
      <alignment horizontal="center" vertical="center"/>
    </xf>
    <xf numFmtId="43" fontId="14" fillId="14" borderId="2" xfId="1" applyFont="1" applyFill="1" applyBorder="1" applyAlignment="1">
      <alignment horizontal="center" vertical="center"/>
    </xf>
    <xf numFmtId="43" fontId="14" fillId="20" borderId="2" xfId="1" applyFont="1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43" fontId="12" fillId="2" borderId="2" xfId="1" applyFont="1" applyFill="1" applyBorder="1" applyAlignment="1">
      <alignment horizontal="center" vertical="center"/>
    </xf>
    <xf numFmtId="43" fontId="3" fillId="13" borderId="2" xfId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43" fontId="1" fillId="17" borderId="0" xfId="1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43" fontId="3" fillId="18" borderId="2" xfId="1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43" fontId="0" fillId="17" borderId="0" xfId="1" applyFont="1" applyFill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3" fontId="14" fillId="22" borderId="2" xfId="1" applyFont="1" applyFill="1" applyBorder="1" applyAlignment="1">
      <alignment horizontal="center" vertical="center"/>
    </xf>
    <xf numFmtId="0" fontId="14" fillId="22" borderId="2" xfId="0" applyFont="1" applyFill="1" applyBorder="1" applyAlignment="1">
      <alignment horizontal="center" vertical="center"/>
    </xf>
    <xf numFmtId="164" fontId="0" fillId="0" borderId="0" xfId="1" applyNumberFormat="1" applyFont="1"/>
    <xf numFmtId="164" fontId="14" fillId="8" borderId="2" xfId="1" applyNumberFormat="1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3" fontId="14" fillId="23" borderId="2" xfId="1" applyFont="1" applyFill="1" applyBorder="1" applyAlignment="1">
      <alignment horizontal="center" vertical="center"/>
    </xf>
    <xf numFmtId="43" fontId="12" fillId="2" borderId="2" xfId="1" applyFont="1" applyFill="1" applyBorder="1" applyAlignment="1">
      <alignment horizontal="center" vertical="center" wrapText="1"/>
    </xf>
    <xf numFmtId="0" fontId="3" fillId="6" borderId="0" xfId="6" applyFont="1" applyFill="1" applyAlignment="1">
      <alignment horizontal="center" vertical="center"/>
    </xf>
    <xf numFmtId="0" fontId="6" fillId="15" borderId="2" xfId="6" applyFont="1" applyFill="1" applyBorder="1" applyAlignment="1">
      <alignment horizontal="center" vertical="center"/>
    </xf>
    <xf numFmtId="0" fontId="4" fillId="0" borderId="2" xfId="6" applyBorder="1" applyAlignment="1">
      <alignment horizontal="center"/>
    </xf>
    <xf numFmtId="0" fontId="4" fillId="0" borderId="0" xfId="6" applyAlignment="1">
      <alignment horizontal="center"/>
    </xf>
    <xf numFmtId="0" fontId="3" fillId="0" borderId="0" xfId="6" applyFont="1" applyAlignment="1">
      <alignment horizontal="center"/>
    </xf>
    <xf numFmtId="0" fontId="3" fillId="6" borderId="2" xfId="6" applyFont="1" applyFill="1" applyBorder="1" applyAlignment="1">
      <alignment horizontal="center"/>
    </xf>
    <xf numFmtId="43" fontId="3" fillId="6" borderId="2" xfId="5" applyFont="1" applyFill="1" applyBorder="1" applyAlignment="1">
      <alignment horizontal="center"/>
    </xf>
    <xf numFmtId="0" fontId="23" fillId="6" borderId="9" xfId="6" applyFont="1" applyFill="1" applyBorder="1" applyAlignment="1">
      <alignment horizontal="center"/>
    </xf>
    <xf numFmtId="0" fontId="23" fillId="6" borderId="8" xfId="6" applyFont="1" applyFill="1" applyBorder="1" applyAlignment="1">
      <alignment horizontal="center"/>
    </xf>
    <xf numFmtId="0" fontId="23" fillId="6" borderId="7" xfId="6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15" borderId="2" xfId="6" applyFont="1" applyFill="1" applyBorder="1" applyAlignment="1">
      <alignment horizontal="center" vertical="center"/>
    </xf>
    <xf numFmtId="43" fontId="6" fillId="15" borderId="2" xfId="1" applyFont="1" applyFill="1" applyBorder="1" applyAlignment="1">
      <alignment horizontal="center" vertical="center"/>
    </xf>
    <xf numFmtId="43" fontId="4" fillId="0" borderId="0" xfId="1" applyFont="1"/>
    <xf numFmtId="43" fontId="2" fillId="15" borderId="2" xfId="1" applyFont="1" applyFill="1" applyBorder="1" applyAlignment="1">
      <alignment horizontal="center" vertical="center"/>
    </xf>
    <xf numFmtId="43" fontId="22" fillId="6" borderId="8" xfId="1" applyFont="1" applyFill="1" applyBorder="1" applyAlignment="1">
      <alignment horizontal="center"/>
    </xf>
    <xf numFmtId="43" fontId="23" fillId="6" borderId="8" xfId="1" applyFont="1" applyFill="1" applyBorder="1" applyAlignment="1">
      <alignment horizontal="center"/>
    </xf>
    <xf numFmtId="43" fontId="4" fillId="0" borderId="2" xfId="1" applyFont="1" applyBorder="1" applyAlignment="1">
      <alignment horizontal="center" vertical="center"/>
    </xf>
    <xf numFmtId="43" fontId="14" fillId="0" borderId="2" xfId="1" applyFont="1" applyBorder="1" applyAlignment="1">
      <alignment horizontal="center" vertical="center"/>
    </xf>
    <xf numFmtId="43" fontId="3" fillId="6" borderId="2" xfId="1" applyFont="1" applyFill="1" applyBorder="1" applyAlignment="1">
      <alignment horizontal="center"/>
    </xf>
    <xf numFmtId="43" fontId="4" fillId="0" borderId="2" xfId="1" applyFont="1" applyBorder="1" applyAlignment="1">
      <alignment horizontal="center"/>
    </xf>
    <xf numFmtId="43" fontId="14" fillId="0" borderId="2" xfId="1" applyFont="1" applyBorder="1" applyAlignment="1">
      <alignment horizontal="center"/>
    </xf>
    <xf numFmtId="0" fontId="27" fillId="0" borderId="0" xfId="0" applyFont="1"/>
    <xf numFmtId="0" fontId="28" fillId="0" borderId="5" xfId="0" applyFont="1" applyBorder="1" applyAlignment="1">
      <alignment horizontal="center"/>
    </xf>
    <xf numFmtId="0" fontId="27" fillId="15" borderId="2" xfId="0" applyFont="1" applyFill="1" applyBorder="1" applyAlignment="1">
      <alignment horizontal="center"/>
    </xf>
    <xf numFmtId="0" fontId="27" fillId="0" borderId="2" xfId="0" applyFont="1" applyBorder="1" applyAlignment="1">
      <alignment horizontal="center"/>
    </xf>
    <xf numFmtId="43" fontId="27" fillId="15" borderId="2" xfId="1" applyFont="1" applyFill="1" applyBorder="1" applyAlignment="1">
      <alignment horizontal="center"/>
    </xf>
    <xf numFmtId="43" fontId="28" fillId="12" borderId="2" xfId="1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43" fontId="29" fillId="10" borderId="2" xfId="1" applyFont="1" applyFill="1" applyBorder="1" applyAlignment="1">
      <alignment horizontal="center" vertical="center"/>
    </xf>
    <xf numFmtId="43" fontId="29" fillId="9" borderId="2" xfId="1" applyFont="1" applyFill="1" applyBorder="1" applyAlignment="1">
      <alignment horizontal="center" vertical="center"/>
    </xf>
    <xf numFmtId="43" fontId="29" fillId="7" borderId="2" xfId="1" applyFont="1" applyFill="1" applyBorder="1" applyAlignment="1">
      <alignment horizontal="center" vertical="center"/>
    </xf>
    <xf numFmtId="43" fontId="3" fillId="6" borderId="0" xfId="1" applyFont="1" applyFill="1" applyAlignment="1">
      <alignment horizontal="center" vertical="center"/>
    </xf>
    <xf numFmtId="43" fontId="14" fillId="21" borderId="2" xfId="9" applyFont="1" applyFill="1" applyBorder="1" applyAlignment="1">
      <alignment horizontal="center" vertical="center"/>
    </xf>
    <xf numFmtId="43" fontId="14" fillId="14" borderId="2" xfId="9" applyFont="1" applyFill="1" applyBorder="1" applyAlignment="1">
      <alignment horizontal="center" vertical="center"/>
    </xf>
    <xf numFmtId="43" fontId="14" fillId="20" borderId="2" xfId="9" applyFont="1" applyFill="1" applyBorder="1" applyAlignment="1">
      <alignment horizontal="center" vertical="center"/>
    </xf>
    <xf numFmtId="43" fontId="12" fillId="2" borderId="2" xfId="9" applyFont="1" applyFill="1" applyBorder="1" applyAlignment="1">
      <alignment horizontal="center" vertical="center"/>
    </xf>
    <xf numFmtId="43" fontId="3" fillId="13" borderId="2" xfId="9" applyFont="1" applyFill="1" applyBorder="1" applyAlignment="1">
      <alignment horizontal="center" vertical="center"/>
    </xf>
    <xf numFmtId="43" fontId="4" fillId="0" borderId="0" xfId="1" applyFont="1" applyAlignment="1">
      <alignment horizontal="center" vertical="center"/>
    </xf>
    <xf numFmtId="0" fontId="29" fillId="0" borderId="0" xfId="6" applyFont="1"/>
    <xf numFmtId="0" fontId="29" fillId="0" borderId="0" xfId="6" applyFont="1" applyAlignment="1">
      <alignment horizontal="center" vertical="center"/>
    </xf>
    <xf numFmtId="0" fontId="29" fillId="0" borderId="2" xfId="6" applyFont="1" applyBorder="1" applyAlignment="1">
      <alignment horizontal="center"/>
    </xf>
    <xf numFmtId="43" fontId="29" fillId="0" borderId="2" xfId="1" applyFont="1" applyBorder="1" applyAlignment="1">
      <alignment horizontal="center"/>
    </xf>
    <xf numFmtId="0" fontId="29" fillId="0" borderId="0" xfId="6" applyFont="1" applyAlignment="1">
      <alignment horizontal="center"/>
    </xf>
    <xf numFmtId="0" fontId="29" fillId="0" borderId="0" xfId="6" applyFont="1" applyBorder="1"/>
    <xf numFmtId="43" fontId="29" fillId="0" borderId="0" xfId="1" applyFont="1" applyBorder="1"/>
    <xf numFmtId="0" fontId="4" fillId="15" borderId="2" xfId="6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43" fontId="1" fillId="0" borderId="0" xfId="1" applyFont="1" applyBorder="1"/>
    <xf numFmtId="0" fontId="32" fillId="0" borderId="0" xfId="0" applyFont="1"/>
    <xf numFmtId="43" fontId="22" fillId="2" borderId="1" xfId="1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/>
    </xf>
    <xf numFmtId="43" fontId="21" fillId="4" borderId="2" xfId="1" applyFont="1" applyFill="1" applyBorder="1" applyAlignment="1">
      <alignment horizontal="center"/>
    </xf>
    <xf numFmtId="43" fontId="27" fillId="0" borderId="2" xfId="1" applyFont="1" applyFill="1" applyBorder="1" applyAlignment="1">
      <alignment horizontal="center"/>
    </xf>
    <xf numFmtId="43" fontId="27" fillId="4" borderId="2" xfId="1" applyFont="1" applyFill="1" applyBorder="1" applyAlignment="1">
      <alignment horizontal="center"/>
    </xf>
    <xf numFmtId="0" fontId="27" fillId="0" borderId="2" xfId="1" applyNumberFormat="1" applyFont="1" applyFill="1" applyBorder="1" applyAlignment="1">
      <alignment horizontal="center"/>
    </xf>
    <xf numFmtId="0" fontId="29" fillId="17" borderId="2" xfId="6" applyFont="1" applyFill="1" applyBorder="1" applyAlignment="1">
      <alignment horizontal="center" vertical="center"/>
    </xf>
    <xf numFmtId="0" fontId="29" fillId="0" borderId="2" xfId="6" applyFont="1" applyBorder="1" applyAlignment="1">
      <alignment horizontal="center" vertical="center"/>
    </xf>
    <xf numFmtId="43" fontId="29" fillId="0" borderId="2" xfId="8" applyFont="1" applyBorder="1" applyAlignment="1">
      <alignment horizontal="center" vertical="center"/>
    </xf>
    <xf numFmtId="43" fontId="29" fillId="24" borderId="2" xfId="8" applyFont="1" applyFill="1" applyBorder="1" applyAlignment="1">
      <alignment horizontal="center" vertical="center"/>
    </xf>
    <xf numFmtId="43" fontId="29" fillId="16" borderId="2" xfId="8" applyFont="1" applyFill="1" applyBorder="1" applyAlignment="1">
      <alignment horizontal="center" vertical="center"/>
    </xf>
    <xf numFmtId="43" fontId="29" fillId="12" borderId="2" xfId="8" applyFont="1" applyFill="1" applyBorder="1" applyAlignment="1">
      <alignment horizontal="center" vertical="center"/>
    </xf>
    <xf numFmtId="43" fontId="29" fillId="15" borderId="2" xfId="8" applyFont="1" applyFill="1" applyBorder="1" applyAlignment="1">
      <alignment horizontal="center" vertical="center"/>
    </xf>
    <xf numFmtId="0" fontId="36" fillId="0" borderId="0" xfId="6" applyFont="1"/>
    <xf numFmtId="43" fontId="37" fillId="2" borderId="2" xfId="8" applyFont="1" applyFill="1" applyBorder="1" applyAlignment="1">
      <alignment horizontal="center" vertical="center"/>
    </xf>
    <xf numFmtId="9" fontId="37" fillId="2" borderId="2" xfId="8" applyNumberFormat="1" applyFont="1" applyFill="1" applyBorder="1" applyAlignment="1">
      <alignment horizontal="center" vertical="center"/>
    </xf>
    <xf numFmtId="0" fontId="38" fillId="0" borderId="0" xfId="6" applyFont="1" applyAlignment="1">
      <alignment horizontal="center" vertical="center"/>
    </xf>
    <xf numFmtId="43" fontId="1" fillId="15" borderId="2" xfId="8" applyFont="1" applyFill="1" applyBorder="1" applyAlignment="1">
      <alignment horizontal="center" vertical="center"/>
    </xf>
    <xf numFmtId="0" fontId="0" fillId="17" borderId="0" xfId="0" applyFill="1" applyAlignment="1">
      <alignment vertical="center"/>
    </xf>
    <xf numFmtId="0" fontId="40" fillId="0" borderId="0" xfId="6" applyFont="1"/>
    <xf numFmtId="3" fontId="27" fillId="15" borderId="2" xfId="6" applyNumberFormat="1" applyFont="1" applyFill="1" applyBorder="1" applyAlignment="1">
      <alignment horizontal="center" vertical="center"/>
    </xf>
    <xf numFmtId="4" fontId="29" fillId="0" borderId="0" xfId="6" applyNumberFormat="1" applyFont="1"/>
    <xf numFmtId="3" fontId="5" fillId="18" borderId="8" xfId="6" applyNumberFormat="1" applyFont="1" applyFill="1" applyBorder="1" applyAlignment="1">
      <alignment horizontal="center" vertical="center"/>
    </xf>
    <xf numFmtId="3" fontId="5" fillId="18" borderId="8" xfId="6" applyNumberFormat="1" applyFont="1" applyFill="1" applyBorder="1" applyAlignment="1">
      <alignment horizontal="center"/>
    </xf>
    <xf numFmtId="4" fontId="5" fillId="18" borderId="8" xfId="6" applyNumberFormat="1" applyFont="1" applyFill="1" applyBorder="1" applyAlignment="1">
      <alignment horizontal="center" vertical="center"/>
    </xf>
    <xf numFmtId="0" fontId="35" fillId="0" borderId="0" xfId="6" applyFont="1"/>
    <xf numFmtId="0" fontId="27" fillId="0" borderId="2" xfId="6" applyFont="1" applyBorder="1" applyAlignment="1">
      <alignment horizontal="center"/>
    </xf>
    <xf numFmtId="3" fontId="27" fillId="0" borderId="2" xfId="6" applyNumberFormat="1" applyFont="1" applyBorder="1" applyAlignment="1">
      <alignment horizontal="center" vertical="center"/>
    </xf>
    <xf numFmtId="3" fontId="27" fillId="0" borderId="2" xfId="5" applyNumberFormat="1" applyFont="1" applyBorder="1" applyAlignment="1">
      <alignment horizontal="center" vertical="center"/>
    </xf>
    <xf numFmtId="3" fontId="27" fillId="15" borderId="2" xfId="5" applyNumberFormat="1" applyFont="1" applyFill="1" applyBorder="1" applyAlignment="1">
      <alignment horizontal="center" vertical="center"/>
    </xf>
    <xf numFmtId="3" fontId="27" fillId="12" borderId="2" xfId="5" applyNumberFormat="1" applyFont="1" applyFill="1" applyBorder="1" applyAlignment="1">
      <alignment horizontal="center" vertical="center"/>
    </xf>
    <xf numFmtId="4" fontId="27" fillId="0" borderId="2" xfId="6" applyNumberFormat="1" applyFont="1" applyBorder="1" applyAlignment="1">
      <alignment horizontal="center" vertical="center"/>
    </xf>
    <xf numFmtId="43" fontId="4" fillId="25" borderId="2" xfId="1" applyFont="1" applyFill="1" applyBorder="1" applyAlignment="1">
      <alignment horizontal="center" vertical="center"/>
    </xf>
    <xf numFmtId="43" fontId="4" fillId="15" borderId="2" xfId="1" applyFont="1" applyFill="1" applyBorder="1" applyAlignment="1">
      <alignment horizontal="center" vertical="center"/>
    </xf>
    <xf numFmtId="43" fontId="4" fillId="12" borderId="2" xfId="1" applyFont="1" applyFill="1" applyBorder="1" applyAlignment="1">
      <alignment horizontal="center" vertical="center"/>
    </xf>
    <xf numFmtId="43" fontId="23" fillId="6" borderId="2" xfId="5" applyFont="1" applyFill="1" applyBorder="1" applyAlignment="1">
      <alignment horizontal="center" vertical="center"/>
    </xf>
    <xf numFmtId="43" fontId="4" fillId="24" borderId="2" xfId="5" applyFont="1" applyFill="1" applyBorder="1" applyAlignment="1">
      <alignment horizontal="center" vertical="center"/>
    </xf>
    <xf numFmtId="43" fontId="4" fillId="12" borderId="2" xfId="5" applyFont="1" applyFill="1" applyBorder="1" applyAlignment="1">
      <alignment horizontal="center" vertical="center"/>
    </xf>
    <xf numFmtId="43" fontId="4" fillId="15" borderId="2" xfId="5" applyFont="1" applyFill="1" applyBorder="1" applyAlignment="1">
      <alignment horizontal="center" vertical="center"/>
    </xf>
    <xf numFmtId="0" fontId="4" fillId="0" borderId="0" xfId="6" applyBorder="1"/>
    <xf numFmtId="0" fontId="42" fillId="26" borderId="2" xfId="0" applyFont="1" applyFill="1" applyBorder="1" applyAlignment="1">
      <alignment horizontal="center" vertical="center"/>
    </xf>
    <xf numFmtId="0" fontId="42" fillId="26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15" borderId="2" xfId="0" applyFont="1" applyFill="1" applyBorder="1" applyAlignment="1">
      <alignment horizontal="center"/>
    </xf>
    <xf numFmtId="0" fontId="21" fillId="9" borderId="2" xfId="0" applyFont="1" applyFill="1" applyBorder="1" applyAlignment="1">
      <alignment horizontal="center"/>
    </xf>
    <xf numFmtId="0" fontId="22" fillId="18" borderId="2" xfId="0" applyFont="1" applyFill="1" applyBorder="1" applyAlignment="1">
      <alignment horizontal="center"/>
    </xf>
    <xf numFmtId="0" fontId="23" fillId="18" borderId="2" xfId="0" applyFont="1" applyFill="1" applyBorder="1" applyAlignment="1">
      <alignment horizontal="center"/>
    </xf>
    <xf numFmtId="164" fontId="23" fillId="18" borderId="2" xfId="1" applyNumberFormat="1" applyFont="1" applyFill="1" applyBorder="1" applyAlignment="1">
      <alignment horizontal="center"/>
    </xf>
    <xf numFmtId="43" fontId="23" fillId="18" borderId="2" xfId="1" applyFont="1" applyFill="1" applyBorder="1" applyAlignment="1">
      <alignment horizontal="center"/>
    </xf>
    <xf numFmtId="0" fontId="22" fillId="6" borderId="2" xfId="6" applyFont="1" applyFill="1" applyBorder="1" applyAlignment="1">
      <alignment horizontal="center"/>
    </xf>
    <xf numFmtId="43" fontId="22" fillId="6" borderId="2" xfId="5" applyFont="1" applyFill="1" applyBorder="1" applyAlignment="1">
      <alignment horizontal="center"/>
    </xf>
    <xf numFmtId="43" fontId="22" fillId="6" borderId="2" xfId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0" borderId="2" xfId="6" applyFont="1" applyBorder="1" applyAlignment="1">
      <alignment horizontal="center" vertical="center"/>
    </xf>
    <xf numFmtId="0" fontId="21" fillId="15" borderId="2" xfId="6" applyFont="1" applyFill="1" applyBorder="1" applyAlignment="1">
      <alignment horizontal="center" vertical="center"/>
    </xf>
    <xf numFmtId="43" fontId="21" fillId="15" borderId="2" xfId="1" applyFont="1" applyFill="1" applyBorder="1" applyAlignment="1">
      <alignment horizontal="center" vertical="center"/>
    </xf>
    <xf numFmtId="43" fontId="21" fillId="0" borderId="2" xfId="1" applyFont="1" applyBorder="1" applyAlignment="1">
      <alignment horizontal="center" vertical="center"/>
    </xf>
    <xf numFmtId="0" fontId="22" fillId="18" borderId="2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/>
    </xf>
    <xf numFmtId="43" fontId="23" fillId="18" borderId="2" xfId="1" applyFont="1" applyFill="1" applyBorder="1" applyAlignment="1">
      <alignment horizontal="center" vertical="center"/>
    </xf>
    <xf numFmtId="43" fontId="1" fillId="17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43" fontId="23" fillId="0" borderId="8" xfId="1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43" fontId="1" fillId="0" borderId="0" xfId="1" applyFont="1" applyAlignment="1">
      <alignment horizontal="center"/>
    </xf>
    <xf numFmtId="43" fontId="28" fillId="19" borderId="2" xfId="1" applyFont="1" applyFill="1" applyBorder="1" applyAlignment="1">
      <alignment horizontal="center"/>
    </xf>
    <xf numFmtId="43" fontId="27" fillId="0" borderId="2" xfId="1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43" fontId="1" fillId="0" borderId="0" xfId="1" applyFont="1"/>
    <xf numFmtId="0" fontId="43" fillId="0" borderId="0" xfId="3" applyFont="1" applyAlignment="1">
      <alignment horizontal="center" vertical="center"/>
    </xf>
    <xf numFmtId="0" fontId="43" fillId="6" borderId="2" xfId="3" applyFont="1" applyFill="1" applyBorder="1" applyAlignment="1">
      <alignment horizontal="center" vertical="center"/>
    </xf>
    <xf numFmtId="43" fontId="43" fillId="6" borderId="2" xfId="2" applyFont="1" applyFill="1" applyBorder="1" applyAlignment="1">
      <alignment horizontal="center" vertical="center"/>
    </xf>
    <xf numFmtId="43" fontId="43" fillId="6" borderId="2" xfId="2" applyFont="1" applyFill="1" applyBorder="1" applyAlignment="1">
      <alignment horizontal="center" vertical="center" wrapText="1"/>
    </xf>
    <xf numFmtId="43" fontId="29" fillId="4" borderId="2" xfId="1" applyFont="1" applyFill="1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43" fontId="33" fillId="18" borderId="2" xfId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" fillId="0" borderId="2" xfId="6" applyFont="1" applyBorder="1" applyAlignment="1">
      <alignment horizontal="center"/>
    </xf>
    <xf numFmtId="49" fontId="4" fillId="0" borderId="2" xfId="6" applyNumberForma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43" fontId="44" fillId="2" borderId="1" xfId="1" applyFont="1" applyFill="1" applyBorder="1" applyAlignment="1">
      <alignment horizontal="center" vertical="center"/>
    </xf>
    <xf numFmtId="43" fontId="28" fillId="0" borderId="0" xfId="1" applyFont="1" applyBorder="1" applyAlignment="1">
      <alignment horizontal="center" vertical="center"/>
    </xf>
    <xf numFmtId="3" fontId="45" fillId="18" borderId="8" xfId="6" applyNumberFormat="1" applyFont="1" applyFill="1" applyBorder="1" applyAlignment="1">
      <alignment horizontal="center" vertical="center"/>
    </xf>
    <xf numFmtId="3" fontId="45" fillId="18" borderId="8" xfId="6" applyNumberFormat="1" applyFont="1" applyFill="1" applyBorder="1" applyAlignment="1">
      <alignment horizontal="center"/>
    </xf>
    <xf numFmtId="43" fontId="45" fillId="18" borderId="8" xfId="1" applyFont="1" applyFill="1" applyBorder="1" applyAlignment="1">
      <alignment horizontal="center"/>
    </xf>
    <xf numFmtId="4" fontId="45" fillId="18" borderId="8" xfId="6" applyNumberFormat="1" applyFont="1" applyFill="1" applyBorder="1" applyAlignment="1">
      <alignment horizontal="center" vertical="center"/>
    </xf>
    <xf numFmtId="43" fontId="27" fillId="8" borderId="2" xfId="1" applyFont="1" applyFill="1" applyBorder="1" applyAlignment="1">
      <alignment horizontal="center" vertical="center"/>
    </xf>
    <xf numFmtId="43" fontId="27" fillId="15" borderId="2" xfId="1" applyFont="1" applyFill="1" applyBorder="1" applyAlignment="1">
      <alignment horizontal="center" vertical="center"/>
    </xf>
    <xf numFmtId="43" fontId="27" fillId="19" borderId="2" xfId="1" applyFont="1" applyFill="1" applyBorder="1" applyAlignment="1">
      <alignment horizontal="center" vertical="center"/>
    </xf>
    <xf numFmtId="43" fontId="27" fillId="12" borderId="2" xfId="1" applyFont="1" applyFill="1" applyBorder="1" applyAlignment="1">
      <alignment horizontal="center" vertical="center"/>
    </xf>
    <xf numFmtId="0" fontId="27" fillId="0" borderId="0" xfId="6" applyFont="1"/>
    <xf numFmtId="43" fontId="29" fillId="0" borderId="0" xfId="1" applyFont="1"/>
    <xf numFmtId="0" fontId="4" fillId="0" borderId="2" xfId="0" applyFont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/>
    </xf>
    <xf numFmtId="0" fontId="50" fillId="26" borderId="2" xfId="0" applyFont="1" applyFill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4" fillId="27" borderId="2" xfId="0" applyFont="1" applyFill="1" applyBorder="1" applyAlignment="1">
      <alignment horizontal="center"/>
    </xf>
    <xf numFmtId="3" fontId="4" fillId="5" borderId="2" xfId="0" applyNumberFormat="1" applyFont="1" applyFill="1" applyBorder="1" applyAlignment="1">
      <alignment horizontal="center"/>
    </xf>
    <xf numFmtId="4" fontId="4" fillId="28" borderId="2" xfId="0" applyNumberFormat="1" applyFont="1" applyFill="1" applyBorder="1" applyAlignment="1">
      <alignment horizontal="center"/>
    </xf>
    <xf numFmtId="4" fontId="4" fillId="27" borderId="2" xfId="0" applyNumberFormat="1" applyFont="1" applyFill="1" applyBorder="1" applyAlignment="1">
      <alignment horizontal="center"/>
    </xf>
    <xf numFmtId="0" fontId="4" fillId="0" borderId="2" xfId="0" applyFont="1" applyBorder="1"/>
    <xf numFmtId="0" fontId="50" fillId="26" borderId="2" xfId="0" applyFont="1" applyFill="1" applyBorder="1" applyAlignment="1">
      <alignment horizontal="center" vertical="center"/>
    </xf>
    <xf numFmtId="4" fontId="4" fillId="5" borderId="2" xfId="0" applyNumberFormat="1" applyFont="1" applyFill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0" fontId="51" fillId="26" borderId="2" xfId="0" applyFont="1" applyFill="1" applyBorder="1" applyAlignment="1">
      <alignment horizontal="center"/>
    </xf>
    <xf numFmtId="4" fontId="4" fillId="29" borderId="2" xfId="0" applyNumberFormat="1" applyFont="1" applyFill="1" applyBorder="1" applyAlignment="1">
      <alignment horizontal="center"/>
    </xf>
    <xf numFmtId="0" fontId="52" fillId="26" borderId="2" xfId="0" applyFont="1" applyFill="1" applyBorder="1" applyAlignment="1">
      <alignment horizontal="center" vertical="center"/>
    </xf>
    <xf numFmtId="0" fontId="52" fillId="26" borderId="2" xfId="0" applyFont="1" applyFill="1" applyBorder="1" applyAlignment="1">
      <alignment horizontal="center"/>
    </xf>
    <xf numFmtId="0" fontId="42" fillId="26" borderId="0" xfId="0" applyFont="1" applyFill="1" applyAlignment="1">
      <alignment horizontal="center" vertical="center"/>
    </xf>
    <xf numFmtId="0" fontId="42" fillId="26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27" borderId="26" xfId="0" applyFont="1" applyFill="1" applyBorder="1" applyAlignment="1">
      <alignment horizontal="center" vertical="center"/>
    </xf>
    <xf numFmtId="0" fontId="54" fillId="26" borderId="8" xfId="0" applyFont="1" applyFill="1" applyBorder="1" applyAlignment="1">
      <alignment horizontal="center" vertical="center"/>
    </xf>
    <xf numFmtId="0" fontId="54" fillId="26" borderId="8" xfId="0" applyFont="1" applyFill="1" applyBorder="1" applyAlignment="1">
      <alignment horizontal="center"/>
    </xf>
    <xf numFmtId="0" fontId="55" fillId="26" borderId="2" xfId="0" applyFont="1" applyFill="1" applyBorder="1" applyAlignment="1">
      <alignment horizontal="center" vertical="center"/>
    </xf>
    <xf numFmtId="0" fontId="51" fillId="26" borderId="2" xfId="0" applyFont="1" applyFill="1" applyBorder="1" applyAlignment="1">
      <alignment horizontal="center" vertical="center"/>
    </xf>
    <xf numFmtId="43" fontId="4" fillId="15" borderId="2" xfId="1" applyFont="1" applyFill="1" applyBorder="1" applyAlignment="1"/>
    <xf numFmtId="0" fontId="2" fillId="15" borderId="2" xfId="6" applyFont="1" applyFill="1" applyBorder="1" applyAlignment="1">
      <alignment horizontal="center"/>
    </xf>
    <xf numFmtId="43" fontId="2" fillId="15" borderId="2" xfId="5" applyFont="1" applyFill="1" applyBorder="1" applyAlignment="1">
      <alignment horizontal="center"/>
    </xf>
    <xf numFmtId="0" fontId="28" fillId="15" borderId="2" xfId="0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43" fontId="28" fillId="15" borderId="2" xfId="1" applyFont="1" applyFill="1" applyBorder="1" applyAlignment="1">
      <alignment horizontal="center"/>
    </xf>
    <xf numFmtId="43" fontId="28" fillId="0" borderId="2" xfId="1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43" fontId="0" fillId="0" borderId="0" xfId="1" applyFont="1" applyAlignment="1">
      <alignment horizontal="center"/>
    </xf>
    <xf numFmtId="43" fontId="2" fillId="15" borderId="2" xfId="5" applyFont="1" applyFill="1" applyBorder="1" applyAlignment="1"/>
    <xf numFmtId="43" fontId="4" fillId="0" borderId="2" xfId="1" applyFont="1" applyFill="1" applyBorder="1" applyAlignment="1"/>
    <xf numFmtId="0" fontId="0" fillId="0" borderId="2" xfId="0" applyBorder="1"/>
    <xf numFmtId="43" fontId="29" fillId="0" borderId="2" xfId="1" applyFont="1" applyBorder="1" applyAlignment="1">
      <alignment horizontal="center" vertical="center"/>
    </xf>
    <xf numFmtId="43" fontId="0" fillId="0" borderId="2" xfId="1" applyFont="1" applyBorder="1" applyAlignment="1">
      <alignment horizontal="center"/>
    </xf>
    <xf numFmtId="43" fontId="21" fillId="4" borderId="5" xfId="1" applyFont="1" applyFill="1" applyBorder="1" applyAlignment="1">
      <alignment horizontal="center"/>
    </xf>
    <xf numFmtId="43" fontId="29" fillId="0" borderId="2" xfId="2" applyFont="1" applyBorder="1" applyAlignment="1">
      <alignment vertical="center"/>
    </xf>
    <xf numFmtId="0" fontId="1" fillId="0" borderId="2" xfId="3" applyBorder="1" applyAlignment="1">
      <alignment vertical="center"/>
    </xf>
    <xf numFmtId="0" fontId="1" fillId="0" borderId="2" xfId="3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43" fontId="4" fillId="8" borderId="5" xfId="5" applyFont="1" applyFill="1" applyBorder="1" applyAlignment="1">
      <alignment horizontal="center" vertical="center"/>
    </xf>
    <xf numFmtId="43" fontId="14" fillId="17" borderId="2" xfId="1" applyFont="1" applyFill="1" applyBorder="1" applyAlignment="1">
      <alignment horizontal="center"/>
    </xf>
    <xf numFmtId="0" fontId="57" fillId="15" borderId="2" xfId="6" applyFont="1" applyFill="1" applyBorder="1" applyAlignment="1">
      <alignment horizontal="center" vertical="center"/>
    </xf>
    <xf numFmtId="0" fontId="56" fillId="0" borderId="2" xfId="6" applyFont="1" applyBorder="1" applyAlignment="1">
      <alignment horizontal="center" vertical="center"/>
    </xf>
    <xf numFmtId="43" fontId="57" fillId="15" borderId="2" xfId="1" applyFont="1" applyFill="1" applyBorder="1" applyAlignment="1">
      <alignment horizontal="center" vertical="center"/>
    </xf>
    <xf numFmtId="43" fontId="56" fillId="0" borderId="2" xfId="1" applyFont="1" applyBorder="1" applyAlignment="1">
      <alignment horizontal="center" vertical="center"/>
    </xf>
    <xf numFmtId="0" fontId="4" fillId="30" borderId="2" xfId="0" applyFont="1" applyFill="1" applyBorder="1" applyAlignment="1">
      <alignment horizontal="center"/>
    </xf>
    <xf numFmtId="43" fontId="0" fillId="0" borderId="0" xfId="0" applyNumberFormat="1"/>
    <xf numFmtId="43" fontId="14" fillId="8" borderId="5" xfId="1" applyFont="1" applyFill="1" applyBorder="1" applyAlignment="1">
      <alignment horizontal="center"/>
    </xf>
    <xf numFmtId="0" fontId="29" fillId="0" borderId="2" xfId="6" applyFont="1" applyBorder="1"/>
    <xf numFmtId="4" fontId="29" fillId="0" borderId="2" xfId="6" applyNumberFormat="1" applyFont="1" applyBorder="1" applyAlignment="1">
      <alignment horizontal="center"/>
    </xf>
    <xf numFmtId="0" fontId="28" fillId="0" borderId="2" xfId="0" applyFont="1" applyBorder="1" applyAlignment="1">
      <alignment horizontal="center" vertical="center"/>
    </xf>
    <xf numFmtId="43" fontId="21" fillId="0" borderId="2" xfId="1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43" fontId="1" fillId="0" borderId="2" xfId="1" applyFont="1" applyBorder="1" applyAlignment="1">
      <alignment horizontal="center"/>
    </xf>
    <xf numFmtId="43" fontId="0" fillId="17" borderId="2" xfId="1" applyFont="1" applyFill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27" borderId="36" xfId="0" applyFont="1" applyFill="1" applyBorder="1" applyAlignment="1">
      <alignment horizontal="center" vertical="center"/>
    </xf>
    <xf numFmtId="4" fontId="4" fillId="5" borderId="37" xfId="0" applyNumberFormat="1" applyFont="1" applyFill="1" applyBorder="1" applyAlignment="1">
      <alignment horizontal="center"/>
    </xf>
    <xf numFmtId="4" fontId="4" fillId="29" borderId="37" xfId="0" applyNumberFormat="1" applyFont="1" applyFill="1" applyBorder="1" applyAlignment="1">
      <alignment horizontal="center"/>
    </xf>
    <xf numFmtId="4" fontId="4" fillId="27" borderId="37" xfId="0" applyNumberFormat="1" applyFont="1" applyFill="1" applyBorder="1" applyAlignment="1">
      <alignment horizont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36" xfId="0" applyNumberFormat="1" applyFont="1" applyBorder="1" applyAlignment="1">
      <alignment horizontal="center" vertical="center"/>
    </xf>
    <xf numFmtId="0" fontId="0" fillId="15" borderId="2" xfId="6" applyFont="1" applyFill="1" applyBorder="1" applyAlignment="1">
      <alignment horizontal="center" vertical="center"/>
    </xf>
    <xf numFmtId="0" fontId="14" fillId="31" borderId="2" xfId="0" applyFont="1" applyFill="1" applyBorder="1" applyAlignment="1">
      <alignment horizontal="center"/>
    </xf>
    <xf numFmtId="0" fontId="16" fillId="0" borderId="2" xfId="6" applyFont="1" applyBorder="1" applyAlignment="1">
      <alignment horizontal="center"/>
    </xf>
    <xf numFmtId="0" fontId="10" fillId="0" borderId="2" xfId="6" applyFont="1" applyBorder="1" applyAlignment="1">
      <alignment horizontal="center" vertical="center"/>
    </xf>
    <xf numFmtId="0" fontId="30" fillId="0" borderId="2" xfId="6" applyFont="1" applyBorder="1" applyAlignment="1">
      <alignment horizontal="center"/>
    </xf>
    <xf numFmtId="0" fontId="35" fillId="0" borderId="2" xfId="6" applyFont="1" applyBorder="1" applyAlignment="1">
      <alignment horizontal="center" vertical="center"/>
    </xf>
    <xf numFmtId="0" fontId="29" fillId="0" borderId="2" xfId="6" applyFont="1" applyBorder="1" applyAlignment="1">
      <alignment horizontal="center" vertical="center"/>
    </xf>
    <xf numFmtId="0" fontId="7" fillId="0" borderId="2" xfId="6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14" fontId="9" fillId="8" borderId="4" xfId="3" applyNumberFormat="1" applyFont="1" applyFill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43" fontId="46" fillId="0" borderId="2" xfId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43" fontId="28" fillId="0" borderId="2" xfId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53" fillId="0" borderId="14" xfId="0" applyFont="1" applyBorder="1" applyAlignment="1">
      <alignment horizontal="center"/>
    </xf>
    <xf numFmtId="0" fontId="53" fillId="0" borderId="15" xfId="0" applyFont="1" applyBorder="1" applyAlignment="1">
      <alignment horizontal="center"/>
    </xf>
    <xf numFmtId="0" fontId="53" fillId="0" borderId="17" xfId="0" applyFont="1" applyBorder="1" applyAlignment="1">
      <alignment horizontal="center"/>
    </xf>
    <xf numFmtId="0" fontId="49" fillId="0" borderId="2" xfId="0" applyFont="1" applyBorder="1" applyAlignment="1">
      <alignment horizontal="center"/>
    </xf>
    <xf numFmtId="43" fontId="49" fillId="0" borderId="2" xfId="1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43" fontId="32" fillId="0" borderId="2" xfId="1" applyFont="1" applyBorder="1" applyAlignment="1">
      <alignment horizontal="center"/>
    </xf>
    <xf numFmtId="43" fontId="16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1" fillId="0" borderId="2" xfId="1" applyFont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7" fillId="17" borderId="2" xfId="0" applyFont="1" applyFill="1" applyBorder="1" applyAlignment="1">
      <alignment horizontal="center" vertical="center"/>
    </xf>
    <xf numFmtId="43" fontId="7" fillId="17" borderId="2" xfId="1" applyFont="1" applyFill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0" fontId="48" fillId="8" borderId="2" xfId="3" applyFont="1" applyFill="1" applyBorder="1" applyAlignment="1">
      <alignment horizontal="center" vertical="center"/>
    </xf>
    <xf numFmtId="14" fontId="19" fillId="8" borderId="2" xfId="3" applyNumberFormat="1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center" vertical="center"/>
    </xf>
    <xf numFmtId="0" fontId="7" fillId="17" borderId="2" xfId="6" applyFont="1" applyFill="1" applyBorder="1" applyAlignment="1">
      <alignment horizontal="center" vertical="center"/>
    </xf>
    <xf numFmtId="0" fontId="8" fillId="8" borderId="2" xfId="6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5" fillId="0" borderId="32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2" fillId="0" borderId="2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32" fillId="0" borderId="2" xfId="6" applyFont="1" applyBorder="1" applyAlignment="1">
      <alignment horizontal="center"/>
    </xf>
    <xf numFmtId="0" fontId="13" fillId="8" borderId="2" xfId="6" applyFont="1" applyFill="1" applyBorder="1" applyAlignment="1">
      <alignment horizontal="center" vertical="center"/>
    </xf>
    <xf numFmtId="0" fontId="41" fillId="8" borderId="2" xfId="6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26" fillId="0" borderId="2" xfId="6" applyFont="1" applyBorder="1" applyAlignment="1">
      <alignment horizontal="center"/>
    </xf>
    <xf numFmtId="0" fontId="31" fillId="8" borderId="3" xfId="6" applyFont="1" applyFill="1" applyBorder="1" applyAlignment="1">
      <alignment horizontal="center" vertical="center"/>
    </xf>
    <xf numFmtId="0" fontId="11" fillId="0" borderId="4" xfId="6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47" fillId="8" borderId="2" xfId="3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35" fillId="0" borderId="34" xfId="0" applyFont="1" applyBorder="1" applyAlignment="1">
      <alignment horizontal="center" vertical="center"/>
    </xf>
    <xf numFmtId="43" fontId="14" fillId="12" borderId="2" xfId="1" applyFont="1" applyFill="1" applyBorder="1" applyAlignment="1">
      <alignment horizontal="center"/>
    </xf>
    <xf numFmtId="43" fontId="14" fillId="19" borderId="2" xfId="1" applyFont="1" applyFill="1" applyBorder="1" applyAlignment="1">
      <alignment horizontal="center"/>
    </xf>
  </cellXfs>
  <cellStyles count="24">
    <cellStyle name="Comma" xfId="1" builtinId="3"/>
    <cellStyle name="Comma 2" xfId="2" xr:uid="{A2F591A9-985A-48C2-AC4C-1537657AEE34}"/>
    <cellStyle name="Comma 2 2" xfId="10" xr:uid="{D2000695-BD74-43D3-8DAF-EF32DB148B4D}"/>
    <cellStyle name="Comma 2 2 2" xfId="20" xr:uid="{003092C2-5E1F-4A2B-BDF0-9B93E619C69E}"/>
    <cellStyle name="Comma 2 3" xfId="15" xr:uid="{6ADD42D5-5B55-4108-A0C5-EB6977FECD3E}"/>
    <cellStyle name="Comma 3" xfId="5" xr:uid="{550C2966-5D3F-4B6D-BD9D-CF717529F63D}"/>
    <cellStyle name="Comma 3 2" xfId="11" xr:uid="{0297BFB5-3CAF-4B4A-A227-9B37EE0A7289}"/>
    <cellStyle name="Comma 3 2 2" xfId="21" xr:uid="{8DAC5F11-F3DB-4CF1-81D3-10197086397B}"/>
    <cellStyle name="Comma 3 3" xfId="16" xr:uid="{373B1D75-A2EA-4606-A443-2E76224882FE}"/>
    <cellStyle name="Comma 3 6" xfId="7" xr:uid="{F8F63CEF-26F3-444C-A42B-9373F9E3E7C4}"/>
    <cellStyle name="Comma 3 6 2" xfId="12" xr:uid="{E13298C8-F7A6-4F25-AE11-E793CF05E62C}"/>
    <cellStyle name="Comma 3 6 2 2" xfId="22" xr:uid="{35A5286D-FB18-415C-B1DC-BE1E4E295120}"/>
    <cellStyle name="Comma 3 6 3" xfId="17" xr:uid="{3E284310-59E3-4B46-949A-B86B495AB39C}"/>
    <cellStyle name="Comma 4" xfId="8" xr:uid="{A85D544B-731C-46D3-859A-C588B5D07325}"/>
    <cellStyle name="Comma 4 2" xfId="13" xr:uid="{198FCD6B-7B0A-4385-B107-C24318AB21BA}"/>
    <cellStyle name="Comma 4 2 2" xfId="23" xr:uid="{BB538D79-91D0-4366-A46A-8AC57768AADD}"/>
    <cellStyle name="Comma 4 3" xfId="18" xr:uid="{E24A7A2E-C53B-4E22-B748-6DD916A2AF04}"/>
    <cellStyle name="Comma 5" xfId="9" xr:uid="{15B6708F-4F3C-4FFB-8ECB-C970591C6DC7}"/>
    <cellStyle name="Comma 5 2" xfId="19" xr:uid="{6CE9CFC4-4397-4B47-9A09-22D2F5462DEA}"/>
    <cellStyle name="Comma 6" xfId="14" xr:uid="{3F66031C-3715-4BB6-960F-BF55C52ECB26}"/>
    <cellStyle name="Normal" xfId="0" builtinId="0"/>
    <cellStyle name="Normal 2" xfId="3" xr:uid="{21D8E683-D713-41CE-90FC-8E11AA678309}"/>
    <cellStyle name="Normal 2 5" xfId="6" xr:uid="{A791E304-D2EA-41BF-A279-87F2C0B63D07}"/>
    <cellStyle name="Normal 3" xfId="4" xr:uid="{45E8CA6F-787C-46C1-8BAF-238D500C5A9B}"/>
  </cellStyles>
  <dxfs count="16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BE2D5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CE4D6"/>
          <bgColor rgb="FF000000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</font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BCDD00-88D8-448C-B004-F05704A4C11C}" name="Table13" displayName="Table13" ref="A3:I70" totalsRowShown="0" headerRowDxfId="16111" dataDxfId="16109" headerRowBorderDxfId="16110" tableBorderDxfId="16108" totalsRowBorderDxfId="16107">
  <autoFilter ref="A3:I70" xr:uid="{00000000-0009-0000-0100-000001000000}"/>
  <sortState xmlns:xlrd2="http://schemas.microsoft.com/office/spreadsheetml/2017/richdata2" ref="A4:I62">
    <sortCondition sortBy="cellColor" ref="B3:B62" dxfId="16106"/>
  </sortState>
  <tableColumns count="9">
    <tableColumn id="1" xr3:uid="{00000000-0010-0000-0000-000001000000}" name="SN" dataDxfId="16105"/>
    <tableColumn id="2" xr3:uid="{00000000-0010-0000-0000-000002000000}" name="Unit Code" dataDxfId="16104"/>
    <tableColumn id="3" xr3:uid="{00000000-0010-0000-0000-000003000000}" name="Floor" dataDxfId="16103"/>
    <tableColumn id="4" xr3:uid="{00000000-0010-0000-0000-000004000000}" name="Unit Type" dataDxfId="16102"/>
    <tableColumn id="5" xr3:uid="{00000000-0010-0000-0000-000005000000}" name="Asking Price" dataDxfId="16101" dataCellStyle="Comma"/>
    <tableColumn id="6" xr3:uid="{00000000-0010-0000-0000-000006000000}" name="TotalArea" dataDxfId="16100" dataCellStyle="Comma"/>
    <tableColumn id="7" xr3:uid="{00000000-0010-0000-0000-000007000000}" name="NetArea" dataDxfId="16099" dataCellStyle="Comma"/>
    <tableColumn id="8" xr3:uid="{00000000-0010-0000-0000-000008000000}" name="TerraceArea" dataDxfId="16098" dataCellStyle="Comma"/>
    <tableColumn id="9" xr3:uid="{00000000-0010-0000-0000-000009000000}" name="View" dataDxfId="1609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BF8F08-26A5-4CE1-A93F-8EA3714D712D}" name="Table14" displayName="Table14" ref="A3:K127" totalsRowShown="0" headerRowDxfId="16093" dataDxfId="16091" headerRowBorderDxfId="16092" tableBorderDxfId="16090" totalsRowBorderDxfId="16089">
  <tableColumns count="11">
    <tableColumn id="1" xr3:uid="{3EF359CA-0E03-4EC0-B71F-676673D7B7DA}" name="S/N" dataDxfId="16088"/>
    <tableColumn id="2" xr3:uid="{4FECF735-C4C5-47BF-BB3B-0CC3DC36242B}" name="Unit Code" dataDxfId="16087"/>
    <tableColumn id="3" xr3:uid="{2FA2BD69-020C-45F3-B73E-7F2123674F3B}" name="Floor" dataDxfId="16086"/>
    <tableColumn id="4" xr3:uid="{6DE915BD-3ECC-4630-88B0-C1302C22D444}" name="Unit Type" dataDxfId="16085"/>
    <tableColumn id="5" xr3:uid="{2D0E9B62-FB52-41E5-AD18-6E18604EE576}" name="20% DP" dataDxfId="16084" dataCellStyle="Comma"/>
    <tableColumn id="6" xr3:uid="{952B8458-7255-4AB5-8BC9-344B5A25E727}" name="50% DP" dataDxfId="16083" dataCellStyle="Comma">
      <calculatedColumnFormula>E4*0.97</calculatedColumnFormula>
    </tableColumn>
    <tableColumn id="7" xr3:uid="{9EF0F2D3-C05A-40C3-819A-D942D6B21AE1}" name="Full Payment" dataDxfId="16082" dataCellStyle="Comma">
      <calculatedColumnFormula>E4*0.94</calculatedColumnFormula>
    </tableColumn>
    <tableColumn id="8" xr3:uid="{C4301DFF-507E-4508-95E7-6F8A5241BE7A}" name="TotalArea" dataDxfId="16081" dataCellStyle="Comma"/>
    <tableColumn id="9" xr3:uid="{11618483-95AE-492F-8EC3-FA555ACB56C9}" name="NetArea" dataDxfId="16080" dataCellStyle="Comma"/>
    <tableColumn id="10" xr3:uid="{DC3957FE-E0B5-492C-9ECE-8F5E6C002894}" name="TerraceArea" dataDxfId="16079" dataCellStyle="Comma"/>
    <tableColumn id="11" xr3:uid="{E819D31E-E24C-4F78-BEF8-CEFA9033DEE8}" name="View" dataDxfId="1607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6A0EA8-6CCE-445A-B97A-2AF37436AAA8}" name="Table1" displayName="Table1" ref="A3:J6" totalsRowShown="0" headerRowDxfId="16077" dataDxfId="16075" headerRowBorderDxfId="16076" tableBorderDxfId="16074" totalsRowBorderDxfId="16073">
  <autoFilter ref="A3:J6" xr:uid="{3B8F7FAF-22DA-4967-A4DE-6C85A5D3F5CE}"/>
  <tableColumns count="10">
    <tableColumn id="1" xr3:uid="{33A88D33-8649-490D-B3B4-5B5D03756893}" name="S/N" dataDxfId="16072"/>
    <tableColumn id="2" xr3:uid="{A573C30D-1AD0-4D7D-AD72-CAAA3CCDE6D8}" name="Unit Code" dataDxfId="16071"/>
    <tableColumn id="3" xr3:uid="{E4E0EAA1-F786-4F37-88E0-D4A9556E201C}" name="Floor" dataDxfId="16070"/>
    <tableColumn id="4" xr3:uid="{C67BB7C0-9E9C-4E81-A1DE-6E9206DA66F5}" name="Unit Type" dataDxfId="16069"/>
    <tableColumn id="5" xr3:uid="{797F5D41-7F58-4DB9-A9B2-EDD3D55C4E7A}" name="Asking Price" dataDxfId="16068" dataCellStyle="Comma"/>
    <tableColumn id="7" xr3:uid="{FD139240-D1B0-4DC6-BBA7-1161D077E278}" name="100% Full Cash" dataDxfId="16067" dataCellStyle="Comma">
      <calculatedColumnFormula>E4*0.94</calculatedColumnFormula>
    </tableColumn>
    <tableColumn id="8" xr3:uid="{1BAEEFE2-CB69-4229-8ECB-E62F7C708E45}" name="TotalArea" dataDxfId="16066"/>
    <tableColumn id="9" xr3:uid="{B9B087B8-F772-4615-99BB-BD67011E08AD}" name="NetArea" dataDxfId="16065"/>
    <tableColumn id="10" xr3:uid="{0EF0191A-1359-421A-A95C-CAEF55CB7210}" name="TerraceArea" dataDxfId="16064"/>
    <tableColumn id="11" xr3:uid="{8B1D5C22-5740-4065-B5A2-B30DA4925385}" name="View" dataDxfId="1606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9FA0-2C09-417D-ACD3-EA572437EF07}">
  <dimension ref="A1:I70"/>
  <sheetViews>
    <sheetView tabSelected="1" zoomScale="85" zoomScaleNormal="85" workbookViewId="0">
      <selection sqref="A1:I1"/>
    </sheetView>
  </sheetViews>
  <sheetFormatPr defaultColWidth="8.88671875" defaultRowHeight="14.4"/>
  <cols>
    <col min="1" max="1" width="8.88671875" style="3" bestFit="1" customWidth="1"/>
    <col min="2" max="2" width="14.88671875" style="3" bestFit="1" customWidth="1"/>
    <col min="3" max="3" width="10.88671875" style="3" bestFit="1" customWidth="1"/>
    <col min="4" max="4" width="23.88671875" style="3" bestFit="1" customWidth="1"/>
    <col min="5" max="5" width="18.109375" style="64" bestFit="1" customWidth="1"/>
    <col min="6" max="6" width="15.88671875" style="64" bestFit="1" customWidth="1"/>
    <col min="7" max="7" width="14.6640625" style="64" bestFit="1" customWidth="1"/>
    <col min="8" max="8" width="17.88671875" style="64" bestFit="1" customWidth="1"/>
    <col min="9" max="9" width="83.88671875" style="3" bestFit="1" customWidth="1"/>
    <col min="10" max="16384" width="8.88671875" style="3"/>
  </cols>
  <sheetData>
    <row r="1" spans="1:9" ht="25.8">
      <c r="A1" s="268" t="s">
        <v>177</v>
      </c>
      <c r="B1" s="268"/>
      <c r="C1" s="268"/>
      <c r="D1" s="268"/>
      <c r="E1" s="268"/>
      <c r="F1" s="268"/>
      <c r="G1" s="268"/>
      <c r="H1" s="268"/>
      <c r="I1" s="268"/>
    </row>
    <row r="2" spans="1:9">
      <c r="A2" s="269" t="s">
        <v>261</v>
      </c>
      <c r="B2" s="269"/>
      <c r="C2" s="269"/>
      <c r="D2" s="269"/>
      <c r="E2" s="269"/>
      <c r="F2" s="269"/>
      <c r="G2" s="269"/>
      <c r="H2" s="269"/>
      <c r="I2" s="269"/>
    </row>
    <row r="3" spans="1:9" s="54" customFormat="1">
      <c r="A3" s="58" t="s">
        <v>25</v>
      </c>
      <c r="B3" s="59" t="s">
        <v>13</v>
      </c>
      <c r="C3" s="59" t="s">
        <v>26</v>
      </c>
      <c r="D3" s="59" t="s">
        <v>14</v>
      </c>
      <c r="E3" s="66" t="s">
        <v>15</v>
      </c>
      <c r="F3" s="67" t="s">
        <v>0</v>
      </c>
      <c r="G3" s="67" t="s">
        <v>1</v>
      </c>
      <c r="H3" s="67" t="s">
        <v>2</v>
      </c>
      <c r="I3" s="60" t="s">
        <v>19</v>
      </c>
    </row>
    <row r="4" spans="1:9" s="54" customFormat="1">
      <c r="A4" s="53">
        <v>1</v>
      </c>
      <c r="B4" s="52" t="s">
        <v>176</v>
      </c>
      <c r="C4" s="4" t="s">
        <v>10</v>
      </c>
      <c r="D4" s="4" t="s">
        <v>4456</v>
      </c>
      <c r="E4" s="63">
        <v>24400000</v>
      </c>
      <c r="F4" s="68">
        <v>3628.84</v>
      </c>
      <c r="G4" s="68">
        <v>2058.17</v>
      </c>
      <c r="H4" s="68">
        <v>1570.67</v>
      </c>
      <c r="I4" s="4" t="s">
        <v>158</v>
      </c>
    </row>
    <row r="5" spans="1:9" s="54" customFormat="1">
      <c r="A5" s="53">
        <v>2</v>
      </c>
      <c r="B5" s="52" t="s">
        <v>175</v>
      </c>
      <c r="C5" s="4" t="s">
        <v>10</v>
      </c>
      <c r="D5" s="4" t="s">
        <v>4456</v>
      </c>
      <c r="E5" s="63">
        <v>26800000</v>
      </c>
      <c r="F5" s="68">
        <v>4093.09</v>
      </c>
      <c r="G5" s="68">
        <v>2891.08</v>
      </c>
      <c r="H5" s="68">
        <v>1202.01</v>
      </c>
      <c r="I5" s="4" t="s">
        <v>124</v>
      </c>
    </row>
    <row r="6" spans="1:9" s="54" customFormat="1">
      <c r="A6" s="53">
        <v>3</v>
      </c>
      <c r="B6" s="52" t="s">
        <v>174</v>
      </c>
      <c r="C6" s="4" t="s">
        <v>10</v>
      </c>
      <c r="D6" s="4" t="s">
        <v>4456</v>
      </c>
      <c r="E6" s="63">
        <v>23600000</v>
      </c>
      <c r="F6" s="68">
        <v>4443.7700000000004</v>
      </c>
      <c r="G6" s="68">
        <v>3491.92</v>
      </c>
      <c r="H6" s="68">
        <v>951.85</v>
      </c>
      <c r="I6" s="4" t="s">
        <v>114</v>
      </c>
    </row>
    <row r="7" spans="1:9" s="54" customFormat="1">
      <c r="A7" s="53">
        <v>4</v>
      </c>
      <c r="B7" s="52" t="s">
        <v>173</v>
      </c>
      <c r="C7" s="4" t="s">
        <v>10</v>
      </c>
      <c r="D7" s="4" t="s">
        <v>4456</v>
      </c>
      <c r="E7" s="63">
        <v>19400000</v>
      </c>
      <c r="F7" s="68">
        <v>2645.45</v>
      </c>
      <c r="G7" s="68">
        <v>1900.15</v>
      </c>
      <c r="H7" s="68">
        <v>745.29</v>
      </c>
      <c r="I7" s="4" t="s">
        <v>117</v>
      </c>
    </row>
    <row r="8" spans="1:9" s="54" customFormat="1">
      <c r="A8" s="53">
        <v>5</v>
      </c>
      <c r="B8" s="52" t="s">
        <v>172</v>
      </c>
      <c r="C8" s="4" t="s">
        <v>10</v>
      </c>
      <c r="D8" s="4" t="s">
        <v>4456</v>
      </c>
      <c r="E8" s="63">
        <v>19800000</v>
      </c>
      <c r="F8" s="68">
        <v>3354.36</v>
      </c>
      <c r="G8" s="68">
        <v>2289.0500000000002</v>
      </c>
      <c r="H8" s="68">
        <v>1065.3</v>
      </c>
      <c r="I8" s="4" t="s">
        <v>117</v>
      </c>
    </row>
    <row r="9" spans="1:9" s="54" customFormat="1">
      <c r="A9" s="53">
        <v>6</v>
      </c>
      <c r="B9" s="52" t="s">
        <v>171</v>
      </c>
      <c r="C9" s="4" t="s">
        <v>10</v>
      </c>
      <c r="D9" s="4" t="s">
        <v>4456</v>
      </c>
      <c r="E9" s="63">
        <v>23000000</v>
      </c>
      <c r="F9" s="68">
        <v>5392.29</v>
      </c>
      <c r="G9" s="68">
        <v>3005.61</v>
      </c>
      <c r="H9" s="68">
        <v>2386.6799999999998</v>
      </c>
      <c r="I9" s="4" t="s">
        <v>114</v>
      </c>
    </row>
    <row r="10" spans="1:9" s="54" customFormat="1">
      <c r="A10" s="53">
        <v>7</v>
      </c>
      <c r="B10" s="52" t="s">
        <v>170</v>
      </c>
      <c r="C10" s="4" t="s">
        <v>9</v>
      </c>
      <c r="D10" s="4" t="s">
        <v>4457</v>
      </c>
      <c r="E10" s="63">
        <v>38600000</v>
      </c>
      <c r="F10" s="68">
        <v>4800.6000000000004</v>
      </c>
      <c r="G10" s="68">
        <v>4050.46</v>
      </c>
      <c r="H10" s="68">
        <v>750.14</v>
      </c>
      <c r="I10" s="4" t="s">
        <v>124</v>
      </c>
    </row>
    <row r="11" spans="1:9" s="54" customFormat="1">
      <c r="A11" s="53">
        <v>8</v>
      </c>
      <c r="B11" s="52" t="s">
        <v>169</v>
      </c>
      <c r="C11" s="4" t="s">
        <v>9</v>
      </c>
      <c r="D11" s="4" t="s">
        <v>4456</v>
      </c>
      <c r="E11" s="63">
        <v>24600000</v>
      </c>
      <c r="F11" s="68">
        <v>3535.2</v>
      </c>
      <c r="G11" s="68">
        <v>2031.8</v>
      </c>
      <c r="H11" s="68">
        <v>1503.4</v>
      </c>
      <c r="I11" s="4" t="s">
        <v>158</v>
      </c>
    </row>
    <row r="12" spans="1:9" s="54" customFormat="1">
      <c r="A12" s="53">
        <v>9</v>
      </c>
      <c r="B12" s="52" t="s">
        <v>168</v>
      </c>
      <c r="C12" s="4" t="s">
        <v>9</v>
      </c>
      <c r="D12" s="4" t="s">
        <v>4456</v>
      </c>
      <c r="E12" s="63">
        <v>19900000</v>
      </c>
      <c r="F12" s="68">
        <v>2645.77</v>
      </c>
      <c r="G12" s="68">
        <v>1954.51</v>
      </c>
      <c r="H12" s="68">
        <v>691.26</v>
      </c>
      <c r="I12" s="4" t="s">
        <v>117</v>
      </c>
    </row>
    <row r="13" spans="1:9" s="54" customFormat="1">
      <c r="A13" s="53">
        <v>10</v>
      </c>
      <c r="B13" s="52" t="s">
        <v>167</v>
      </c>
      <c r="C13" s="4" t="s">
        <v>8</v>
      </c>
      <c r="D13" s="4" t="s">
        <v>4457</v>
      </c>
      <c r="E13" s="63">
        <v>38200000</v>
      </c>
      <c r="F13" s="68">
        <v>4451.95</v>
      </c>
      <c r="G13" s="68">
        <v>3738.52</v>
      </c>
      <c r="H13" s="68">
        <v>713.43</v>
      </c>
      <c r="I13" s="4" t="s">
        <v>124</v>
      </c>
    </row>
    <row r="14" spans="1:9" s="54" customFormat="1">
      <c r="A14" s="53">
        <v>11</v>
      </c>
      <c r="B14" s="52" t="s">
        <v>166</v>
      </c>
      <c r="C14" s="4" t="s">
        <v>9</v>
      </c>
      <c r="D14" s="4" t="s">
        <v>4456</v>
      </c>
      <c r="E14" s="63">
        <v>19900000</v>
      </c>
      <c r="F14" s="68">
        <v>3106.68</v>
      </c>
      <c r="G14" s="68">
        <v>2001.23</v>
      </c>
      <c r="H14" s="68">
        <v>1105.45</v>
      </c>
      <c r="I14" s="4" t="s">
        <v>117</v>
      </c>
    </row>
    <row r="15" spans="1:9" s="54" customFormat="1">
      <c r="A15" s="53">
        <v>12</v>
      </c>
      <c r="B15" s="52" t="s">
        <v>165</v>
      </c>
      <c r="C15" s="4" t="s">
        <v>9</v>
      </c>
      <c r="D15" s="4" t="s">
        <v>4456</v>
      </c>
      <c r="E15" s="63">
        <v>22600000</v>
      </c>
      <c r="F15" s="68">
        <v>4178.12</v>
      </c>
      <c r="G15" s="68">
        <v>2432.21</v>
      </c>
      <c r="H15" s="68">
        <v>1745.91</v>
      </c>
      <c r="I15" s="4" t="s">
        <v>114</v>
      </c>
    </row>
    <row r="16" spans="1:9" s="54" customFormat="1">
      <c r="A16" s="53">
        <v>13</v>
      </c>
      <c r="B16" s="52" t="s">
        <v>164</v>
      </c>
      <c r="C16" s="4" t="s">
        <v>8</v>
      </c>
      <c r="D16" s="4" t="s">
        <v>4456</v>
      </c>
      <c r="E16" s="63">
        <v>19950000</v>
      </c>
      <c r="F16" s="68">
        <v>2677.96</v>
      </c>
      <c r="G16" s="68">
        <v>1974.32</v>
      </c>
      <c r="H16" s="68">
        <v>703.64</v>
      </c>
      <c r="I16" s="4" t="s">
        <v>117</v>
      </c>
    </row>
    <row r="17" spans="1:9" s="54" customFormat="1">
      <c r="A17" s="53">
        <v>14</v>
      </c>
      <c r="B17" s="52" t="s">
        <v>163</v>
      </c>
      <c r="C17" s="4" t="s">
        <v>8</v>
      </c>
      <c r="D17" s="4" t="s">
        <v>4456</v>
      </c>
      <c r="E17" s="63">
        <v>24800000</v>
      </c>
      <c r="F17" s="68">
        <v>3709.89</v>
      </c>
      <c r="G17" s="68">
        <v>2231.25</v>
      </c>
      <c r="H17" s="68">
        <v>1478.64</v>
      </c>
      <c r="I17" s="4" t="s">
        <v>158</v>
      </c>
    </row>
    <row r="18" spans="1:9" s="54" customFormat="1">
      <c r="A18" s="53">
        <v>15</v>
      </c>
      <c r="B18" s="52" t="s">
        <v>162</v>
      </c>
      <c r="C18" s="4" t="s">
        <v>8</v>
      </c>
      <c r="D18" s="4" t="s">
        <v>4456</v>
      </c>
      <c r="E18" s="63">
        <v>28400000</v>
      </c>
      <c r="F18" s="68">
        <v>4104.17</v>
      </c>
      <c r="G18" s="68">
        <v>3245.21</v>
      </c>
      <c r="H18" s="68">
        <v>858.96</v>
      </c>
      <c r="I18" s="4" t="s">
        <v>124</v>
      </c>
    </row>
    <row r="19" spans="1:9" s="54" customFormat="1">
      <c r="A19" s="53">
        <v>16</v>
      </c>
      <c r="B19" s="52" t="s">
        <v>161</v>
      </c>
      <c r="C19" s="4" t="s">
        <v>7</v>
      </c>
      <c r="D19" s="4" t="s">
        <v>4457</v>
      </c>
      <c r="E19" s="63">
        <v>38200000</v>
      </c>
      <c r="F19" s="68">
        <v>4169.3</v>
      </c>
      <c r="G19" s="68">
        <v>3421.85</v>
      </c>
      <c r="H19" s="68">
        <v>747.45</v>
      </c>
      <c r="I19" s="4" t="s">
        <v>124</v>
      </c>
    </row>
    <row r="20" spans="1:9" s="54" customFormat="1">
      <c r="A20" s="53">
        <v>17</v>
      </c>
      <c r="B20" s="52" t="s">
        <v>160</v>
      </c>
      <c r="C20" s="4" t="s">
        <v>8</v>
      </c>
      <c r="D20" s="4" t="s">
        <v>4457</v>
      </c>
      <c r="E20" s="63">
        <v>37000000</v>
      </c>
      <c r="F20" s="68">
        <v>5903.14</v>
      </c>
      <c r="G20" s="68">
        <v>4123.76</v>
      </c>
      <c r="H20" s="68">
        <v>1779.38</v>
      </c>
      <c r="I20" s="4" t="s">
        <v>143</v>
      </c>
    </row>
    <row r="21" spans="1:9" s="54" customFormat="1">
      <c r="A21" s="53">
        <v>18</v>
      </c>
      <c r="B21" s="52" t="s">
        <v>159</v>
      </c>
      <c r="C21" s="4" t="s">
        <v>7</v>
      </c>
      <c r="D21" s="4" t="s">
        <v>4456</v>
      </c>
      <c r="E21" s="63">
        <v>25000000</v>
      </c>
      <c r="F21" s="68">
        <v>3872.32</v>
      </c>
      <c r="G21" s="68">
        <v>2342.5500000000002</v>
      </c>
      <c r="H21" s="68">
        <v>1529.77</v>
      </c>
      <c r="I21" s="4" t="s">
        <v>158</v>
      </c>
    </row>
    <row r="22" spans="1:9" s="54" customFormat="1">
      <c r="A22" s="53">
        <v>19</v>
      </c>
      <c r="B22" s="52" t="s">
        <v>157</v>
      </c>
      <c r="C22" s="4" t="s">
        <v>7</v>
      </c>
      <c r="D22" s="4" t="s">
        <v>4456</v>
      </c>
      <c r="E22" s="63">
        <v>24000000</v>
      </c>
      <c r="F22" s="68">
        <v>3659.09</v>
      </c>
      <c r="G22" s="68">
        <v>2954.91</v>
      </c>
      <c r="H22" s="68">
        <v>704.18</v>
      </c>
      <c r="I22" s="4" t="s">
        <v>114</v>
      </c>
    </row>
    <row r="23" spans="1:9" s="54" customFormat="1">
      <c r="A23" s="53">
        <v>20</v>
      </c>
      <c r="B23" s="52" t="s">
        <v>156</v>
      </c>
      <c r="C23" s="4" t="s">
        <v>7</v>
      </c>
      <c r="D23" s="4" t="s">
        <v>4456</v>
      </c>
      <c r="E23" s="63">
        <v>19950000</v>
      </c>
      <c r="F23" s="68">
        <v>2340.4</v>
      </c>
      <c r="G23" s="68">
        <v>1978.62</v>
      </c>
      <c r="H23" s="68">
        <v>361.78</v>
      </c>
      <c r="I23" s="4" t="s">
        <v>117</v>
      </c>
    </row>
    <row r="24" spans="1:9" s="54" customFormat="1">
      <c r="A24" s="53">
        <v>21</v>
      </c>
      <c r="B24" s="52" t="s">
        <v>155</v>
      </c>
      <c r="C24" s="4" t="s">
        <v>6</v>
      </c>
      <c r="D24" s="4" t="s">
        <v>4457</v>
      </c>
      <c r="E24" s="63">
        <v>38600000</v>
      </c>
      <c r="F24" s="68">
        <v>6298.29</v>
      </c>
      <c r="G24" s="68">
        <v>4402.12</v>
      </c>
      <c r="H24" s="68">
        <v>1896.17</v>
      </c>
      <c r="I24" s="4" t="s">
        <v>116</v>
      </c>
    </row>
    <row r="25" spans="1:9" s="54" customFormat="1">
      <c r="A25" s="53">
        <v>22</v>
      </c>
      <c r="B25" s="52" t="s">
        <v>4673</v>
      </c>
      <c r="C25" s="4" t="s">
        <v>6</v>
      </c>
      <c r="D25" s="4" t="s">
        <v>4456</v>
      </c>
      <c r="E25" s="63">
        <v>25200000</v>
      </c>
      <c r="F25" s="68">
        <v>4544.2</v>
      </c>
      <c r="G25" s="68">
        <v>3119.17</v>
      </c>
      <c r="H25" s="68">
        <v>1425.03</v>
      </c>
      <c r="I25" s="4" t="s">
        <v>143</v>
      </c>
    </row>
    <row r="26" spans="1:9" s="54" customFormat="1">
      <c r="A26" s="53">
        <v>23</v>
      </c>
      <c r="B26" s="52" t="s">
        <v>154</v>
      </c>
      <c r="C26" s="4" t="s">
        <v>6</v>
      </c>
      <c r="D26" s="4" t="s">
        <v>4456</v>
      </c>
      <c r="E26" s="63">
        <v>24200000</v>
      </c>
      <c r="F26" s="68">
        <v>3456.08</v>
      </c>
      <c r="G26" s="68">
        <v>2828.76</v>
      </c>
      <c r="H26" s="68">
        <v>627.32000000000005</v>
      </c>
      <c r="I26" s="4" t="s">
        <v>114</v>
      </c>
    </row>
    <row r="27" spans="1:9" s="54" customFormat="1">
      <c r="A27" s="53">
        <v>24</v>
      </c>
      <c r="B27" s="52" t="s">
        <v>153</v>
      </c>
      <c r="C27" s="4" t="s">
        <v>4458</v>
      </c>
      <c r="D27" s="4" t="s">
        <v>4457</v>
      </c>
      <c r="E27" s="63">
        <v>38800000</v>
      </c>
      <c r="F27" s="68">
        <v>6203.35</v>
      </c>
      <c r="G27" s="68">
        <v>4264.12</v>
      </c>
      <c r="H27" s="68">
        <v>1939.23</v>
      </c>
      <c r="I27" s="4" t="s">
        <v>116</v>
      </c>
    </row>
    <row r="28" spans="1:9" s="54" customFormat="1">
      <c r="A28" s="53">
        <v>25</v>
      </c>
      <c r="B28" s="52" t="s">
        <v>152</v>
      </c>
      <c r="C28" s="4" t="s">
        <v>4458</v>
      </c>
      <c r="D28" s="4" t="s">
        <v>4456</v>
      </c>
      <c r="E28" s="63">
        <v>25200000</v>
      </c>
      <c r="F28" s="68">
        <v>3949.38</v>
      </c>
      <c r="G28" s="68">
        <v>2799.26</v>
      </c>
      <c r="H28" s="68">
        <v>1150.1199999999999</v>
      </c>
      <c r="I28" s="4" t="s">
        <v>143</v>
      </c>
    </row>
    <row r="29" spans="1:9" s="54" customFormat="1">
      <c r="A29" s="53">
        <v>26</v>
      </c>
      <c r="B29" s="52" t="s">
        <v>151</v>
      </c>
      <c r="C29" s="4" t="s">
        <v>4458</v>
      </c>
      <c r="D29" s="4" t="s">
        <v>4456</v>
      </c>
      <c r="E29" s="63">
        <v>24400000</v>
      </c>
      <c r="F29" s="68">
        <v>3379.76</v>
      </c>
      <c r="G29" s="68">
        <v>2766.43</v>
      </c>
      <c r="H29" s="68">
        <v>613.33000000000004</v>
      </c>
      <c r="I29" s="4" t="s">
        <v>114</v>
      </c>
    </row>
    <row r="30" spans="1:9" s="54" customFormat="1">
      <c r="A30" s="53">
        <v>27</v>
      </c>
      <c r="B30" s="52" t="s">
        <v>150</v>
      </c>
      <c r="C30" s="4" t="s">
        <v>4</v>
      </c>
      <c r="D30" s="4" t="s">
        <v>4456</v>
      </c>
      <c r="E30" s="63">
        <v>25200000</v>
      </c>
      <c r="F30" s="68">
        <v>3643.26</v>
      </c>
      <c r="G30" s="68">
        <v>2481.3000000000002</v>
      </c>
      <c r="H30" s="68">
        <v>1161.96</v>
      </c>
      <c r="I30" s="4" t="s">
        <v>143</v>
      </c>
    </row>
    <row r="31" spans="1:9" s="54" customFormat="1">
      <c r="A31" s="53">
        <v>28</v>
      </c>
      <c r="B31" s="52" t="s">
        <v>149</v>
      </c>
      <c r="C31" s="4" t="s">
        <v>4</v>
      </c>
      <c r="D31" s="4" t="s">
        <v>4456</v>
      </c>
      <c r="E31" s="63">
        <v>24600000</v>
      </c>
      <c r="F31" s="68">
        <v>3212.59</v>
      </c>
      <c r="G31" s="68">
        <v>2700.23</v>
      </c>
      <c r="H31" s="68">
        <v>512.36</v>
      </c>
      <c r="I31" s="4" t="s">
        <v>114</v>
      </c>
    </row>
    <row r="32" spans="1:9" s="54" customFormat="1">
      <c r="A32" s="53">
        <v>29</v>
      </c>
      <c r="B32" s="52" t="s">
        <v>148</v>
      </c>
      <c r="C32" s="4" t="s">
        <v>5</v>
      </c>
      <c r="D32" s="4" t="s">
        <v>4456</v>
      </c>
      <c r="E32" s="63">
        <v>24800000</v>
      </c>
      <c r="F32" s="68">
        <v>3121.75</v>
      </c>
      <c r="G32" s="68">
        <v>2652.01</v>
      </c>
      <c r="H32" s="68">
        <v>469.74</v>
      </c>
      <c r="I32" s="4" t="s">
        <v>114</v>
      </c>
    </row>
    <row r="33" spans="1:9" s="54" customFormat="1">
      <c r="A33" s="53">
        <v>30</v>
      </c>
      <c r="B33" s="52" t="s">
        <v>147</v>
      </c>
      <c r="C33" s="4" t="s">
        <v>5</v>
      </c>
      <c r="D33" s="4" t="s">
        <v>4457</v>
      </c>
      <c r="E33" s="63">
        <v>39000000</v>
      </c>
      <c r="F33" s="68">
        <v>5885.49</v>
      </c>
      <c r="G33" s="68">
        <v>3838.41</v>
      </c>
      <c r="H33" s="68">
        <v>2047.08</v>
      </c>
      <c r="I33" s="4" t="s">
        <v>116</v>
      </c>
    </row>
    <row r="34" spans="1:9" s="54" customFormat="1">
      <c r="A34" s="53">
        <v>31</v>
      </c>
      <c r="B34" s="52" t="s">
        <v>146</v>
      </c>
      <c r="C34" s="4" t="s">
        <v>5</v>
      </c>
      <c r="D34" s="4" t="s">
        <v>4456</v>
      </c>
      <c r="E34" s="63">
        <v>25200000</v>
      </c>
      <c r="F34" s="68">
        <v>3266.42</v>
      </c>
      <c r="G34" s="68">
        <v>2218.23</v>
      </c>
      <c r="H34" s="68">
        <v>1048.19</v>
      </c>
      <c r="I34" s="4" t="s">
        <v>143</v>
      </c>
    </row>
    <row r="35" spans="1:9" s="54" customFormat="1">
      <c r="A35" s="53">
        <v>32</v>
      </c>
      <c r="B35" s="52" t="s">
        <v>866</v>
      </c>
      <c r="C35" s="4" t="s">
        <v>4459</v>
      </c>
      <c r="D35" s="4" t="s">
        <v>4457</v>
      </c>
      <c r="E35" s="63">
        <v>39000000</v>
      </c>
      <c r="F35" s="68">
        <v>4295.55</v>
      </c>
      <c r="G35" s="68">
        <v>3410.33</v>
      </c>
      <c r="H35" s="68">
        <v>885.22</v>
      </c>
      <c r="I35" s="4" t="s">
        <v>124</v>
      </c>
    </row>
    <row r="36" spans="1:9">
      <c r="A36" s="53">
        <v>33</v>
      </c>
      <c r="B36" s="52" t="s">
        <v>145</v>
      </c>
      <c r="C36" s="4" t="s">
        <v>4459</v>
      </c>
      <c r="D36" s="4" t="s">
        <v>4456</v>
      </c>
      <c r="E36" s="63">
        <v>21200000</v>
      </c>
      <c r="F36" s="68">
        <v>2199.17</v>
      </c>
      <c r="G36" s="68">
        <v>1862.69</v>
      </c>
      <c r="H36" s="68">
        <v>336.48</v>
      </c>
      <c r="I36" s="4" t="s">
        <v>114</v>
      </c>
    </row>
    <row r="37" spans="1:9">
      <c r="A37" s="53">
        <v>34</v>
      </c>
      <c r="B37" s="52" t="s">
        <v>115</v>
      </c>
      <c r="C37" s="4" t="s">
        <v>32</v>
      </c>
      <c r="D37" s="4" t="s">
        <v>4456</v>
      </c>
      <c r="E37" s="63">
        <v>21400000</v>
      </c>
      <c r="F37" s="68">
        <v>2162.58</v>
      </c>
      <c r="G37" s="68">
        <v>1820.93</v>
      </c>
      <c r="H37" s="68">
        <v>341.65</v>
      </c>
      <c r="I37" s="4" t="s">
        <v>114</v>
      </c>
    </row>
    <row r="38" spans="1:9">
      <c r="A38" s="53">
        <v>35</v>
      </c>
      <c r="B38" s="52" t="s">
        <v>144</v>
      </c>
      <c r="C38" s="4" t="s">
        <v>12</v>
      </c>
      <c r="D38" s="4" t="s">
        <v>4456</v>
      </c>
      <c r="E38" s="63">
        <v>26000000</v>
      </c>
      <c r="F38" s="68">
        <v>3558.87</v>
      </c>
      <c r="G38" s="68">
        <v>2298.42</v>
      </c>
      <c r="H38" s="68">
        <v>1260.45</v>
      </c>
      <c r="I38" s="4" t="s">
        <v>143</v>
      </c>
    </row>
    <row r="39" spans="1:9">
      <c r="A39" s="53">
        <v>36</v>
      </c>
      <c r="B39" s="52" t="s">
        <v>683</v>
      </c>
      <c r="C39" s="4" t="s">
        <v>4460</v>
      </c>
      <c r="D39" s="4" t="s">
        <v>4456</v>
      </c>
      <c r="E39" s="63">
        <v>19500000</v>
      </c>
      <c r="F39" s="68">
        <v>2028.03</v>
      </c>
      <c r="G39" s="68">
        <v>1812.97</v>
      </c>
      <c r="H39" s="68">
        <v>215.06</v>
      </c>
      <c r="I39" s="4" t="s">
        <v>114</v>
      </c>
    </row>
    <row r="40" spans="1:9">
      <c r="A40" s="53">
        <v>37</v>
      </c>
      <c r="B40" s="52" t="s">
        <v>867</v>
      </c>
      <c r="C40" s="4" t="s">
        <v>4461</v>
      </c>
      <c r="D40" s="4" t="s">
        <v>4457</v>
      </c>
      <c r="E40" s="63">
        <v>39800000</v>
      </c>
      <c r="F40" s="68">
        <v>4164.0200000000004</v>
      </c>
      <c r="G40" s="68">
        <v>3015.29</v>
      </c>
      <c r="H40" s="68">
        <v>1148.72</v>
      </c>
      <c r="I40" s="4" t="s">
        <v>124</v>
      </c>
    </row>
    <row r="41" spans="1:9">
      <c r="A41" s="53">
        <v>38</v>
      </c>
      <c r="B41" s="52" t="s">
        <v>142</v>
      </c>
      <c r="C41" s="4" t="s">
        <v>34</v>
      </c>
      <c r="D41" s="4" t="s">
        <v>4456</v>
      </c>
      <c r="E41" s="63">
        <v>25600000</v>
      </c>
      <c r="F41" s="68">
        <v>2921.22</v>
      </c>
      <c r="G41" s="68">
        <v>2417.36</v>
      </c>
      <c r="H41" s="68">
        <v>503.86</v>
      </c>
      <c r="I41" s="4" t="s">
        <v>114</v>
      </c>
    </row>
    <row r="42" spans="1:9">
      <c r="A42" s="53">
        <v>39</v>
      </c>
      <c r="B42" s="52" t="s">
        <v>141</v>
      </c>
      <c r="C42" s="4" t="s">
        <v>33</v>
      </c>
      <c r="D42" s="4" t="s">
        <v>4456</v>
      </c>
      <c r="E42" s="63">
        <v>24400000</v>
      </c>
      <c r="F42" s="68">
        <v>3739.49</v>
      </c>
      <c r="G42" s="68">
        <v>2424.0300000000002</v>
      </c>
      <c r="H42" s="68">
        <v>1315.46</v>
      </c>
      <c r="I42" s="4" t="s">
        <v>117</v>
      </c>
    </row>
    <row r="43" spans="1:9">
      <c r="A43" s="53">
        <v>40</v>
      </c>
      <c r="B43" s="52" t="s">
        <v>140</v>
      </c>
      <c r="C43" s="4" t="s">
        <v>4462</v>
      </c>
      <c r="D43" s="4" t="s">
        <v>4456</v>
      </c>
      <c r="E43" s="63">
        <v>25000000</v>
      </c>
      <c r="F43" s="68">
        <v>3041.45</v>
      </c>
      <c r="G43" s="68">
        <v>2396.69</v>
      </c>
      <c r="H43" s="68">
        <v>644.76</v>
      </c>
      <c r="I43" s="4" t="s">
        <v>117</v>
      </c>
    </row>
    <row r="44" spans="1:9">
      <c r="A44" s="53">
        <v>41</v>
      </c>
      <c r="B44" s="52" t="s">
        <v>4674</v>
      </c>
      <c r="C44" s="4" t="s">
        <v>4463</v>
      </c>
      <c r="D44" s="4" t="s">
        <v>4457</v>
      </c>
      <c r="E44" s="63">
        <v>42000000</v>
      </c>
      <c r="F44" s="68">
        <v>4973.46</v>
      </c>
      <c r="G44" s="68">
        <v>3896.86</v>
      </c>
      <c r="H44" s="68">
        <v>1076.6099999999999</v>
      </c>
      <c r="I44" s="4" t="s">
        <v>124</v>
      </c>
    </row>
    <row r="45" spans="1:9">
      <c r="A45" s="53">
        <v>42</v>
      </c>
      <c r="B45" s="52" t="s">
        <v>139</v>
      </c>
      <c r="C45" s="4" t="s">
        <v>4463</v>
      </c>
      <c r="D45" s="4" t="s">
        <v>4456</v>
      </c>
      <c r="E45" s="63">
        <v>25200000</v>
      </c>
      <c r="F45" s="68">
        <v>3038.44</v>
      </c>
      <c r="G45" s="68">
        <v>2396.69</v>
      </c>
      <c r="H45" s="68">
        <v>641.74</v>
      </c>
      <c r="I45" s="4" t="s">
        <v>117</v>
      </c>
    </row>
    <row r="46" spans="1:9">
      <c r="A46" s="53">
        <v>43</v>
      </c>
      <c r="B46" s="52" t="s">
        <v>138</v>
      </c>
      <c r="C46" s="4" t="s">
        <v>4464</v>
      </c>
      <c r="D46" s="4" t="s">
        <v>4456</v>
      </c>
      <c r="E46" s="63">
        <v>25600000</v>
      </c>
      <c r="F46" s="68">
        <v>2936.39</v>
      </c>
      <c r="G46" s="68">
        <v>2396.69</v>
      </c>
      <c r="H46" s="68">
        <v>539.70000000000005</v>
      </c>
      <c r="I46" s="4" t="s">
        <v>117</v>
      </c>
    </row>
    <row r="47" spans="1:9">
      <c r="A47" s="53">
        <v>44</v>
      </c>
      <c r="B47" s="52" t="s">
        <v>868</v>
      </c>
      <c r="C47" s="4" t="s">
        <v>4464</v>
      </c>
      <c r="D47" s="4" t="s">
        <v>4456</v>
      </c>
      <c r="E47" s="63">
        <v>31600000</v>
      </c>
      <c r="F47" s="68">
        <v>3088.49</v>
      </c>
      <c r="G47" s="68">
        <v>2111.9899999999998</v>
      </c>
      <c r="H47" s="68">
        <v>976.5</v>
      </c>
      <c r="I47" s="4" t="s">
        <v>124</v>
      </c>
    </row>
    <row r="48" spans="1:9">
      <c r="A48" s="53">
        <v>45</v>
      </c>
      <c r="B48" s="52" t="s">
        <v>137</v>
      </c>
      <c r="C48" s="4" t="s">
        <v>4464</v>
      </c>
      <c r="D48" s="4" t="s">
        <v>4457</v>
      </c>
      <c r="E48" s="63">
        <v>42000000</v>
      </c>
      <c r="F48" s="68">
        <v>4071.98</v>
      </c>
      <c r="G48" s="68">
        <v>3173.95</v>
      </c>
      <c r="H48" s="68">
        <v>898.03</v>
      </c>
      <c r="I48" s="4" t="s">
        <v>124</v>
      </c>
    </row>
    <row r="49" spans="1:9">
      <c r="A49" s="53">
        <v>46</v>
      </c>
      <c r="B49" s="52" t="s">
        <v>136</v>
      </c>
      <c r="C49" s="4" t="s">
        <v>4465</v>
      </c>
      <c r="D49" s="4" t="s">
        <v>4456</v>
      </c>
      <c r="E49" s="63">
        <v>25800000</v>
      </c>
      <c r="F49" s="68">
        <v>2931.87</v>
      </c>
      <c r="G49" s="68">
        <v>2394.75</v>
      </c>
      <c r="H49" s="68">
        <v>537.12</v>
      </c>
      <c r="I49" s="4" t="s">
        <v>117</v>
      </c>
    </row>
    <row r="50" spans="1:9">
      <c r="A50" s="53">
        <v>47</v>
      </c>
      <c r="B50" s="52" t="s">
        <v>135</v>
      </c>
      <c r="C50" s="4" t="s">
        <v>4465</v>
      </c>
      <c r="D50" s="4" t="s">
        <v>4457</v>
      </c>
      <c r="E50" s="63">
        <v>42200000</v>
      </c>
      <c r="F50" s="68">
        <v>4060.9</v>
      </c>
      <c r="G50" s="68">
        <v>3173.95</v>
      </c>
      <c r="H50" s="68">
        <v>886.95</v>
      </c>
      <c r="I50" s="4" t="s">
        <v>124</v>
      </c>
    </row>
    <row r="51" spans="1:9">
      <c r="A51" s="53">
        <v>48</v>
      </c>
      <c r="B51" s="52" t="s">
        <v>134</v>
      </c>
      <c r="C51" s="4" t="s">
        <v>4466</v>
      </c>
      <c r="D51" s="4" t="s">
        <v>4457</v>
      </c>
      <c r="E51" s="63">
        <v>42400000</v>
      </c>
      <c r="F51" s="68">
        <v>4032.27</v>
      </c>
      <c r="G51" s="68">
        <v>3173.95</v>
      </c>
      <c r="H51" s="68">
        <v>858.31</v>
      </c>
      <c r="I51" s="4" t="s">
        <v>124</v>
      </c>
    </row>
    <row r="52" spans="1:9">
      <c r="A52" s="53">
        <v>49</v>
      </c>
      <c r="B52" s="52" t="s">
        <v>133</v>
      </c>
      <c r="C52" s="4" t="s">
        <v>4466</v>
      </c>
      <c r="D52" s="4" t="s">
        <v>4456</v>
      </c>
      <c r="E52" s="63">
        <v>26000000</v>
      </c>
      <c r="F52" s="68">
        <v>2983.97</v>
      </c>
      <c r="G52" s="68">
        <v>2397.34</v>
      </c>
      <c r="H52" s="68">
        <v>586.63</v>
      </c>
      <c r="I52" s="4" t="s">
        <v>117</v>
      </c>
    </row>
    <row r="53" spans="1:9">
      <c r="A53" s="53">
        <v>50</v>
      </c>
      <c r="B53" s="52" t="s">
        <v>132</v>
      </c>
      <c r="C53" s="4" t="s">
        <v>4467</v>
      </c>
      <c r="D53" s="4" t="s">
        <v>4457</v>
      </c>
      <c r="E53" s="63">
        <v>42600000</v>
      </c>
      <c r="F53" s="68">
        <v>3952.4</v>
      </c>
      <c r="G53" s="68">
        <v>3164.16</v>
      </c>
      <c r="H53" s="68">
        <v>788.24</v>
      </c>
      <c r="I53" s="4" t="s">
        <v>124</v>
      </c>
    </row>
    <row r="54" spans="1:9">
      <c r="A54" s="53">
        <v>51</v>
      </c>
      <c r="B54" s="52" t="s">
        <v>131</v>
      </c>
      <c r="C54" s="4" t="s">
        <v>4467</v>
      </c>
      <c r="D54" s="4" t="s">
        <v>4456</v>
      </c>
      <c r="E54" s="63">
        <v>26200000</v>
      </c>
      <c r="F54" s="68">
        <v>3013.57</v>
      </c>
      <c r="G54" s="68">
        <v>2397.34</v>
      </c>
      <c r="H54" s="68">
        <v>616.23</v>
      </c>
      <c r="I54" s="4" t="s">
        <v>117</v>
      </c>
    </row>
    <row r="55" spans="1:9">
      <c r="A55" s="53">
        <v>52</v>
      </c>
      <c r="B55" s="52" t="s">
        <v>130</v>
      </c>
      <c r="C55" s="4" t="s">
        <v>4468</v>
      </c>
      <c r="D55" s="4" t="s">
        <v>4456</v>
      </c>
      <c r="E55" s="63">
        <v>26400000</v>
      </c>
      <c r="F55" s="68">
        <v>2954.91</v>
      </c>
      <c r="G55" s="68">
        <v>2396.69</v>
      </c>
      <c r="H55" s="68">
        <v>558.22</v>
      </c>
      <c r="I55" s="4" t="s">
        <v>117</v>
      </c>
    </row>
    <row r="56" spans="1:9">
      <c r="A56" s="53">
        <v>53</v>
      </c>
      <c r="B56" s="52" t="s">
        <v>129</v>
      </c>
      <c r="C56" s="4" t="s">
        <v>4468</v>
      </c>
      <c r="D56" s="4" t="s">
        <v>4457</v>
      </c>
      <c r="E56" s="63">
        <v>42800000</v>
      </c>
      <c r="F56" s="68">
        <v>3859.18</v>
      </c>
      <c r="G56" s="68">
        <v>3163.73</v>
      </c>
      <c r="H56" s="68">
        <v>695.46</v>
      </c>
      <c r="I56" s="4" t="s">
        <v>124</v>
      </c>
    </row>
    <row r="57" spans="1:9">
      <c r="A57" s="53">
        <v>54</v>
      </c>
      <c r="B57" s="52" t="s">
        <v>128</v>
      </c>
      <c r="C57" s="4" t="s">
        <v>4469</v>
      </c>
      <c r="D57" s="4" t="s">
        <v>4456</v>
      </c>
      <c r="E57" s="63">
        <v>26600000</v>
      </c>
      <c r="F57" s="68">
        <v>3017.99</v>
      </c>
      <c r="G57" s="68">
        <v>2396.69</v>
      </c>
      <c r="H57" s="68">
        <v>621.29</v>
      </c>
      <c r="I57" s="4" t="s">
        <v>117</v>
      </c>
    </row>
    <row r="58" spans="1:9">
      <c r="A58" s="53">
        <v>55</v>
      </c>
      <c r="B58" s="52" t="s">
        <v>127</v>
      </c>
      <c r="C58" s="4" t="s">
        <v>4470</v>
      </c>
      <c r="D58" s="4" t="s">
        <v>4456</v>
      </c>
      <c r="E58" s="63">
        <v>26800000</v>
      </c>
      <c r="F58" s="68">
        <v>3018.31</v>
      </c>
      <c r="G58" s="68">
        <v>2394.86</v>
      </c>
      <c r="H58" s="68">
        <v>623.45000000000005</v>
      </c>
      <c r="I58" s="4" t="s">
        <v>117</v>
      </c>
    </row>
    <row r="59" spans="1:9">
      <c r="A59" s="53">
        <v>56</v>
      </c>
      <c r="B59" s="52" t="s">
        <v>126</v>
      </c>
      <c r="C59" s="4" t="s">
        <v>4471</v>
      </c>
      <c r="D59" s="4" t="s">
        <v>4456</v>
      </c>
      <c r="E59" s="63">
        <v>27000000</v>
      </c>
      <c r="F59" s="68">
        <v>3002.16</v>
      </c>
      <c r="G59" s="68">
        <v>2394.86</v>
      </c>
      <c r="H59" s="68">
        <v>607.29999999999995</v>
      </c>
      <c r="I59" s="4" t="s">
        <v>117</v>
      </c>
    </row>
    <row r="60" spans="1:9">
      <c r="A60" s="53">
        <v>57</v>
      </c>
      <c r="B60" s="52" t="s">
        <v>869</v>
      </c>
      <c r="C60" s="4" t="s">
        <v>4471</v>
      </c>
      <c r="D60" s="4" t="s">
        <v>4456</v>
      </c>
      <c r="E60" s="63">
        <v>33200000</v>
      </c>
      <c r="F60" s="68">
        <v>2458.8000000000002</v>
      </c>
      <c r="G60" s="68">
        <v>2111.56</v>
      </c>
      <c r="H60" s="68">
        <v>347.24</v>
      </c>
      <c r="I60" s="4" t="s">
        <v>124</v>
      </c>
    </row>
    <row r="61" spans="1:9">
      <c r="A61" s="53">
        <v>58</v>
      </c>
      <c r="B61" s="52" t="s">
        <v>125</v>
      </c>
      <c r="C61" s="4" t="s">
        <v>4472</v>
      </c>
      <c r="D61" s="4" t="s">
        <v>4456</v>
      </c>
      <c r="E61" s="63">
        <v>27200000</v>
      </c>
      <c r="F61" s="68">
        <v>3014.54</v>
      </c>
      <c r="G61" s="68">
        <v>2394.86</v>
      </c>
      <c r="H61" s="68">
        <v>619.67999999999995</v>
      </c>
      <c r="I61" s="4" t="s">
        <v>117</v>
      </c>
    </row>
    <row r="62" spans="1:9">
      <c r="A62" s="53">
        <v>59</v>
      </c>
      <c r="B62" s="52" t="s">
        <v>123</v>
      </c>
      <c r="C62" s="4" t="s">
        <v>4473</v>
      </c>
      <c r="D62" s="4" t="s">
        <v>4456</v>
      </c>
      <c r="E62" s="63">
        <v>27400000</v>
      </c>
      <c r="F62" s="68">
        <v>3001.09</v>
      </c>
      <c r="G62" s="68">
        <v>2386.9</v>
      </c>
      <c r="H62" s="68">
        <v>614.19000000000005</v>
      </c>
      <c r="I62" s="4" t="s">
        <v>117</v>
      </c>
    </row>
    <row r="63" spans="1:9">
      <c r="A63" s="53">
        <v>60</v>
      </c>
      <c r="B63" s="52" t="s">
        <v>122</v>
      </c>
      <c r="C63" s="4" t="s">
        <v>4474</v>
      </c>
      <c r="D63" s="4" t="s">
        <v>4456</v>
      </c>
      <c r="E63" s="63">
        <v>27600000</v>
      </c>
      <c r="F63" s="68">
        <v>2978.7</v>
      </c>
      <c r="G63" s="68">
        <v>2394.65</v>
      </c>
      <c r="H63" s="68">
        <v>584.04999999999995</v>
      </c>
      <c r="I63" s="4" t="s">
        <v>117</v>
      </c>
    </row>
    <row r="64" spans="1:9">
      <c r="A64" s="53">
        <v>61</v>
      </c>
      <c r="B64" s="52" t="s">
        <v>121</v>
      </c>
      <c r="C64" s="4" t="s">
        <v>4475</v>
      </c>
      <c r="D64" s="4" t="s">
        <v>4456</v>
      </c>
      <c r="E64" s="63">
        <v>27800000</v>
      </c>
      <c r="F64" s="68">
        <v>2974.5</v>
      </c>
      <c r="G64" s="68">
        <v>2394.65</v>
      </c>
      <c r="H64" s="68">
        <v>579.85</v>
      </c>
      <c r="I64" s="4" t="s">
        <v>117</v>
      </c>
    </row>
    <row r="65" spans="1:9">
      <c r="A65" s="53">
        <v>62</v>
      </c>
      <c r="B65" s="52" t="s">
        <v>870</v>
      </c>
      <c r="C65" s="4" t="s">
        <v>4475</v>
      </c>
      <c r="D65" s="4" t="s">
        <v>4456</v>
      </c>
      <c r="E65" s="63">
        <v>34000000</v>
      </c>
      <c r="F65" s="68">
        <v>2786.56</v>
      </c>
      <c r="G65" s="68">
        <v>2111.56</v>
      </c>
      <c r="H65" s="68">
        <v>675</v>
      </c>
      <c r="I65" s="4" t="s">
        <v>124</v>
      </c>
    </row>
    <row r="66" spans="1:9">
      <c r="A66" s="53">
        <v>63</v>
      </c>
      <c r="B66" s="52" t="s">
        <v>120</v>
      </c>
      <c r="C66" s="4" t="s">
        <v>4476</v>
      </c>
      <c r="D66" s="4" t="s">
        <v>4456</v>
      </c>
      <c r="E66" s="63">
        <v>28000000</v>
      </c>
      <c r="F66" s="68">
        <v>3001.73</v>
      </c>
      <c r="G66" s="68">
        <v>2394.86</v>
      </c>
      <c r="H66" s="68">
        <v>606.87</v>
      </c>
      <c r="I66" s="4" t="s">
        <v>117</v>
      </c>
    </row>
    <row r="67" spans="1:9">
      <c r="A67" s="53">
        <v>64</v>
      </c>
      <c r="B67" s="52" t="s">
        <v>119</v>
      </c>
      <c r="C67" s="4" t="s">
        <v>4477</v>
      </c>
      <c r="D67" s="4" t="s">
        <v>4456</v>
      </c>
      <c r="E67" s="63">
        <v>28200000</v>
      </c>
      <c r="F67" s="68">
        <v>2923.48</v>
      </c>
      <c r="G67" s="68">
        <v>2394.86</v>
      </c>
      <c r="H67" s="68">
        <v>528.62</v>
      </c>
      <c r="I67" s="4" t="s">
        <v>117</v>
      </c>
    </row>
    <row r="68" spans="1:9">
      <c r="A68" s="53">
        <v>65</v>
      </c>
      <c r="B68" s="52" t="s">
        <v>118</v>
      </c>
      <c r="C68" s="4" t="s">
        <v>4478</v>
      </c>
      <c r="D68" s="4" t="s">
        <v>4456</v>
      </c>
      <c r="E68" s="63">
        <v>28600000</v>
      </c>
      <c r="F68" s="68">
        <v>3422.06</v>
      </c>
      <c r="G68" s="68">
        <v>2394.86</v>
      </c>
      <c r="H68" s="68">
        <v>1027.2</v>
      </c>
      <c r="I68" s="4" t="s">
        <v>117</v>
      </c>
    </row>
    <row r="69" spans="1:9">
      <c r="A69" s="53">
        <v>66</v>
      </c>
      <c r="B69" s="62" t="s">
        <v>4479</v>
      </c>
      <c r="C69" s="17" t="s">
        <v>4480</v>
      </c>
      <c r="D69" s="17" t="s">
        <v>4455</v>
      </c>
      <c r="E69" s="65">
        <v>165000000</v>
      </c>
      <c r="F69" s="69">
        <v>10066</v>
      </c>
      <c r="G69" s="69">
        <v>7375</v>
      </c>
      <c r="H69" s="69">
        <v>2691</v>
      </c>
      <c r="I69" s="17" t="s">
        <v>116</v>
      </c>
    </row>
    <row r="70" spans="1:9">
      <c r="A70" s="53">
        <v>67</v>
      </c>
      <c r="B70" s="244" t="s">
        <v>4638</v>
      </c>
      <c r="C70" s="245" t="s">
        <v>4498</v>
      </c>
      <c r="D70" s="245" t="s">
        <v>4455</v>
      </c>
      <c r="E70" s="246">
        <v>175000000</v>
      </c>
      <c r="F70" s="247">
        <v>10160.81</v>
      </c>
      <c r="G70" s="247">
        <v>7275.33</v>
      </c>
      <c r="H70" s="247">
        <v>2885.48</v>
      </c>
      <c r="I70" s="245" t="s">
        <v>116</v>
      </c>
    </row>
  </sheetData>
  <mergeCells count="2">
    <mergeCell ref="A1:I1"/>
    <mergeCell ref="A2:I2"/>
  </mergeCells>
  <phoneticPr fontId="24" type="noConversion"/>
  <conditionalFormatting sqref="B1:B2">
    <cfRule type="duplicateValues" dxfId="16062" priority="30"/>
    <cfRule type="duplicateValues" dxfId="16061" priority="31"/>
    <cfRule type="duplicateValues" dxfId="16060" priority="32"/>
    <cfRule type="duplicateValues" dxfId="16059" priority="33"/>
    <cfRule type="duplicateValues" dxfId="16058" priority="34"/>
    <cfRule type="duplicateValues" dxfId="16057" priority="35"/>
    <cfRule type="duplicateValues" dxfId="16056" priority="36"/>
    <cfRule type="duplicateValues" dxfId="16055" priority="37"/>
    <cfRule type="duplicateValues" dxfId="16054" priority="38"/>
    <cfRule type="duplicateValues" dxfId="16053" priority="39"/>
    <cfRule type="duplicateValues" dxfId="16052" priority="40"/>
    <cfRule type="duplicateValues" dxfId="16051" priority="41"/>
    <cfRule type="duplicateValues" dxfId="16050" priority="42"/>
    <cfRule type="duplicateValues" dxfId="16049" priority="43"/>
    <cfRule type="duplicateValues" dxfId="16048" priority="44"/>
    <cfRule type="duplicateValues" dxfId="16047" priority="45"/>
    <cfRule type="duplicateValues" dxfId="16046" priority="46"/>
    <cfRule type="duplicateValues" dxfId="16045" priority="47"/>
    <cfRule type="duplicateValues" dxfId="16044" priority="48"/>
    <cfRule type="duplicateValues" dxfId="16043" priority="49"/>
    <cfRule type="duplicateValues" dxfId="16042" priority="50"/>
    <cfRule type="duplicateValues" dxfId="16041" priority="51"/>
    <cfRule type="duplicateValues" dxfId="16040" priority="52"/>
    <cfRule type="duplicateValues" dxfId="16039" priority="53"/>
    <cfRule type="duplicateValues" dxfId="16038" priority="54"/>
    <cfRule type="duplicateValues" dxfId="16037" priority="55"/>
    <cfRule type="duplicateValues" dxfId="16036" priority="56"/>
    <cfRule type="duplicateValues" dxfId="16035" priority="57"/>
    <cfRule type="duplicateValues" dxfId="16034" priority="58"/>
    <cfRule type="duplicateValues" dxfId="16033" priority="59"/>
    <cfRule type="duplicateValues" dxfId="16032" priority="60"/>
    <cfRule type="duplicateValues" dxfId="16031" priority="61"/>
    <cfRule type="duplicateValues" dxfId="16030" priority="62"/>
    <cfRule type="duplicateValues" dxfId="16029" priority="63"/>
    <cfRule type="duplicateValues" dxfId="16028" priority="64"/>
    <cfRule type="duplicateValues" dxfId="16027" priority="65"/>
    <cfRule type="duplicateValues" dxfId="16026" priority="66"/>
    <cfRule type="duplicateValues" dxfId="16025" priority="67"/>
    <cfRule type="duplicateValues" dxfId="16024" priority="68"/>
    <cfRule type="duplicateValues" dxfId="16023" priority="69"/>
    <cfRule type="duplicateValues" dxfId="16022" priority="70"/>
    <cfRule type="duplicateValues" dxfId="16021" priority="71"/>
    <cfRule type="duplicateValues" dxfId="16020" priority="72"/>
    <cfRule type="duplicateValues" dxfId="16019" priority="73"/>
    <cfRule type="duplicateValues" dxfId="16018" priority="74"/>
    <cfRule type="duplicateValues" dxfId="16017" priority="75"/>
    <cfRule type="duplicateValues" dxfId="16016" priority="76"/>
    <cfRule type="duplicateValues" dxfId="16015" priority="77"/>
    <cfRule type="duplicateValues" dxfId="16014" priority="78"/>
  </conditionalFormatting>
  <conditionalFormatting sqref="B1:B3">
    <cfRule type="duplicateValues" dxfId="16013" priority="86"/>
    <cfRule type="duplicateValues" dxfId="16012" priority="87"/>
    <cfRule type="duplicateValues" dxfId="16011" priority="88"/>
    <cfRule type="duplicateValues" dxfId="16010" priority="89"/>
    <cfRule type="duplicateValues" dxfId="16009" priority="90"/>
    <cfRule type="duplicateValues" dxfId="16008" priority="91"/>
    <cfRule type="duplicateValues" dxfId="16007" priority="92"/>
    <cfRule type="duplicateValues" dxfId="16006" priority="93"/>
    <cfRule type="duplicateValues" dxfId="16005" priority="94"/>
    <cfRule type="duplicateValues" dxfId="16004" priority="95"/>
    <cfRule type="duplicateValues" dxfId="16003" priority="96"/>
    <cfRule type="duplicateValues" dxfId="16002" priority="97"/>
    <cfRule type="duplicateValues" dxfId="16001" priority="98"/>
    <cfRule type="duplicateValues" dxfId="16000" priority="99"/>
    <cfRule type="duplicateValues" dxfId="15999" priority="100"/>
    <cfRule type="duplicateValues" dxfId="15998" priority="101"/>
    <cfRule type="duplicateValues" dxfId="15997" priority="102"/>
    <cfRule type="duplicateValues" dxfId="15996" priority="103"/>
    <cfRule type="duplicateValues" dxfId="15995" priority="104"/>
    <cfRule type="duplicateValues" dxfId="15994" priority="105"/>
    <cfRule type="duplicateValues" dxfId="15993" priority="106"/>
    <cfRule type="duplicateValues" dxfId="15992" priority="107"/>
    <cfRule type="duplicateValues" dxfId="15991" priority="108"/>
    <cfRule type="duplicateValues" dxfId="15990" priority="109"/>
    <cfRule type="duplicateValues" dxfId="15989" priority="110"/>
    <cfRule type="duplicateValues" dxfId="15988" priority="111"/>
    <cfRule type="duplicateValues" dxfId="15987" priority="112"/>
    <cfRule type="duplicateValues" dxfId="15986" priority="113"/>
    <cfRule type="duplicateValues" dxfId="15985" priority="114"/>
    <cfRule type="duplicateValues" dxfId="15984" priority="115"/>
    <cfRule type="duplicateValues" dxfId="15983" priority="116"/>
    <cfRule type="duplicateValues" dxfId="15982" priority="117"/>
    <cfRule type="duplicateValues" dxfId="15981" priority="118"/>
    <cfRule type="duplicateValues" dxfId="15980" priority="119"/>
    <cfRule type="duplicateValues" dxfId="15979" priority="120"/>
    <cfRule type="duplicateValues" dxfId="15978" priority="121"/>
    <cfRule type="duplicateValues" dxfId="15977" priority="122"/>
    <cfRule type="duplicateValues" dxfId="15976" priority="123"/>
    <cfRule type="duplicateValues" dxfId="15975" priority="124"/>
    <cfRule type="duplicateValues" dxfId="15974" priority="125"/>
    <cfRule type="duplicateValues" dxfId="15973" priority="126"/>
    <cfRule type="duplicateValues" dxfId="15972" priority="127"/>
    <cfRule type="aboveAverage" dxfId="15971" priority="128" aboveAverage="0"/>
    <cfRule type="duplicateValues" dxfId="15970" priority="129"/>
    <cfRule type="duplicateValues" dxfId="15969" priority="130"/>
    <cfRule type="duplicateValues" dxfId="15968" priority="131"/>
    <cfRule type="duplicateValues" dxfId="15967" priority="132"/>
    <cfRule type="duplicateValues" dxfId="15966" priority="133"/>
    <cfRule type="duplicateValues" dxfId="15965" priority="134"/>
    <cfRule type="duplicateValues" dxfId="15964" priority="135"/>
    <cfRule type="duplicateValues" dxfId="15963" priority="136"/>
    <cfRule type="duplicateValues" dxfId="15962" priority="137"/>
    <cfRule type="duplicateValues" dxfId="15961" priority="138"/>
    <cfRule type="duplicateValues" dxfId="15960" priority="139"/>
    <cfRule type="duplicateValues" dxfId="15959" priority="140"/>
    <cfRule type="duplicateValues" dxfId="15958" priority="141"/>
    <cfRule type="duplicateValues" dxfId="15957" priority="142"/>
    <cfRule type="duplicateValues" dxfId="15956" priority="143"/>
    <cfRule type="duplicateValues" dxfId="15955" priority="144"/>
    <cfRule type="duplicateValues" dxfId="15954" priority="145"/>
    <cfRule type="duplicateValues" dxfId="15953" priority="146"/>
    <cfRule type="duplicateValues" dxfId="15952" priority="147"/>
    <cfRule type="duplicateValues" dxfId="15951" priority="148"/>
    <cfRule type="duplicateValues" dxfId="15950" priority="149"/>
  </conditionalFormatting>
  <conditionalFormatting sqref="B1:B70">
    <cfRule type="duplicateValues" dxfId="15949" priority="246769"/>
    <cfRule type="duplicateValues" dxfId="15948" priority="246770"/>
    <cfRule type="duplicateValues" dxfId="15947" priority="246771"/>
    <cfRule type="duplicateValues" dxfId="15946" priority="246772"/>
    <cfRule type="duplicateValues" dxfId="15945" priority="246773"/>
    <cfRule type="duplicateValues" dxfId="15944" priority="246774"/>
    <cfRule type="duplicateValues" dxfId="15943" priority="246775"/>
    <cfRule type="duplicateValues" dxfId="15942" priority="246776"/>
  </conditionalFormatting>
  <conditionalFormatting sqref="B1:B71">
    <cfRule type="duplicateValues" dxfId="15941" priority="248983"/>
  </conditionalFormatting>
  <conditionalFormatting sqref="B3">
    <cfRule type="duplicateValues" dxfId="15940" priority="28"/>
    <cfRule type="duplicateValues" dxfId="15939" priority="29"/>
    <cfRule type="duplicateValues" dxfId="15938" priority="79"/>
    <cfRule type="duplicateValues" dxfId="15937" priority="80"/>
    <cfRule type="duplicateValues" dxfId="15936" priority="81"/>
    <cfRule type="duplicateValues" dxfId="15935" priority="82"/>
    <cfRule type="duplicateValues" dxfId="15934" priority="83"/>
    <cfRule type="duplicateValues" dxfId="15933" priority="84"/>
    <cfRule type="duplicateValues" dxfId="15932" priority="85"/>
    <cfRule type="duplicateValues" dxfId="15931" priority="150"/>
    <cfRule type="duplicateValues" dxfId="15930" priority="151"/>
    <cfRule type="duplicateValues" dxfId="15929" priority="152"/>
    <cfRule type="duplicateValues" dxfId="15928" priority="153"/>
    <cfRule type="duplicateValues" dxfId="15927" priority="154"/>
    <cfRule type="duplicateValues" dxfId="15926" priority="155"/>
    <cfRule type="duplicateValues" dxfId="15925" priority="156"/>
    <cfRule type="duplicateValues" dxfId="15924" priority="157"/>
    <cfRule type="duplicateValues" dxfId="15923" priority="158"/>
    <cfRule type="duplicateValues" dxfId="15922" priority="159"/>
    <cfRule type="duplicateValues" dxfId="15921" priority="160"/>
    <cfRule type="duplicateValues" dxfId="15920" priority="161"/>
    <cfRule type="duplicateValues" dxfId="15919" priority="162"/>
    <cfRule type="duplicateValues" dxfId="15918" priority="163"/>
    <cfRule type="duplicateValues" dxfId="15917" priority="164"/>
    <cfRule type="duplicateValues" dxfId="15916" priority="165"/>
    <cfRule type="duplicateValues" dxfId="15915" priority="166"/>
    <cfRule type="duplicateValues" dxfId="15914" priority="167"/>
    <cfRule type="duplicateValues" dxfId="15913" priority="168"/>
    <cfRule type="duplicateValues" dxfId="15912" priority="169"/>
    <cfRule type="duplicateValues" dxfId="15911" priority="170"/>
    <cfRule type="duplicateValues" dxfId="15910" priority="171"/>
    <cfRule type="duplicateValues" dxfId="15909" priority="172"/>
    <cfRule type="duplicateValues" dxfId="15908" priority="173"/>
    <cfRule type="duplicateValues" dxfId="15907" priority="174"/>
    <cfRule type="duplicateValues" dxfId="15906" priority="175"/>
    <cfRule type="duplicateValues" dxfId="15905" priority="176"/>
    <cfRule type="duplicateValues" dxfId="15904" priority="177"/>
    <cfRule type="duplicateValues" dxfId="15903" priority="178"/>
    <cfRule type="duplicateValues" dxfId="15902" priority="179"/>
    <cfRule type="duplicateValues" dxfId="15901" priority="180"/>
    <cfRule type="duplicateValues" dxfId="15900" priority="181"/>
    <cfRule type="duplicateValues" dxfId="15899" priority="182"/>
    <cfRule type="duplicateValues" dxfId="15898" priority="183"/>
    <cfRule type="duplicateValues" dxfId="15897" priority="184"/>
    <cfRule type="duplicateValues" dxfId="15896" priority="185"/>
    <cfRule type="duplicateValues" dxfId="15895" priority="186"/>
    <cfRule type="duplicateValues" dxfId="15894" priority="187"/>
    <cfRule type="duplicateValues" dxfId="15893" priority="188"/>
    <cfRule type="duplicateValues" dxfId="15892" priority="189"/>
    <cfRule type="duplicateValues" dxfId="15891" priority="190"/>
    <cfRule type="duplicateValues" dxfId="15890" priority="191"/>
  </conditionalFormatting>
  <conditionalFormatting sqref="B4:B60">
    <cfRule type="duplicateValues" dxfId="15889" priority="166651"/>
  </conditionalFormatting>
  <conditionalFormatting sqref="B65 B1:B3">
    <cfRule type="duplicateValues" dxfId="15888" priority="192"/>
    <cfRule type="duplicateValues" dxfId="15887" priority="196389"/>
    <cfRule type="duplicateValues" dxfId="15886" priority="196390"/>
    <cfRule type="duplicateValues" dxfId="15885" priority="196391"/>
  </conditionalFormatting>
  <conditionalFormatting sqref="B1:B1048576">
    <cfRule type="duplicateValues" dxfId="15884" priority="1"/>
  </conditionalFormatting>
  <conditionalFormatting sqref="B1:B71">
    <cfRule type="duplicateValues" dxfId="15883" priority="250799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9128-BDAD-48C8-8BCD-F2BACFA52356}">
  <dimension ref="A1:I86"/>
  <sheetViews>
    <sheetView zoomScale="89" zoomScaleNormal="85" workbookViewId="0">
      <selection sqref="A1:I1"/>
    </sheetView>
  </sheetViews>
  <sheetFormatPr defaultColWidth="9.109375" defaultRowHeight="14.4"/>
  <cols>
    <col min="1" max="1" width="8.44140625" style="95" bestFit="1" customWidth="1"/>
    <col min="2" max="2" width="14.44140625" style="95" bestFit="1" customWidth="1"/>
    <col min="3" max="3" width="10.44140625" style="95" bestFit="1" customWidth="1"/>
    <col min="4" max="4" width="24.44140625" style="95" bestFit="1" customWidth="1"/>
    <col min="5" max="5" width="17.6640625" style="95" bestFit="1" customWidth="1"/>
    <col min="6" max="6" width="15.44140625" style="96" bestFit="1" customWidth="1"/>
    <col min="7" max="7" width="14.33203125" style="96" bestFit="1" customWidth="1"/>
    <col min="8" max="8" width="17.6640625" style="96" bestFit="1" customWidth="1"/>
    <col min="9" max="9" width="82.6640625" style="95" customWidth="1"/>
    <col min="10" max="16384" width="9.109375" style="95"/>
  </cols>
  <sheetData>
    <row r="1" spans="1:9" s="90" customFormat="1" ht="23.4">
      <c r="A1" s="270" t="s">
        <v>219</v>
      </c>
      <c r="B1" s="270"/>
      <c r="C1" s="270"/>
      <c r="D1" s="270"/>
      <c r="E1" s="270"/>
      <c r="F1" s="270"/>
      <c r="G1" s="270"/>
      <c r="H1" s="270"/>
      <c r="I1" s="270"/>
    </row>
    <row r="2" spans="1:9" s="90" customFormat="1" ht="15.6">
      <c r="A2" s="271" t="s">
        <v>4253</v>
      </c>
      <c r="B2" s="272"/>
      <c r="C2" s="272"/>
      <c r="D2" s="272"/>
      <c r="E2" s="272"/>
      <c r="F2" s="272"/>
      <c r="G2" s="272"/>
      <c r="H2" s="272"/>
      <c r="I2" s="272"/>
    </row>
    <row r="3" spans="1:9" s="154" customFormat="1">
      <c r="A3" s="151" t="s">
        <v>25</v>
      </c>
      <c r="B3" s="151" t="s">
        <v>13</v>
      </c>
      <c r="C3" s="151" t="s">
        <v>26</v>
      </c>
      <c r="D3" s="151" t="s">
        <v>14</v>
      </c>
      <c r="E3" s="152" t="s">
        <v>15</v>
      </c>
      <c r="F3" s="153" t="s">
        <v>0</v>
      </c>
      <c r="G3" s="153" t="s">
        <v>1</v>
      </c>
      <c r="H3" s="153" t="s">
        <v>2</v>
      </c>
      <c r="I3" s="151" t="s">
        <v>19</v>
      </c>
    </row>
    <row r="4" spans="1:9" s="94" customFormat="1">
      <c r="A4" s="92">
        <v>1</v>
      </c>
      <c r="B4" s="224" t="s">
        <v>4383</v>
      </c>
      <c r="C4" s="92" t="s">
        <v>5013</v>
      </c>
      <c r="D4" s="92" t="s">
        <v>4482</v>
      </c>
      <c r="E4" s="225">
        <v>36200000</v>
      </c>
      <c r="F4" s="93">
        <v>5619.41</v>
      </c>
      <c r="G4" s="93">
        <v>4983.58</v>
      </c>
      <c r="H4" s="93">
        <v>635.82000000000005</v>
      </c>
      <c r="I4" s="92" t="s">
        <v>5014</v>
      </c>
    </row>
    <row r="5" spans="1:9" s="94" customFormat="1">
      <c r="A5" s="92">
        <v>2</v>
      </c>
      <c r="B5" s="224" t="s">
        <v>4384</v>
      </c>
      <c r="C5" s="92" t="s">
        <v>5015</v>
      </c>
      <c r="D5" s="92" t="s">
        <v>4481</v>
      </c>
      <c r="E5" s="225">
        <v>13300000</v>
      </c>
      <c r="F5" s="93">
        <v>2261.5</v>
      </c>
      <c r="G5" s="93">
        <v>2261.5</v>
      </c>
      <c r="H5" s="93">
        <v>0</v>
      </c>
      <c r="I5" s="92" t="s">
        <v>5016</v>
      </c>
    </row>
    <row r="6" spans="1:9" s="94" customFormat="1">
      <c r="A6" s="92">
        <v>3</v>
      </c>
      <c r="B6" s="224" t="s">
        <v>4385</v>
      </c>
      <c r="C6" s="92" t="s">
        <v>5015</v>
      </c>
      <c r="D6" s="92" t="s">
        <v>4482</v>
      </c>
      <c r="E6" s="225">
        <v>36000000</v>
      </c>
      <c r="F6" s="93">
        <v>5619.41</v>
      </c>
      <c r="G6" s="93">
        <v>4983.58</v>
      </c>
      <c r="H6" s="93">
        <v>635.82000000000005</v>
      </c>
      <c r="I6" s="92" t="s">
        <v>5014</v>
      </c>
    </row>
    <row r="7" spans="1:9" s="94" customFormat="1">
      <c r="A7" s="92">
        <v>4</v>
      </c>
      <c r="B7" s="224" t="s">
        <v>4386</v>
      </c>
      <c r="C7" s="92" t="s">
        <v>5017</v>
      </c>
      <c r="D7" s="92" t="s">
        <v>4481</v>
      </c>
      <c r="E7" s="225">
        <v>14900000</v>
      </c>
      <c r="F7" s="93">
        <v>3353.5</v>
      </c>
      <c r="G7" s="93">
        <v>2270.9699999999998</v>
      </c>
      <c r="H7" s="93">
        <v>1082.53</v>
      </c>
      <c r="I7" s="92" t="s">
        <v>5016</v>
      </c>
    </row>
    <row r="8" spans="1:9" s="94" customFormat="1">
      <c r="A8" s="92">
        <v>5</v>
      </c>
      <c r="B8" s="224" t="s">
        <v>4387</v>
      </c>
      <c r="C8" s="92" t="s">
        <v>5018</v>
      </c>
      <c r="D8" s="92" t="s">
        <v>4481</v>
      </c>
      <c r="E8" s="225">
        <v>14300000</v>
      </c>
      <c r="F8" s="93">
        <v>2587.86</v>
      </c>
      <c r="G8" s="93">
        <v>2313.59</v>
      </c>
      <c r="H8" s="93">
        <v>274.26</v>
      </c>
      <c r="I8" s="92" t="s">
        <v>5016</v>
      </c>
    </row>
    <row r="9" spans="1:9" s="94" customFormat="1">
      <c r="A9" s="92">
        <v>6</v>
      </c>
      <c r="B9" s="224" t="s">
        <v>4388</v>
      </c>
      <c r="C9" s="92" t="s">
        <v>5018</v>
      </c>
      <c r="D9" s="92" t="s">
        <v>4481</v>
      </c>
      <c r="E9" s="225">
        <v>14500000</v>
      </c>
      <c r="F9" s="93">
        <v>2586.0300000000002</v>
      </c>
      <c r="G9" s="93">
        <v>2311.87</v>
      </c>
      <c r="H9" s="93">
        <v>274.16000000000003</v>
      </c>
      <c r="I9" s="92" t="s">
        <v>5019</v>
      </c>
    </row>
    <row r="10" spans="1:9" s="94" customFormat="1">
      <c r="A10" s="92">
        <v>7</v>
      </c>
      <c r="B10" s="224" t="s">
        <v>4389</v>
      </c>
      <c r="C10" s="92" t="s">
        <v>5018</v>
      </c>
      <c r="D10" s="92" t="s">
        <v>4482</v>
      </c>
      <c r="E10" s="225">
        <v>18400000</v>
      </c>
      <c r="F10" s="93">
        <v>4229.46</v>
      </c>
      <c r="G10" s="93">
        <v>2827.03</v>
      </c>
      <c r="H10" s="93">
        <v>1402.43</v>
      </c>
      <c r="I10" s="92" t="s">
        <v>5020</v>
      </c>
    </row>
    <row r="11" spans="1:9" s="94" customFormat="1">
      <c r="A11" s="92">
        <v>8</v>
      </c>
      <c r="B11" s="224" t="s">
        <v>4390</v>
      </c>
      <c r="C11" s="92" t="s">
        <v>5021</v>
      </c>
      <c r="D11" s="92" t="s">
        <v>4481</v>
      </c>
      <c r="E11" s="225">
        <v>14300000</v>
      </c>
      <c r="F11" s="93">
        <v>2587.86</v>
      </c>
      <c r="G11" s="93">
        <v>2313.59</v>
      </c>
      <c r="H11" s="93">
        <v>274.26</v>
      </c>
      <c r="I11" s="92" t="s">
        <v>5019</v>
      </c>
    </row>
    <row r="12" spans="1:9" s="94" customFormat="1">
      <c r="A12" s="92">
        <v>9</v>
      </c>
      <c r="B12" s="224" t="s">
        <v>4391</v>
      </c>
      <c r="C12" s="92" t="s">
        <v>5022</v>
      </c>
      <c r="D12" s="92" t="s">
        <v>4481</v>
      </c>
      <c r="E12" s="225">
        <v>14200000</v>
      </c>
      <c r="F12" s="93">
        <v>2587.86</v>
      </c>
      <c r="G12" s="93">
        <v>2313.59</v>
      </c>
      <c r="H12" s="93">
        <v>274.26</v>
      </c>
      <c r="I12" s="92" t="s">
        <v>5019</v>
      </c>
    </row>
    <row r="13" spans="1:9" s="94" customFormat="1">
      <c r="A13" s="92">
        <v>10</v>
      </c>
      <c r="B13" s="224" t="s">
        <v>4392</v>
      </c>
      <c r="C13" s="92" t="s">
        <v>5023</v>
      </c>
      <c r="D13" s="92" t="s">
        <v>4481</v>
      </c>
      <c r="E13" s="225">
        <v>13800000</v>
      </c>
      <c r="F13" s="93">
        <v>2587.86</v>
      </c>
      <c r="G13" s="93">
        <v>2313.59</v>
      </c>
      <c r="H13" s="93">
        <v>274.26</v>
      </c>
      <c r="I13" s="92" t="s">
        <v>5016</v>
      </c>
    </row>
    <row r="14" spans="1:9" s="94" customFormat="1">
      <c r="A14" s="92">
        <v>11</v>
      </c>
      <c r="B14" s="224" t="s">
        <v>4393</v>
      </c>
      <c r="C14" s="92" t="s">
        <v>5023</v>
      </c>
      <c r="D14" s="92" t="s">
        <v>4481</v>
      </c>
      <c r="E14" s="225">
        <v>14100000</v>
      </c>
      <c r="F14" s="93">
        <v>2586.0300000000002</v>
      </c>
      <c r="G14" s="93">
        <v>2311.87</v>
      </c>
      <c r="H14" s="93">
        <v>274.16000000000003</v>
      </c>
      <c r="I14" s="92" t="s">
        <v>5019</v>
      </c>
    </row>
    <row r="15" spans="1:9" s="94" customFormat="1">
      <c r="A15" s="92">
        <v>12</v>
      </c>
      <c r="B15" s="224" t="s">
        <v>4394</v>
      </c>
      <c r="C15" s="92" t="s">
        <v>5024</v>
      </c>
      <c r="D15" s="92" t="s">
        <v>4481</v>
      </c>
      <c r="E15" s="225">
        <v>14000000</v>
      </c>
      <c r="F15" s="93">
        <v>2587.86</v>
      </c>
      <c r="G15" s="93">
        <v>2313.59</v>
      </c>
      <c r="H15" s="93">
        <v>274.26</v>
      </c>
      <c r="I15" s="92" t="s">
        <v>5019</v>
      </c>
    </row>
    <row r="16" spans="1:9" s="94" customFormat="1">
      <c r="A16" s="92">
        <v>13</v>
      </c>
      <c r="B16" s="224" t="s">
        <v>4395</v>
      </c>
      <c r="C16" s="92" t="s">
        <v>5025</v>
      </c>
      <c r="D16" s="92" t="s">
        <v>4481</v>
      </c>
      <c r="E16" s="225">
        <v>13900000</v>
      </c>
      <c r="F16" s="93">
        <v>2587.86</v>
      </c>
      <c r="G16" s="93">
        <v>2313.59</v>
      </c>
      <c r="H16" s="93">
        <v>274.26</v>
      </c>
      <c r="I16" s="92" t="s">
        <v>5019</v>
      </c>
    </row>
    <row r="17" spans="1:9" s="94" customFormat="1">
      <c r="A17" s="92">
        <v>14</v>
      </c>
      <c r="B17" s="224" t="s">
        <v>4396</v>
      </c>
      <c r="C17" s="92" t="s">
        <v>5026</v>
      </c>
      <c r="D17" s="92" t="s">
        <v>4481</v>
      </c>
      <c r="E17" s="225">
        <v>13800000</v>
      </c>
      <c r="F17" s="93">
        <v>2587.86</v>
      </c>
      <c r="G17" s="93">
        <v>2313.59</v>
      </c>
      <c r="H17" s="93">
        <v>274.26</v>
      </c>
      <c r="I17" s="92" t="s">
        <v>5019</v>
      </c>
    </row>
    <row r="18" spans="1:9" s="94" customFormat="1">
      <c r="A18" s="92">
        <v>15</v>
      </c>
      <c r="B18" s="224" t="s">
        <v>4397</v>
      </c>
      <c r="C18" s="92" t="s">
        <v>5027</v>
      </c>
      <c r="D18" s="92" t="s">
        <v>4481</v>
      </c>
      <c r="E18" s="225">
        <v>13300000</v>
      </c>
      <c r="F18" s="93">
        <v>2586.46</v>
      </c>
      <c r="G18" s="93">
        <v>2312.1999999999998</v>
      </c>
      <c r="H18" s="93">
        <v>274.26</v>
      </c>
      <c r="I18" s="92" t="s">
        <v>5016</v>
      </c>
    </row>
    <row r="19" spans="1:9" s="94" customFormat="1">
      <c r="A19" s="92">
        <v>16</v>
      </c>
      <c r="B19" s="224" t="s">
        <v>4398</v>
      </c>
      <c r="C19" s="92" t="s">
        <v>5027</v>
      </c>
      <c r="D19" s="92" t="s">
        <v>4481</v>
      </c>
      <c r="E19" s="225">
        <v>13600000</v>
      </c>
      <c r="F19" s="93">
        <v>2586.35</v>
      </c>
      <c r="G19" s="93">
        <v>2312.1999999999998</v>
      </c>
      <c r="H19" s="93">
        <v>274.16000000000003</v>
      </c>
      <c r="I19" s="92" t="s">
        <v>5019</v>
      </c>
    </row>
    <row r="20" spans="1:9" s="94" customFormat="1">
      <c r="A20" s="92">
        <v>17</v>
      </c>
      <c r="B20" s="224" t="s">
        <v>4399</v>
      </c>
      <c r="C20" s="92" t="s">
        <v>5028</v>
      </c>
      <c r="D20" s="92" t="s">
        <v>4481</v>
      </c>
      <c r="E20" s="225">
        <v>13200000</v>
      </c>
      <c r="F20" s="93">
        <v>2586.46</v>
      </c>
      <c r="G20" s="93">
        <v>2312.1999999999998</v>
      </c>
      <c r="H20" s="93">
        <v>274.26</v>
      </c>
      <c r="I20" s="92" t="s">
        <v>5016</v>
      </c>
    </row>
    <row r="21" spans="1:9" s="94" customFormat="1">
      <c r="A21" s="92">
        <v>18</v>
      </c>
      <c r="B21" s="224" t="s">
        <v>4400</v>
      </c>
      <c r="C21" s="92" t="s">
        <v>5028</v>
      </c>
      <c r="D21" s="92" t="s">
        <v>4481</v>
      </c>
      <c r="E21" s="225">
        <v>13500000</v>
      </c>
      <c r="F21" s="93">
        <v>2586.35</v>
      </c>
      <c r="G21" s="93">
        <v>2312.1999999999998</v>
      </c>
      <c r="H21" s="93">
        <v>274.16000000000003</v>
      </c>
      <c r="I21" s="92" t="s">
        <v>5019</v>
      </c>
    </row>
    <row r="22" spans="1:9" s="94" customFormat="1">
      <c r="A22" s="92">
        <v>19</v>
      </c>
      <c r="B22" s="224" t="s">
        <v>4401</v>
      </c>
      <c r="C22" s="92" t="s">
        <v>4419</v>
      </c>
      <c r="D22" s="92" t="s">
        <v>4483</v>
      </c>
      <c r="E22" s="225">
        <v>8400000</v>
      </c>
      <c r="F22" s="93">
        <v>3279.01</v>
      </c>
      <c r="G22" s="93">
        <v>1728.36</v>
      </c>
      <c r="H22" s="93">
        <v>1550.65</v>
      </c>
      <c r="I22" s="92" t="s">
        <v>5016</v>
      </c>
    </row>
    <row r="23" spans="1:9" s="94" customFormat="1">
      <c r="A23" s="92">
        <v>20</v>
      </c>
      <c r="B23" s="224" t="s">
        <v>4402</v>
      </c>
      <c r="C23" s="92" t="s">
        <v>4419</v>
      </c>
      <c r="D23" s="92" t="s">
        <v>4483</v>
      </c>
      <c r="E23" s="225">
        <v>8600000</v>
      </c>
      <c r="F23" s="93">
        <v>3281.49</v>
      </c>
      <c r="G23" s="93">
        <v>1730.84</v>
      </c>
      <c r="H23" s="93">
        <v>1550.65</v>
      </c>
      <c r="I23" s="92" t="s">
        <v>5029</v>
      </c>
    </row>
    <row r="24" spans="1:9" s="94" customFormat="1">
      <c r="A24" s="92">
        <v>21</v>
      </c>
      <c r="B24" s="224" t="s">
        <v>4403</v>
      </c>
      <c r="C24" s="92" t="s">
        <v>4419</v>
      </c>
      <c r="D24" s="92" t="s">
        <v>4483</v>
      </c>
      <c r="E24" s="225">
        <v>8800000</v>
      </c>
      <c r="F24" s="93">
        <v>3214.32</v>
      </c>
      <c r="G24" s="93">
        <v>1728.47</v>
      </c>
      <c r="H24" s="93">
        <v>1485.85</v>
      </c>
      <c r="I24" s="92" t="s">
        <v>5030</v>
      </c>
    </row>
    <row r="25" spans="1:9" s="94" customFormat="1">
      <c r="A25" s="92">
        <v>22</v>
      </c>
      <c r="B25" s="224" t="s">
        <v>4404</v>
      </c>
      <c r="C25" s="92" t="s">
        <v>4419</v>
      </c>
      <c r="D25" s="92" t="s">
        <v>4483</v>
      </c>
      <c r="E25" s="225">
        <v>8400000</v>
      </c>
      <c r="F25" s="93">
        <v>3222.71</v>
      </c>
      <c r="G25" s="93">
        <v>1735.36</v>
      </c>
      <c r="H25" s="93">
        <v>1487.36</v>
      </c>
      <c r="I25" s="92" t="s">
        <v>5016</v>
      </c>
    </row>
    <row r="26" spans="1:9" s="94" customFormat="1">
      <c r="A26" s="92">
        <v>23</v>
      </c>
      <c r="B26" s="224" t="s">
        <v>684</v>
      </c>
      <c r="C26" s="92" t="s">
        <v>5031</v>
      </c>
      <c r="D26" s="92" t="s">
        <v>4483</v>
      </c>
      <c r="E26" s="225">
        <v>9200000</v>
      </c>
      <c r="F26" s="93">
        <v>3286.87</v>
      </c>
      <c r="G26" s="93">
        <v>1692.95</v>
      </c>
      <c r="H26" s="93">
        <v>1593.92</v>
      </c>
      <c r="I26" s="92" t="s">
        <v>685</v>
      </c>
    </row>
    <row r="27" spans="1:9" s="94" customFormat="1">
      <c r="A27" s="92">
        <v>24</v>
      </c>
      <c r="B27" s="224" t="s">
        <v>321</v>
      </c>
      <c r="C27" s="92" t="s">
        <v>5032</v>
      </c>
      <c r="D27" s="92" t="s">
        <v>4481</v>
      </c>
      <c r="E27" s="225">
        <v>13999999</v>
      </c>
      <c r="F27" s="93">
        <v>3263.84</v>
      </c>
      <c r="G27" s="93">
        <v>2063.23</v>
      </c>
      <c r="H27" s="93">
        <v>1200.6099999999999</v>
      </c>
      <c r="I27" s="92" t="s">
        <v>186</v>
      </c>
    </row>
    <row r="28" spans="1:9" s="94" customFormat="1">
      <c r="A28" s="92">
        <v>25</v>
      </c>
      <c r="B28" s="224" t="s">
        <v>217</v>
      </c>
      <c r="C28" s="92" t="s">
        <v>5033</v>
      </c>
      <c r="D28" s="92" t="s">
        <v>4481</v>
      </c>
      <c r="E28" s="225">
        <v>14419999</v>
      </c>
      <c r="F28" s="93">
        <v>3263.84</v>
      </c>
      <c r="G28" s="93">
        <v>2063.23</v>
      </c>
      <c r="H28" s="93">
        <v>1200.6099999999999</v>
      </c>
      <c r="I28" s="92" t="s">
        <v>186</v>
      </c>
    </row>
    <row r="29" spans="1:9" s="94" customFormat="1">
      <c r="A29" s="92">
        <v>26</v>
      </c>
      <c r="B29" s="224" t="s">
        <v>216</v>
      </c>
      <c r="C29" s="92" t="s">
        <v>5033</v>
      </c>
      <c r="D29" s="92" t="s">
        <v>4481</v>
      </c>
      <c r="E29" s="225">
        <v>14419999</v>
      </c>
      <c r="F29" s="93">
        <v>3263.84</v>
      </c>
      <c r="G29" s="93">
        <v>2063.23</v>
      </c>
      <c r="H29" s="93">
        <v>1200.6099999999999</v>
      </c>
      <c r="I29" s="92" t="s">
        <v>185</v>
      </c>
    </row>
    <row r="30" spans="1:9" s="94" customFormat="1">
      <c r="A30" s="92">
        <v>27</v>
      </c>
      <c r="B30" s="224" t="s">
        <v>215</v>
      </c>
      <c r="C30" s="92" t="s">
        <v>5034</v>
      </c>
      <c r="D30" s="92" t="s">
        <v>4481</v>
      </c>
      <c r="E30" s="225">
        <v>14489999</v>
      </c>
      <c r="F30" s="93">
        <v>3263.84</v>
      </c>
      <c r="G30" s="93">
        <v>2063.23</v>
      </c>
      <c r="H30" s="93">
        <v>1200.6099999999999</v>
      </c>
      <c r="I30" s="92" t="s">
        <v>186</v>
      </c>
    </row>
    <row r="31" spans="1:9" s="94" customFormat="1">
      <c r="A31" s="92">
        <v>28</v>
      </c>
      <c r="B31" s="224" t="s">
        <v>862</v>
      </c>
      <c r="C31" s="92" t="s">
        <v>5035</v>
      </c>
      <c r="D31" s="92" t="s">
        <v>4481</v>
      </c>
      <c r="E31" s="225">
        <v>14559999</v>
      </c>
      <c r="F31" s="93">
        <v>3263.84</v>
      </c>
      <c r="G31" s="93">
        <v>2063.23</v>
      </c>
      <c r="H31" s="93">
        <v>1200.6099999999999</v>
      </c>
      <c r="I31" s="92" t="s">
        <v>186</v>
      </c>
    </row>
    <row r="32" spans="1:9" s="94" customFormat="1">
      <c r="A32" s="92">
        <v>29</v>
      </c>
      <c r="B32" s="224" t="s">
        <v>214</v>
      </c>
      <c r="C32" s="92" t="s">
        <v>5034</v>
      </c>
      <c r="D32" s="92" t="s">
        <v>4481</v>
      </c>
      <c r="E32" s="225">
        <v>14489999</v>
      </c>
      <c r="F32" s="93">
        <v>3263.84</v>
      </c>
      <c r="G32" s="93">
        <v>2063.23</v>
      </c>
      <c r="H32" s="93">
        <v>1200.6099999999999</v>
      </c>
      <c r="I32" s="92" t="s">
        <v>185</v>
      </c>
    </row>
    <row r="33" spans="1:9" s="94" customFormat="1">
      <c r="A33" s="92">
        <v>30</v>
      </c>
      <c r="B33" s="224" t="s">
        <v>213</v>
      </c>
      <c r="C33" s="92" t="s">
        <v>5036</v>
      </c>
      <c r="D33" s="92" t="s">
        <v>4481</v>
      </c>
      <c r="E33" s="225">
        <v>14699999</v>
      </c>
      <c r="F33" s="93">
        <v>3263.84</v>
      </c>
      <c r="G33" s="93">
        <v>2063.23</v>
      </c>
      <c r="H33" s="93">
        <v>1200.6099999999999</v>
      </c>
      <c r="I33" s="92" t="s">
        <v>186</v>
      </c>
    </row>
    <row r="34" spans="1:9" s="94" customFormat="1">
      <c r="A34" s="92">
        <v>31</v>
      </c>
      <c r="B34" s="224" t="s">
        <v>871</v>
      </c>
      <c r="C34" s="92" t="s">
        <v>5037</v>
      </c>
      <c r="D34" s="92" t="s">
        <v>4481</v>
      </c>
      <c r="E34" s="225">
        <v>14629999</v>
      </c>
      <c r="F34" s="93">
        <v>3263.84</v>
      </c>
      <c r="G34" s="93">
        <v>2063.23</v>
      </c>
      <c r="H34" s="93">
        <v>1200.6099999999999</v>
      </c>
      <c r="I34" s="92" t="s">
        <v>185</v>
      </c>
    </row>
    <row r="35" spans="1:9" s="94" customFormat="1">
      <c r="A35" s="92">
        <v>32</v>
      </c>
      <c r="B35" s="224" t="s">
        <v>872</v>
      </c>
      <c r="C35" s="92" t="s">
        <v>5037</v>
      </c>
      <c r="D35" s="92" t="s">
        <v>4481</v>
      </c>
      <c r="E35" s="225">
        <v>15129999</v>
      </c>
      <c r="F35" s="93">
        <v>3263.84</v>
      </c>
      <c r="G35" s="93">
        <v>2063.23</v>
      </c>
      <c r="H35" s="93">
        <v>1200.6099999999999</v>
      </c>
      <c r="I35" s="92" t="s">
        <v>187</v>
      </c>
    </row>
    <row r="36" spans="1:9" s="94" customFormat="1">
      <c r="A36" s="92">
        <v>33</v>
      </c>
      <c r="B36" s="224" t="s">
        <v>212</v>
      </c>
      <c r="C36" s="92" t="s">
        <v>5038</v>
      </c>
      <c r="D36" s="92" t="s">
        <v>4481</v>
      </c>
      <c r="E36" s="225">
        <v>14769999</v>
      </c>
      <c r="F36" s="93">
        <v>3263.84</v>
      </c>
      <c r="G36" s="93">
        <v>2063.23</v>
      </c>
      <c r="H36" s="93">
        <v>1200.6099999999999</v>
      </c>
      <c r="I36" s="92" t="s">
        <v>186</v>
      </c>
    </row>
    <row r="37" spans="1:9">
      <c r="A37" s="92">
        <v>34</v>
      </c>
      <c r="B37" s="224" t="s">
        <v>211</v>
      </c>
      <c r="C37" s="92" t="s">
        <v>5036</v>
      </c>
      <c r="D37" s="92" t="s">
        <v>4481</v>
      </c>
      <c r="E37" s="225">
        <v>14699999</v>
      </c>
      <c r="F37" s="93">
        <v>3263.84</v>
      </c>
      <c r="G37" s="93">
        <v>2063.23</v>
      </c>
      <c r="H37" s="93">
        <v>1200.6099999999999</v>
      </c>
      <c r="I37" s="92" t="s">
        <v>185</v>
      </c>
    </row>
    <row r="38" spans="1:9">
      <c r="A38" s="92">
        <v>35</v>
      </c>
      <c r="B38" s="224" t="s">
        <v>210</v>
      </c>
      <c r="C38" s="92" t="s">
        <v>5036</v>
      </c>
      <c r="D38" s="92" t="s">
        <v>4481</v>
      </c>
      <c r="E38" s="225">
        <v>15199999</v>
      </c>
      <c r="F38" s="93">
        <v>3263.84</v>
      </c>
      <c r="G38" s="93">
        <v>2063.23</v>
      </c>
      <c r="H38" s="93">
        <v>1200.6099999999999</v>
      </c>
      <c r="I38" s="92" t="s">
        <v>187</v>
      </c>
    </row>
    <row r="39" spans="1:9">
      <c r="A39" s="92">
        <v>36</v>
      </c>
      <c r="B39" s="224" t="s">
        <v>209</v>
      </c>
      <c r="C39" s="92" t="s">
        <v>5038</v>
      </c>
      <c r="D39" s="92" t="s">
        <v>4481</v>
      </c>
      <c r="E39" s="225">
        <v>15269999</v>
      </c>
      <c r="F39" s="93">
        <v>3263.84</v>
      </c>
      <c r="G39" s="93">
        <v>2063.23</v>
      </c>
      <c r="H39" s="93">
        <v>1200.6099999999999</v>
      </c>
      <c r="I39" s="92" t="s">
        <v>187</v>
      </c>
    </row>
    <row r="40" spans="1:9">
      <c r="A40" s="92">
        <v>37</v>
      </c>
      <c r="B40" s="224" t="s">
        <v>208</v>
      </c>
      <c r="C40" s="92" t="s">
        <v>5039</v>
      </c>
      <c r="D40" s="92" t="s">
        <v>4481</v>
      </c>
      <c r="E40" s="225">
        <v>14839999</v>
      </c>
      <c r="F40" s="93">
        <v>3263.84</v>
      </c>
      <c r="G40" s="93">
        <v>2063.23</v>
      </c>
      <c r="H40" s="93">
        <v>1200.6099999999999</v>
      </c>
      <c r="I40" s="92" t="s">
        <v>186</v>
      </c>
    </row>
    <row r="41" spans="1:9" ht="15.75" customHeight="1">
      <c r="A41" s="92">
        <v>38</v>
      </c>
      <c r="B41" s="224" t="s">
        <v>207</v>
      </c>
      <c r="C41" s="92" t="s">
        <v>5040</v>
      </c>
      <c r="D41" s="92" t="s">
        <v>4481</v>
      </c>
      <c r="E41" s="225">
        <v>14909999</v>
      </c>
      <c r="F41" s="93">
        <v>3263.84</v>
      </c>
      <c r="G41" s="93">
        <v>2063.23</v>
      </c>
      <c r="H41" s="93">
        <v>1200.6099999999999</v>
      </c>
      <c r="I41" s="92" t="s">
        <v>186</v>
      </c>
    </row>
    <row r="42" spans="1:9" ht="15.75" customHeight="1">
      <c r="A42" s="92">
        <v>39</v>
      </c>
      <c r="B42" s="224" t="s">
        <v>206</v>
      </c>
      <c r="C42" s="92" t="s">
        <v>5039</v>
      </c>
      <c r="D42" s="92" t="s">
        <v>4481</v>
      </c>
      <c r="E42" s="225">
        <v>14839999</v>
      </c>
      <c r="F42" s="93">
        <v>3263.84</v>
      </c>
      <c r="G42" s="93">
        <v>2063.23</v>
      </c>
      <c r="H42" s="93">
        <v>1200.6099999999999</v>
      </c>
      <c r="I42" s="92" t="s">
        <v>185</v>
      </c>
    </row>
    <row r="43" spans="1:9" ht="15.75" customHeight="1">
      <c r="A43" s="92">
        <v>40</v>
      </c>
      <c r="B43" s="224" t="s">
        <v>205</v>
      </c>
      <c r="C43" s="92" t="s">
        <v>5040</v>
      </c>
      <c r="D43" s="92" t="s">
        <v>4481</v>
      </c>
      <c r="E43" s="225">
        <v>14909999</v>
      </c>
      <c r="F43" s="93">
        <v>3263.84</v>
      </c>
      <c r="G43" s="93">
        <v>2063.23</v>
      </c>
      <c r="H43" s="93">
        <v>1200.6099999999999</v>
      </c>
      <c r="I43" s="92" t="s">
        <v>185</v>
      </c>
    </row>
    <row r="44" spans="1:9" ht="15.75" customHeight="1">
      <c r="A44" s="92">
        <v>41</v>
      </c>
      <c r="B44" s="224" t="s">
        <v>204</v>
      </c>
      <c r="C44" s="92" t="s">
        <v>5041</v>
      </c>
      <c r="D44" s="92" t="s">
        <v>4481</v>
      </c>
      <c r="E44" s="225">
        <v>15049999</v>
      </c>
      <c r="F44" s="93">
        <v>3263.84</v>
      </c>
      <c r="G44" s="93">
        <v>2063.23</v>
      </c>
      <c r="H44" s="93">
        <v>1200.6099999999999</v>
      </c>
      <c r="I44" s="92" t="s">
        <v>186</v>
      </c>
    </row>
    <row r="45" spans="1:9" ht="15.75" customHeight="1">
      <c r="A45" s="92">
        <v>42</v>
      </c>
      <c r="B45" s="224" t="s">
        <v>203</v>
      </c>
      <c r="C45" s="92" t="s">
        <v>5042</v>
      </c>
      <c r="D45" s="92" t="s">
        <v>4481</v>
      </c>
      <c r="E45" s="225">
        <v>14979999</v>
      </c>
      <c r="F45" s="93">
        <v>3263.84</v>
      </c>
      <c r="G45" s="93">
        <v>2063.23</v>
      </c>
      <c r="H45" s="93">
        <v>1200.6099999999999</v>
      </c>
      <c r="I45" s="92" t="s">
        <v>185</v>
      </c>
    </row>
    <row r="46" spans="1:9" ht="15.75" customHeight="1">
      <c r="A46" s="92">
        <v>43</v>
      </c>
      <c r="B46" s="224" t="s">
        <v>202</v>
      </c>
      <c r="C46" s="92" t="s">
        <v>5042</v>
      </c>
      <c r="D46" s="92" t="s">
        <v>4481</v>
      </c>
      <c r="E46" s="225">
        <v>15479999</v>
      </c>
      <c r="F46" s="93">
        <v>3263.84</v>
      </c>
      <c r="G46" s="93">
        <v>2063.23</v>
      </c>
      <c r="H46" s="93">
        <v>1200.6099999999999</v>
      </c>
      <c r="I46" s="92" t="s">
        <v>187</v>
      </c>
    </row>
    <row r="47" spans="1:9" ht="15.75" customHeight="1">
      <c r="A47" s="92">
        <v>44</v>
      </c>
      <c r="B47" s="224" t="s">
        <v>278</v>
      </c>
      <c r="C47" s="92" t="s">
        <v>5041</v>
      </c>
      <c r="D47" s="92" t="s">
        <v>4481</v>
      </c>
      <c r="E47" s="225">
        <v>15049999</v>
      </c>
      <c r="F47" s="93">
        <v>3263.84</v>
      </c>
      <c r="G47" s="93">
        <v>2063.23</v>
      </c>
      <c r="H47" s="93">
        <v>1200.6099999999999</v>
      </c>
      <c r="I47" s="92" t="s">
        <v>185</v>
      </c>
    </row>
    <row r="48" spans="1:9" ht="15.75" customHeight="1">
      <c r="A48" s="92">
        <v>45</v>
      </c>
      <c r="B48" s="224" t="s">
        <v>201</v>
      </c>
      <c r="C48" s="92" t="s">
        <v>5041</v>
      </c>
      <c r="D48" s="92" t="s">
        <v>4481</v>
      </c>
      <c r="E48" s="225">
        <v>15549999</v>
      </c>
      <c r="F48" s="93">
        <v>3263.84</v>
      </c>
      <c r="G48" s="93">
        <v>2063.23</v>
      </c>
      <c r="H48" s="93">
        <v>1200.6099999999999</v>
      </c>
      <c r="I48" s="92" t="s">
        <v>187</v>
      </c>
    </row>
    <row r="49" spans="1:9" ht="15.75" customHeight="1">
      <c r="A49" s="92">
        <v>46</v>
      </c>
      <c r="B49" s="224" t="s">
        <v>200</v>
      </c>
      <c r="C49" s="92" t="s">
        <v>5043</v>
      </c>
      <c r="D49" s="92" t="s">
        <v>4481</v>
      </c>
      <c r="E49" s="225">
        <v>15619999</v>
      </c>
      <c r="F49" s="93">
        <v>3263.84</v>
      </c>
      <c r="G49" s="93">
        <v>2063.23</v>
      </c>
      <c r="H49" s="93">
        <v>1200.6099999999999</v>
      </c>
      <c r="I49" s="92" t="s">
        <v>187</v>
      </c>
    </row>
    <row r="50" spans="1:9" ht="15.75" customHeight="1">
      <c r="A50" s="92">
        <v>47</v>
      </c>
      <c r="B50" s="224" t="s">
        <v>199</v>
      </c>
      <c r="C50" s="92" t="s">
        <v>5043</v>
      </c>
      <c r="D50" s="92" t="s">
        <v>4481</v>
      </c>
      <c r="E50" s="225">
        <v>15119999</v>
      </c>
      <c r="F50" s="93">
        <v>3263.84</v>
      </c>
      <c r="G50" s="93">
        <v>2063.23</v>
      </c>
      <c r="H50" s="93">
        <v>1200.6099999999999</v>
      </c>
      <c r="I50" s="92" t="s">
        <v>186</v>
      </c>
    </row>
    <row r="51" spans="1:9" ht="15.75" customHeight="1">
      <c r="A51" s="92">
        <v>48</v>
      </c>
      <c r="B51" s="224" t="s">
        <v>198</v>
      </c>
      <c r="C51" s="92" t="s">
        <v>5044</v>
      </c>
      <c r="D51" s="92" t="s">
        <v>4481</v>
      </c>
      <c r="E51" s="225">
        <v>15189999</v>
      </c>
      <c r="F51" s="93">
        <v>3263.84</v>
      </c>
      <c r="G51" s="93">
        <v>2063.23</v>
      </c>
      <c r="H51" s="93">
        <v>1200.6099999999999</v>
      </c>
      <c r="I51" s="92" t="s">
        <v>186</v>
      </c>
    </row>
    <row r="52" spans="1:9" ht="15.75" customHeight="1">
      <c r="A52" s="92">
        <v>49</v>
      </c>
      <c r="B52" s="224" t="s">
        <v>197</v>
      </c>
      <c r="C52" s="92" t="s">
        <v>5045</v>
      </c>
      <c r="D52" s="92" t="s">
        <v>4481</v>
      </c>
      <c r="E52" s="225">
        <v>15259999</v>
      </c>
      <c r="F52" s="93">
        <v>3263.84</v>
      </c>
      <c r="G52" s="93">
        <v>2063.23</v>
      </c>
      <c r="H52" s="93">
        <v>1200.6099999999999</v>
      </c>
      <c r="I52" s="92" t="s">
        <v>186</v>
      </c>
    </row>
    <row r="53" spans="1:9" ht="15.75" customHeight="1">
      <c r="A53" s="92">
        <v>50</v>
      </c>
      <c r="B53" s="224" t="s">
        <v>686</v>
      </c>
      <c r="C53" s="92" t="s">
        <v>5044</v>
      </c>
      <c r="D53" s="92" t="s">
        <v>4481</v>
      </c>
      <c r="E53" s="225">
        <v>15189999</v>
      </c>
      <c r="F53" s="93">
        <v>3263.84</v>
      </c>
      <c r="G53" s="93">
        <v>2063.23</v>
      </c>
      <c r="H53" s="93">
        <v>1200.6099999999999</v>
      </c>
      <c r="I53" s="92" t="s">
        <v>185</v>
      </c>
    </row>
    <row r="54" spans="1:9" ht="15.75" customHeight="1">
      <c r="A54" s="92">
        <v>51</v>
      </c>
      <c r="B54" s="224" t="s">
        <v>196</v>
      </c>
      <c r="C54" s="92" t="s">
        <v>5044</v>
      </c>
      <c r="D54" s="92" t="s">
        <v>4481</v>
      </c>
      <c r="E54" s="225">
        <v>15689999</v>
      </c>
      <c r="F54" s="93">
        <v>3263.84</v>
      </c>
      <c r="G54" s="93">
        <v>2063.23</v>
      </c>
      <c r="H54" s="93">
        <v>1200.6099999999999</v>
      </c>
      <c r="I54" s="92" t="s">
        <v>187</v>
      </c>
    </row>
    <row r="55" spans="1:9" ht="15.75" customHeight="1">
      <c r="A55" s="92">
        <v>52</v>
      </c>
      <c r="B55" s="224" t="s">
        <v>195</v>
      </c>
      <c r="C55" s="92" t="s">
        <v>5046</v>
      </c>
      <c r="D55" s="92" t="s">
        <v>4481</v>
      </c>
      <c r="E55" s="225">
        <v>15329999</v>
      </c>
      <c r="F55" s="93">
        <v>3263.84</v>
      </c>
      <c r="G55" s="93">
        <v>2063.23</v>
      </c>
      <c r="H55" s="93">
        <v>1200.6099999999999</v>
      </c>
      <c r="I55" s="92" t="s">
        <v>186</v>
      </c>
    </row>
    <row r="56" spans="1:9" ht="15.75" customHeight="1">
      <c r="A56" s="92">
        <v>53</v>
      </c>
      <c r="B56" s="224" t="s">
        <v>194</v>
      </c>
      <c r="C56" s="92" t="s">
        <v>5045</v>
      </c>
      <c r="D56" s="92" t="s">
        <v>4481</v>
      </c>
      <c r="E56" s="225">
        <v>15759999</v>
      </c>
      <c r="F56" s="93">
        <v>3263.84</v>
      </c>
      <c r="G56" s="93">
        <v>2063.23</v>
      </c>
      <c r="H56" s="93">
        <v>1200.6099999999999</v>
      </c>
      <c r="I56" s="92" t="s">
        <v>187</v>
      </c>
    </row>
    <row r="57" spans="1:9" ht="15.75" customHeight="1">
      <c r="A57" s="92">
        <v>54</v>
      </c>
      <c r="B57" s="224" t="s">
        <v>4491</v>
      </c>
      <c r="C57" s="92" t="s">
        <v>5045</v>
      </c>
      <c r="D57" s="92" t="s">
        <v>4481</v>
      </c>
      <c r="E57" s="225">
        <v>16259999</v>
      </c>
      <c r="F57" s="93">
        <v>3263.84</v>
      </c>
      <c r="G57" s="93">
        <v>2063.23</v>
      </c>
      <c r="H57" s="93">
        <v>1200.6099999999999</v>
      </c>
      <c r="I57" s="92" t="s">
        <v>685</v>
      </c>
    </row>
    <row r="58" spans="1:9" ht="15.75" customHeight="1">
      <c r="A58" s="92">
        <v>55</v>
      </c>
      <c r="B58" s="224" t="s">
        <v>193</v>
      </c>
      <c r="C58" s="92" t="s">
        <v>5046</v>
      </c>
      <c r="D58" s="92" t="s">
        <v>4481</v>
      </c>
      <c r="E58" s="225">
        <v>15829999</v>
      </c>
      <c r="F58" s="93">
        <v>3263.84</v>
      </c>
      <c r="G58" s="93">
        <v>2063.23</v>
      </c>
      <c r="H58" s="93">
        <v>1200.6099999999999</v>
      </c>
      <c r="I58" s="92" t="s">
        <v>187</v>
      </c>
    </row>
    <row r="59" spans="1:9" ht="15.75" customHeight="1">
      <c r="A59" s="92">
        <v>56</v>
      </c>
      <c r="B59" s="224" t="s">
        <v>192</v>
      </c>
      <c r="C59" s="92" t="s">
        <v>5047</v>
      </c>
      <c r="D59" s="92" t="s">
        <v>4481</v>
      </c>
      <c r="E59" s="225">
        <v>15399999</v>
      </c>
      <c r="F59" s="93">
        <v>3263.84</v>
      </c>
      <c r="G59" s="93">
        <v>2063.23</v>
      </c>
      <c r="H59" s="93">
        <v>1200.6099999999999</v>
      </c>
      <c r="I59" s="92" t="s">
        <v>186</v>
      </c>
    </row>
    <row r="60" spans="1:9" ht="15.75" customHeight="1">
      <c r="A60" s="92">
        <v>57</v>
      </c>
      <c r="B60" s="224" t="s">
        <v>191</v>
      </c>
      <c r="C60" s="92" t="s">
        <v>5047</v>
      </c>
      <c r="D60" s="92" t="s">
        <v>4481</v>
      </c>
      <c r="E60" s="225">
        <v>15899999</v>
      </c>
      <c r="F60" s="93">
        <v>3263.84</v>
      </c>
      <c r="G60" s="93">
        <v>2063.23</v>
      </c>
      <c r="H60" s="93">
        <v>1200.6099999999999</v>
      </c>
      <c r="I60" s="92" t="s">
        <v>187</v>
      </c>
    </row>
    <row r="61" spans="1:9" ht="15.75" customHeight="1">
      <c r="A61" s="92">
        <v>58</v>
      </c>
      <c r="B61" s="224" t="s">
        <v>873</v>
      </c>
      <c r="C61" s="92" t="s">
        <v>5048</v>
      </c>
      <c r="D61" s="92" t="s">
        <v>4481</v>
      </c>
      <c r="E61" s="225">
        <v>15969999</v>
      </c>
      <c r="F61" s="93">
        <v>3263.84</v>
      </c>
      <c r="G61" s="93">
        <v>2063.23</v>
      </c>
      <c r="H61" s="93">
        <v>1200.6099999999999</v>
      </c>
      <c r="I61" s="92" t="s">
        <v>187</v>
      </c>
    </row>
    <row r="62" spans="1:9" ht="15.75" customHeight="1">
      <c r="A62" s="92">
        <v>59</v>
      </c>
      <c r="B62" s="224" t="s">
        <v>190</v>
      </c>
      <c r="C62" s="92" t="s">
        <v>5048</v>
      </c>
      <c r="D62" s="92" t="s">
        <v>4481</v>
      </c>
      <c r="E62" s="225">
        <v>15469999</v>
      </c>
      <c r="F62" s="93">
        <v>3263.84</v>
      </c>
      <c r="G62" s="93">
        <v>2063.23</v>
      </c>
      <c r="H62" s="93">
        <v>1200.6099999999999</v>
      </c>
      <c r="I62" s="92" t="s">
        <v>186</v>
      </c>
    </row>
    <row r="63" spans="1:9" ht="15.75" customHeight="1">
      <c r="A63" s="92">
        <v>60</v>
      </c>
      <c r="B63" s="224" t="s">
        <v>189</v>
      </c>
      <c r="C63" s="92" t="s">
        <v>5049</v>
      </c>
      <c r="D63" s="92" t="s">
        <v>4481</v>
      </c>
      <c r="E63" s="225">
        <v>15539999</v>
      </c>
      <c r="F63" s="93">
        <v>3263.84</v>
      </c>
      <c r="G63" s="93">
        <v>2063.23</v>
      </c>
      <c r="H63" s="93">
        <v>1200.6099999999999</v>
      </c>
      <c r="I63" s="92" t="s">
        <v>186</v>
      </c>
    </row>
    <row r="64" spans="1:9" ht="15.75" customHeight="1">
      <c r="A64" s="92">
        <v>61</v>
      </c>
      <c r="B64" s="224" t="s">
        <v>188</v>
      </c>
      <c r="C64" s="92" t="s">
        <v>5050</v>
      </c>
      <c r="D64" s="92" t="s">
        <v>4481</v>
      </c>
      <c r="E64" s="225">
        <v>15609999</v>
      </c>
      <c r="F64" s="93">
        <v>3263.84</v>
      </c>
      <c r="G64" s="93">
        <v>2063.23</v>
      </c>
      <c r="H64" s="93">
        <v>1200.6099999999999</v>
      </c>
      <c r="I64" s="92" t="s">
        <v>186</v>
      </c>
    </row>
    <row r="65" spans="1:9" ht="15.75" customHeight="1">
      <c r="A65" s="92">
        <v>62</v>
      </c>
      <c r="B65" s="224" t="s">
        <v>874</v>
      </c>
      <c r="C65" s="92" t="s">
        <v>5049</v>
      </c>
      <c r="D65" s="92" t="s">
        <v>4481</v>
      </c>
      <c r="E65" s="225">
        <v>16039999</v>
      </c>
      <c r="F65" s="93">
        <v>3263.84</v>
      </c>
      <c r="G65" s="93">
        <v>2063.23</v>
      </c>
      <c r="H65" s="93">
        <v>1200.6099999999999</v>
      </c>
      <c r="I65" s="92" t="s">
        <v>187</v>
      </c>
    </row>
    <row r="66" spans="1:9" ht="15.75" customHeight="1">
      <c r="A66" s="92">
        <v>63</v>
      </c>
      <c r="B66" s="224" t="s">
        <v>875</v>
      </c>
      <c r="C66" s="92" t="s">
        <v>5051</v>
      </c>
      <c r="D66" s="92" t="s">
        <v>4481</v>
      </c>
      <c r="E66" s="225">
        <v>16179999</v>
      </c>
      <c r="F66" s="93">
        <v>3263.83</v>
      </c>
      <c r="G66" s="93">
        <v>2063.23</v>
      </c>
      <c r="H66" s="93">
        <v>1200.6099999999999</v>
      </c>
      <c r="I66" s="92" t="s">
        <v>187</v>
      </c>
    </row>
    <row r="67" spans="1:9" ht="15.75" customHeight="1">
      <c r="A67" s="92">
        <v>64</v>
      </c>
      <c r="B67" s="224" t="s">
        <v>876</v>
      </c>
      <c r="C67" s="92" t="s">
        <v>5051</v>
      </c>
      <c r="D67" s="92" t="s">
        <v>4481</v>
      </c>
      <c r="E67" s="225">
        <v>16679999</v>
      </c>
      <c r="F67" s="93">
        <v>3263.83</v>
      </c>
      <c r="G67" s="93">
        <v>2063.23</v>
      </c>
      <c r="H67" s="93">
        <v>1200.6099999999999</v>
      </c>
      <c r="I67" s="92" t="s">
        <v>685</v>
      </c>
    </row>
    <row r="68" spans="1:9" ht="15.75" customHeight="1">
      <c r="A68" s="92">
        <v>65</v>
      </c>
      <c r="B68" s="224" t="s">
        <v>877</v>
      </c>
      <c r="C68" s="92" t="s">
        <v>5052</v>
      </c>
      <c r="D68" s="92" t="s">
        <v>4481</v>
      </c>
      <c r="E68" s="225">
        <v>16249999</v>
      </c>
      <c r="F68" s="93">
        <v>3263.83</v>
      </c>
      <c r="G68" s="93">
        <v>2063.23</v>
      </c>
      <c r="H68" s="93">
        <v>1200.6099999999999</v>
      </c>
      <c r="I68" s="92" t="s">
        <v>187</v>
      </c>
    </row>
    <row r="69" spans="1:9" ht="15.75" customHeight="1">
      <c r="A69" s="92">
        <v>66</v>
      </c>
      <c r="B69" s="224" t="s">
        <v>878</v>
      </c>
      <c r="C69" s="92" t="s">
        <v>5053</v>
      </c>
      <c r="D69" s="92" t="s">
        <v>4481</v>
      </c>
      <c r="E69" s="225">
        <v>15959999</v>
      </c>
      <c r="F69" s="93">
        <v>3263.83</v>
      </c>
      <c r="G69" s="93">
        <v>2063.23</v>
      </c>
      <c r="H69" s="93">
        <v>1200.6099999999999</v>
      </c>
      <c r="I69" s="92" t="s">
        <v>186</v>
      </c>
    </row>
    <row r="70" spans="1:9" ht="15.75" customHeight="1">
      <c r="A70" s="92">
        <v>67</v>
      </c>
      <c r="B70" s="224" t="s">
        <v>879</v>
      </c>
      <c r="C70" s="92" t="s">
        <v>5054</v>
      </c>
      <c r="D70" s="92" t="s">
        <v>4481</v>
      </c>
      <c r="E70" s="225">
        <v>16029999</v>
      </c>
      <c r="F70" s="93">
        <v>3263.83</v>
      </c>
      <c r="G70" s="93">
        <v>2063.23</v>
      </c>
      <c r="H70" s="93">
        <v>1200.6099999999999</v>
      </c>
      <c r="I70" s="92" t="s">
        <v>186</v>
      </c>
    </row>
    <row r="71" spans="1:9" ht="15.75" customHeight="1">
      <c r="A71" s="92">
        <v>68</v>
      </c>
      <c r="B71" s="224" t="s">
        <v>880</v>
      </c>
      <c r="C71" s="92" t="s">
        <v>5053</v>
      </c>
      <c r="D71" s="92" t="s">
        <v>4481</v>
      </c>
      <c r="E71" s="225">
        <v>16459999</v>
      </c>
      <c r="F71" s="93">
        <v>3263.83</v>
      </c>
      <c r="G71" s="93">
        <v>2063.23</v>
      </c>
      <c r="H71" s="93">
        <v>1200.6099999999999</v>
      </c>
      <c r="I71" s="92" t="s">
        <v>187</v>
      </c>
    </row>
    <row r="72" spans="1:9" ht="15.75" customHeight="1">
      <c r="A72" s="92">
        <v>69</v>
      </c>
      <c r="B72" s="224" t="s">
        <v>687</v>
      </c>
      <c r="C72" s="92" t="s">
        <v>5055</v>
      </c>
      <c r="D72" s="92" t="s">
        <v>4481</v>
      </c>
      <c r="E72" s="225">
        <v>16099999</v>
      </c>
      <c r="F72" s="93">
        <v>3263.84</v>
      </c>
      <c r="G72" s="93">
        <v>2063.23</v>
      </c>
      <c r="H72" s="93">
        <v>1200.6099999999999</v>
      </c>
      <c r="I72" s="92" t="s">
        <v>186</v>
      </c>
    </row>
    <row r="73" spans="1:9" ht="15.75" customHeight="1">
      <c r="A73" s="92">
        <v>70</v>
      </c>
      <c r="B73" s="224" t="s">
        <v>4405</v>
      </c>
      <c r="C73" s="92" t="s">
        <v>5028</v>
      </c>
      <c r="D73" s="92" t="s">
        <v>4482</v>
      </c>
      <c r="E73" s="225">
        <v>17000000</v>
      </c>
      <c r="F73" s="93">
        <v>4237.96</v>
      </c>
      <c r="G73" s="93">
        <v>2835.21</v>
      </c>
      <c r="H73" s="93">
        <v>1402.75</v>
      </c>
      <c r="I73" s="92" t="s">
        <v>5016</v>
      </c>
    </row>
    <row r="74" spans="1:9" ht="15.75" customHeight="1">
      <c r="A74" s="92">
        <v>71</v>
      </c>
      <c r="B74" s="224" t="s">
        <v>4406</v>
      </c>
      <c r="C74" s="92" t="s">
        <v>5027</v>
      </c>
      <c r="D74" s="92" t="s">
        <v>4482</v>
      </c>
      <c r="E74" s="225">
        <v>17800000</v>
      </c>
      <c r="F74" s="93">
        <v>4229.1400000000003</v>
      </c>
      <c r="G74" s="93">
        <v>2826.39</v>
      </c>
      <c r="H74" s="93">
        <v>1402.75</v>
      </c>
      <c r="I74" s="92" t="s">
        <v>5016</v>
      </c>
    </row>
    <row r="75" spans="1:9" ht="15.75" customHeight="1">
      <c r="A75" s="92">
        <v>72</v>
      </c>
      <c r="B75" s="224" t="s">
        <v>4407</v>
      </c>
      <c r="C75" s="92" t="s">
        <v>5027</v>
      </c>
      <c r="D75" s="92" t="s">
        <v>4482</v>
      </c>
      <c r="E75" s="225">
        <v>17100000</v>
      </c>
      <c r="F75" s="93">
        <v>4237.96</v>
      </c>
      <c r="G75" s="93">
        <v>2835.21</v>
      </c>
      <c r="H75" s="93">
        <v>1402.75</v>
      </c>
      <c r="I75" s="92" t="s">
        <v>5016</v>
      </c>
    </row>
    <row r="76" spans="1:9" ht="15.75" customHeight="1">
      <c r="A76" s="92">
        <v>73</v>
      </c>
      <c r="B76" s="224" t="s">
        <v>4408</v>
      </c>
      <c r="C76" s="92" t="s">
        <v>5028</v>
      </c>
      <c r="D76" s="92" t="s">
        <v>4482</v>
      </c>
      <c r="E76" s="225">
        <v>17500000</v>
      </c>
      <c r="F76" s="93">
        <v>4229.1400000000003</v>
      </c>
      <c r="G76" s="93">
        <v>2826.39</v>
      </c>
      <c r="H76" s="93">
        <v>1402.75</v>
      </c>
      <c r="I76" s="92" t="s">
        <v>5020</v>
      </c>
    </row>
    <row r="77" spans="1:9" ht="15.75" customHeight="1">
      <c r="A77" s="92">
        <v>74</v>
      </c>
      <c r="B77" s="224" t="s">
        <v>4409</v>
      </c>
      <c r="C77" s="92" t="s">
        <v>5025</v>
      </c>
      <c r="D77" s="92" t="s">
        <v>4482</v>
      </c>
      <c r="E77" s="225">
        <v>17400000</v>
      </c>
      <c r="F77" s="93">
        <v>4247.97</v>
      </c>
      <c r="G77" s="93">
        <v>2845.22</v>
      </c>
      <c r="H77" s="93">
        <v>1402.75</v>
      </c>
      <c r="I77" s="92" t="s">
        <v>5016</v>
      </c>
    </row>
    <row r="78" spans="1:9" ht="15.75" customHeight="1">
      <c r="A78" s="92">
        <v>75</v>
      </c>
      <c r="B78" s="224" t="s">
        <v>4410</v>
      </c>
      <c r="C78" s="92" t="s">
        <v>5026</v>
      </c>
      <c r="D78" s="92" t="s">
        <v>4482</v>
      </c>
      <c r="E78" s="225">
        <v>17300000</v>
      </c>
      <c r="F78" s="93">
        <v>4247.97</v>
      </c>
      <c r="G78" s="93">
        <v>2845.22</v>
      </c>
      <c r="H78" s="93">
        <v>1402.75</v>
      </c>
      <c r="I78" s="92" t="s">
        <v>5016</v>
      </c>
    </row>
    <row r="79" spans="1:9" ht="15.75" customHeight="1">
      <c r="A79" s="92">
        <v>76</v>
      </c>
      <c r="B79" s="224" t="s">
        <v>4411</v>
      </c>
      <c r="C79" s="92" t="s">
        <v>5024</v>
      </c>
      <c r="D79" s="92" t="s">
        <v>4482</v>
      </c>
      <c r="E79" s="225">
        <v>17500000</v>
      </c>
      <c r="F79" s="93">
        <v>4247.97</v>
      </c>
      <c r="G79" s="93">
        <v>2845.22</v>
      </c>
      <c r="H79" s="93">
        <v>1402.75</v>
      </c>
      <c r="I79" s="92" t="s">
        <v>5016</v>
      </c>
    </row>
    <row r="80" spans="1:9" ht="15.75" customHeight="1">
      <c r="A80" s="92">
        <v>77</v>
      </c>
      <c r="B80" s="224" t="s">
        <v>4412</v>
      </c>
      <c r="C80" s="92" t="s">
        <v>5022</v>
      </c>
      <c r="D80" s="92" t="s">
        <v>4482</v>
      </c>
      <c r="E80" s="225">
        <v>17700000</v>
      </c>
      <c r="F80" s="93">
        <v>4247.97</v>
      </c>
      <c r="G80" s="93">
        <v>2845.22</v>
      </c>
      <c r="H80" s="93">
        <v>1402.75</v>
      </c>
      <c r="I80" s="92" t="s">
        <v>5016</v>
      </c>
    </row>
    <row r="81" spans="1:9" ht="15.75" customHeight="1">
      <c r="A81" s="92">
        <v>78</v>
      </c>
      <c r="B81" s="224" t="s">
        <v>4413</v>
      </c>
      <c r="C81" s="92" t="s">
        <v>5023</v>
      </c>
      <c r="D81" s="92" t="s">
        <v>4482</v>
      </c>
      <c r="E81" s="225">
        <v>18000000</v>
      </c>
      <c r="F81" s="93">
        <v>4229.46</v>
      </c>
      <c r="G81" s="93">
        <v>2827.03</v>
      </c>
      <c r="H81" s="93">
        <v>1402.43</v>
      </c>
      <c r="I81" s="92" t="s">
        <v>5020</v>
      </c>
    </row>
    <row r="82" spans="1:9" ht="15.75" customHeight="1">
      <c r="A82" s="92">
        <v>79</v>
      </c>
      <c r="B82" s="224" t="s">
        <v>4414</v>
      </c>
      <c r="C82" s="92" t="s">
        <v>5056</v>
      </c>
      <c r="D82" s="92" t="s">
        <v>4482</v>
      </c>
      <c r="E82" s="225">
        <v>17900000</v>
      </c>
      <c r="F82" s="93">
        <v>4247.97</v>
      </c>
      <c r="G82" s="93">
        <v>2845.22</v>
      </c>
      <c r="H82" s="93">
        <v>1402.75</v>
      </c>
      <c r="I82" s="92" t="s">
        <v>5016</v>
      </c>
    </row>
    <row r="83" spans="1:9" ht="15.75" customHeight="1">
      <c r="A83" s="92">
        <v>80</v>
      </c>
      <c r="B83" s="224" t="s">
        <v>4415</v>
      </c>
      <c r="C83" s="92" t="s">
        <v>5021</v>
      </c>
      <c r="D83" s="92" t="s">
        <v>4482</v>
      </c>
      <c r="E83" s="225">
        <v>17800000</v>
      </c>
      <c r="F83" s="93">
        <v>4247.97</v>
      </c>
      <c r="G83" s="93">
        <v>2845.22</v>
      </c>
      <c r="H83" s="93">
        <v>1402.75</v>
      </c>
      <c r="I83" s="92" t="s">
        <v>5016</v>
      </c>
    </row>
    <row r="84" spans="1:9" ht="15.75" customHeight="1">
      <c r="A84" s="92">
        <v>81</v>
      </c>
      <c r="B84" s="224" t="s">
        <v>4416</v>
      </c>
      <c r="C84" s="92" t="s">
        <v>5015</v>
      </c>
      <c r="D84" s="92" t="s">
        <v>4482</v>
      </c>
      <c r="E84" s="225">
        <v>16000000</v>
      </c>
      <c r="F84" s="93">
        <v>3357.04</v>
      </c>
      <c r="G84" s="93">
        <v>2721.22</v>
      </c>
      <c r="H84" s="93">
        <v>635.82000000000005</v>
      </c>
      <c r="I84" s="92" t="s">
        <v>5016</v>
      </c>
    </row>
    <row r="85" spans="1:9" ht="15.75" customHeight="1">
      <c r="A85" s="92">
        <v>82</v>
      </c>
      <c r="B85" s="224" t="s">
        <v>4417</v>
      </c>
      <c r="C85" s="92" t="s">
        <v>5017</v>
      </c>
      <c r="D85" s="92" t="s">
        <v>4481</v>
      </c>
      <c r="E85" s="225">
        <v>14200000</v>
      </c>
      <c r="F85" s="93">
        <v>3332.07</v>
      </c>
      <c r="G85" s="93">
        <v>2249.7600000000002</v>
      </c>
      <c r="H85" s="93">
        <v>1082.31</v>
      </c>
      <c r="I85" s="92" t="s">
        <v>5016</v>
      </c>
    </row>
    <row r="86" spans="1:9" ht="15.75" customHeight="1">
      <c r="A86" s="92">
        <v>83</v>
      </c>
      <c r="B86" s="224" t="s">
        <v>4418</v>
      </c>
      <c r="C86" s="92" t="s">
        <v>5018</v>
      </c>
      <c r="D86" s="92" t="s">
        <v>4482</v>
      </c>
      <c r="E86" s="225">
        <v>18200000</v>
      </c>
      <c r="F86" s="93">
        <v>4247.97</v>
      </c>
      <c r="G86" s="93">
        <v>2845.22</v>
      </c>
      <c r="H86" s="93">
        <v>1402.75</v>
      </c>
      <c r="I86" s="92" t="s">
        <v>5016</v>
      </c>
    </row>
  </sheetData>
  <autoFilter ref="A3:I86" xr:uid="{00000000-0001-0000-0100-000000000000}"/>
  <mergeCells count="2">
    <mergeCell ref="A1:I1"/>
    <mergeCell ref="A2:I2"/>
  </mergeCells>
  <conditionalFormatting sqref="B1 B3">
    <cfRule type="duplicateValues" dxfId="15882" priority="372"/>
    <cfRule type="duplicateValues" dxfId="15881" priority="373"/>
    <cfRule type="duplicateValues" dxfId="15880" priority="374"/>
    <cfRule type="duplicateValues" dxfId="15879" priority="375"/>
    <cfRule type="duplicateValues" dxfId="15878" priority="376"/>
    <cfRule type="duplicateValues" dxfId="15877" priority="377"/>
    <cfRule type="duplicateValues" dxfId="15876" priority="378"/>
    <cfRule type="duplicateValues" dxfId="15875" priority="379"/>
    <cfRule type="duplicateValues" dxfId="15874" priority="380"/>
    <cfRule type="duplicateValues" dxfId="15873" priority="381"/>
    <cfRule type="duplicateValues" dxfId="15872" priority="382"/>
    <cfRule type="duplicateValues" dxfId="15871" priority="383"/>
    <cfRule type="duplicateValues" dxfId="15870" priority="384"/>
    <cfRule type="duplicateValues" dxfId="15869" priority="385"/>
    <cfRule type="duplicateValues" dxfId="15868" priority="386"/>
    <cfRule type="duplicateValues" dxfId="15867" priority="387"/>
    <cfRule type="duplicateValues" dxfId="15866" priority="388"/>
    <cfRule type="duplicateValues" dxfId="15865" priority="389"/>
    <cfRule type="duplicateValues" dxfId="15864" priority="390"/>
    <cfRule type="duplicateValues" dxfId="15863" priority="391"/>
    <cfRule type="duplicateValues" dxfId="15862" priority="392"/>
    <cfRule type="duplicateValues" dxfId="15861" priority="393"/>
    <cfRule type="duplicateValues" dxfId="15860" priority="394"/>
    <cfRule type="duplicateValues" dxfId="15859" priority="395"/>
    <cfRule type="duplicateValues" dxfId="15858" priority="396"/>
    <cfRule type="duplicateValues" dxfId="15857" priority="397"/>
    <cfRule type="duplicateValues" dxfId="15856" priority="398"/>
    <cfRule type="duplicateValues" dxfId="15855" priority="399"/>
    <cfRule type="duplicateValues" dxfId="15854" priority="400"/>
    <cfRule type="duplicateValues" dxfId="15853" priority="401"/>
    <cfRule type="duplicateValues" dxfId="15852" priority="402"/>
    <cfRule type="duplicateValues" dxfId="15851" priority="403"/>
    <cfRule type="duplicateValues" dxfId="15850" priority="404"/>
    <cfRule type="duplicateValues" dxfId="15849" priority="405"/>
    <cfRule type="duplicateValues" dxfId="15848" priority="406"/>
    <cfRule type="duplicateValues" dxfId="15847" priority="407"/>
    <cfRule type="duplicateValues" dxfId="15846" priority="408"/>
    <cfRule type="duplicateValues" dxfId="15845" priority="409"/>
    <cfRule type="duplicateValues" dxfId="15844" priority="410"/>
    <cfRule type="duplicateValues" dxfId="15843" priority="411"/>
    <cfRule type="duplicateValues" dxfId="15842" priority="412"/>
    <cfRule type="duplicateValues" dxfId="15841" priority="413"/>
    <cfRule type="duplicateValues" dxfId="15840" priority="414"/>
    <cfRule type="duplicateValues" dxfId="15839" priority="415"/>
    <cfRule type="duplicateValues" dxfId="15838" priority="416"/>
    <cfRule type="duplicateValues" dxfId="15837" priority="417"/>
    <cfRule type="duplicateValues" dxfId="15836" priority="418"/>
    <cfRule type="duplicateValues" dxfId="15835" priority="419"/>
    <cfRule type="duplicateValues" dxfId="15834" priority="420"/>
    <cfRule type="duplicateValues" dxfId="15833" priority="421"/>
    <cfRule type="duplicateValues" dxfId="15832" priority="422"/>
    <cfRule type="duplicateValues" dxfId="15831" priority="423"/>
    <cfRule type="duplicateValues" dxfId="15830" priority="424"/>
    <cfRule type="duplicateValues" dxfId="15829" priority="425"/>
    <cfRule type="duplicateValues" dxfId="15828" priority="426"/>
    <cfRule type="duplicateValues" dxfId="15827" priority="427"/>
    <cfRule type="duplicateValues" dxfId="15826" priority="428"/>
    <cfRule type="duplicateValues" dxfId="15825" priority="429"/>
    <cfRule type="duplicateValues" dxfId="15824" priority="430"/>
    <cfRule type="duplicateValues" dxfId="15823" priority="431"/>
    <cfRule type="duplicateValues" dxfId="15822" priority="432"/>
  </conditionalFormatting>
  <conditionalFormatting sqref="B2">
    <cfRule type="duplicateValues" dxfId="15821" priority="64"/>
    <cfRule type="duplicateValues" dxfId="15820" priority="65"/>
    <cfRule type="duplicateValues" dxfId="15819" priority="66"/>
    <cfRule type="duplicateValues" dxfId="15818" priority="67"/>
    <cfRule type="duplicateValues" dxfId="15817" priority="68"/>
    <cfRule type="duplicateValues" dxfId="15816" priority="69"/>
    <cfRule type="duplicateValues" dxfId="15815" priority="70"/>
    <cfRule type="duplicateValues" dxfId="15814" priority="71"/>
    <cfRule type="duplicateValues" dxfId="15813" priority="72"/>
    <cfRule type="duplicateValues" dxfId="15812" priority="73"/>
    <cfRule type="duplicateValues" dxfId="15811" priority="74"/>
    <cfRule type="duplicateValues" dxfId="15810" priority="75"/>
    <cfRule type="duplicateValues" dxfId="15809" priority="76"/>
    <cfRule type="duplicateValues" dxfId="15808" priority="77"/>
    <cfRule type="duplicateValues" dxfId="15807" priority="78"/>
    <cfRule type="duplicateValues" dxfId="15806" priority="79"/>
    <cfRule type="duplicateValues" dxfId="15805" priority="80"/>
    <cfRule type="duplicateValues" dxfId="15804" priority="81"/>
    <cfRule type="duplicateValues" dxfId="15803" priority="82"/>
    <cfRule type="duplicateValues" dxfId="15802" priority="83"/>
    <cfRule type="duplicateValues" dxfId="15801" priority="84"/>
    <cfRule type="duplicateValues" dxfId="15800" priority="85"/>
    <cfRule type="duplicateValues" dxfId="15799" priority="86"/>
    <cfRule type="duplicateValues" dxfId="15798" priority="87"/>
    <cfRule type="duplicateValues" dxfId="15797" priority="88"/>
    <cfRule type="duplicateValues" dxfId="15796" priority="89"/>
    <cfRule type="duplicateValues" dxfId="15795" priority="90"/>
    <cfRule type="duplicateValues" dxfId="15794" priority="91"/>
    <cfRule type="duplicateValues" dxfId="15793" priority="92"/>
    <cfRule type="duplicateValues" dxfId="15792" priority="93"/>
    <cfRule type="duplicateValues" dxfId="15791" priority="94"/>
    <cfRule type="duplicateValues" dxfId="15790" priority="95"/>
    <cfRule type="duplicateValues" dxfId="15789" priority="96"/>
    <cfRule type="duplicateValues" dxfId="15788" priority="97"/>
    <cfRule type="duplicateValues" dxfId="15787" priority="98"/>
    <cfRule type="duplicateValues" dxfId="15786" priority="99"/>
    <cfRule type="duplicateValues" dxfId="15785" priority="100"/>
    <cfRule type="duplicateValues" dxfId="15784" priority="101"/>
    <cfRule type="duplicateValues" dxfId="15783" priority="102"/>
    <cfRule type="duplicateValues" dxfId="15782" priority="103"/>
    <cfRule type="duplicateValues" dxfId="15781" priority="104"/>
    <cfRule type="duplicateValues" dxfId="15780" priority="105"/>
    <cfRule type="duplicateValues" dxfId="15779" priority="106"/>
    <cfRule type="duplicateValues" dxfId="15778" priority="107"/>
    <cfRule type="duplicateValues" dxfId="15777" priority="108"/>
    <cfRule type="duplicateValues" dxfId="15776" priority="109"/>
    <cfRule type="duplicateValues" dxfId="15775" priority="110"/>
    <cfRule type="duplicateValues" dxfId="15774" priority="111"/>
    <cfRule type="duplicateValues" dxfId="15773" priority="112"/>
    <cfRule type="duplicateValues" dxfId="15772" priority="113"/>
    <cfRule type="duplicateValues" dxfId="15771" priority="114"/>
    <cfRule type="duplicateValues" dxfId="15770" priority="115"/>
    <cfRule type="duplicateValues" dxfId="15769" priority="116"/>
    <cfRule type="duplicateValues" dxfId="15768" priority="117"/>
    <cfRule type="duplicateValues" dxfId="15767" priority="118"/>
    <cfRule type="duplicateValues" dxfId="15766" priority="119"/>
    <cfRule type="duplicateValues" dxfId="15765" priority="120"/>
    <cfRule type="duplicateValues" dxfId="15764" priority="121"/>
    <cfRule type="duplicateValues" dxfId="15763" priority="122"/>
    <cfRule type="duplicateValues" dxfId="15762" priority="123"/>
    <cfRule type="duplicateValues" dxfId="15761" priority="124"/>
    <cfRule type="duplicateValues" dxfId="15760" priority="125"/>
    <cfRule type="duplicateValues" dxfId="15759" priority="126"/>
  </conditionalFormatting>
  <conditionalFormatting sqref="B3">
    <cfRule type="duplicateValues" dxfId="15758" priority="127"/>
  </conditionalFormatting>
  <conditionalFormatting sqref="B4:B6">
    <cfRule type="duplicateValues" dxfId="15757" priority="757"/>
    <cfRule type="duplicateValues" dxfId="15756" priority="758"/>
    <cfRule type="duplicateValues" dxfId="15755" priority="759"/>
    <cfRule type="duplicateValues" dxfId="15754" priority="760"/>
    <cfRule type="duplicateValues" dxfId="15753" priority="761"/>
    <cfRule type="duplicateValues" dxfId="15752" priority="762"/>
    <cfRule type="duplicateValues" dxfId="15751" priority="763"/>
    <cfRule type="duplicateValues" dxfId="15750" priority="764"/>
    <cfRule type="duplicateValues" dxfId="15749" priority="765"/>
    <cfRule type="duplicateValues" dxfId="15748" priority="766"/>
    <cfRule type="duplicateValues" dxfId="15747" priority="767"/>
    <cfRule type="duplicateValues" dxfId="15746" priority="768"/>
    <cfRule type="duplicateValues" dxfId="15745" priority="769"/>
    <cfRule type="duplicateValues" dxfId="15744" priority="770"/>
    <cfRule type="duplicateValues" dxfId="15743" priority="771"/>
    <cfRule type="duplicateValues" dxfId="15742" priority="772"/>
    <cfRule type="duplicateValues" dxfId="15741" priority="773"/>
    <cfRule type="duplicateValues" dxfId="15740" priority="774"/>
    <cfRule type="duplicateValues" dxfId="15739" priority="775"/>
    <cfRule type="duplicateValues" dxfId="15738" priority="776"/>
    <cfRule type="duplicateValues" dxfId="15737" priority="777"/>
    <cfRule type="duplicateValues" dxfId="15736" priority="778"/>
    <cfRule type="duplicateValues" dxfId="15735" priority="779"/>
    <cfRule type="duplicateValues" dxfId="15734" priority="780"/>
    <cfRule type="duplicateValues" dxfId="15733" priority="781"/>
    <cfRule type="duplicateValues" dxfId="15732" priority="782"/>
    <cfRule type="duplicateValues" dxfId="15731" priority="783"/>
    <cfRule type="duplicateValues" dxfId="15730" priority="784"/>
    <cfRule type="duplicateValues" dxfId="15729" priority="785"/>
    <cfRule type="duplicateValues" dxfId="15728" priority="786"/>
    <cfRule type="duplicateValues" dxfId="15727" priority="787"/>
    <cfRule type="duplicateValues" dxfId="15726" priority="788"/>
    <cfRule type="duplicateValues" dxfId="15725" priority="789"/>
    <cfRule type="duplicateValues" dxfId="15724" priority="790"/>
    <cfRule type="duplicateValues" dxfId="15723" priority="791"/>
    <cfRule type="duplicateValues" dxfId="15722" priority="792"/>
    <cfRule type="duplicateValues" dxfId="15721" priority="793"/>
    <cfRule type="duplicateValues" dxfId="15720" priority="794"/>
    <cfRule type="duplicateValues" dxfId="15719" priority="795"/>
    <cfRule type="duplicateValues" dxfId="15718" priority="796"/>
    <cfRule type="duplicateValues" dxfId="15717" priority="797"/>
    <cfRule type="duplicateValues" dxfId="15716" priority="798"/>
    <cfRule type="duplicateValues" dxfId="15715" priority="799"/>
    <cfRule type="duplicateValues" dxfId="15714" priority="800"/>
    <cfRule type="duplicateValues" dxfId="15713" priority="801"/>
    <cfRule type="duplicateValues" dxfId="15712" priority="802"/>
    <cfRule type="duplicateValues" dxfId="15711" priority="803"/>
    <cfRule type="duplicateValues" dxfId="15710" priority="804"/>
    <cfRule type="duplicateValues" dxfId="15709" priority="805"/>
    <cfRule type="duplicateValues" dxfId="15708" priority="806"/>
    <cfRule type="duplicateValues" dxfId="15707" priority="807"/>
    <cfRule type="duplicateValues" dxfId="15706" priority="808"/>
    <cfRule type="duplicateValues" dxfId="15705" priority="809"/>
    <cfRule type="duplicateValues" dxfId="15704" priority="810"/>
    <cfRule type="duplicateValues" dxfId="15703" priority="811"/>
    <cfRule type="duplicateValues" dxfId="15702" priority="812"/>
    <cfRule type="duplicateValues" dxfId="15701" priority="813"/>
    <cfRule type="duplicateValues" dxfId="15700" priority="814"/>
    <cfRule type="duplicateValues" dxfId="15699" priority="815"/>
    <cfRule type="duplicateValues" dxfId="15698" priority="816"/>
    <cfRule type="duplicateValues" dxfId="15697" priority="817"/>
  </conditionalFormatting>
  <conditionalFormatting sqref="B7">
    <cfRule type="duplicateValues" dxfId="15696" priority="90122"/>
    <cfRule type="duplicateValues" dxfId="15695" priority="90123"/>
    <cfRule type="duplicateValues" dxfId="15694" priority="90124"/>
    <cfRule type="duplicateValues" dxfId="15693" priority="90125"/>
    <cfRule type="duplicateValues" dxfId="15692" priority="90126"/>
    <cfRule type="duplicateValues" dxfId="15691" priority="90127"/>
    <cfRule type="duplicateValues" dxfId="15690" priority="90128"/>
    <cfRule type="duplicateValues" dxfId="15689" priority="90129"/>
    <cfRule type="duplicateValues" dxfId="15688" priority="90130"/>
    <cfRule type="duplicateValues" dxfId="15687" priority="90131"/>
    <cfRule type="duplicateValues" dxfId="15686" priority="90132"/>
    <cfRule type="duplicateValues" dxfId="15685" priority="90133"/>
    <cfRule type="duplicateValues" dxfId="15684" priority="90134"/>
    <cfRule type="duplicateValues" dxfId="15683" priority="90135"/>
    <cfRule type="duplicateValues" dxfId="15682" priority="90136"/>
    <cfRule type="duplicateValues" dxfId="15681" priority="90137"/>
    <cfRule type="duplicateValues" dxfId="15680" priority="90138"/>
    <cfRule type="duplicateValues" dxfId="15679" priority="90139"/>
    <cfRule type="duplicateValues" dxfId="15678" priority="90140"/>
    <cfRule type="duplicateValues" dxfId="15677" priority="90141"/>
    <cfRule type="duplicateValues" dxfId="15676" priority="90142"/>
    <cfRule type="duplicateValues" dxfId="15675" priority="90143"/>
    <cfRule type="duplicateValues" dxfId="15674" priority="90144"/>
    <cfRule type="duplicateValues" dxfId="15673" priority="90145"/>
    <cfRule type="duplicateValues" dxfId="15672" priority="90146"/>
    <cfRule type="duplicateValues" dxfId="15671" priority="90147"/>
    <cfRule type="duplicateValues" dxfId="15670" priority="90148"/>
    <cfRule type="duplicateValues" dxfId="15669" priority="90149"/>
    <cfRule type="duplicateValues" dxfId="15668" priority="90150"/>
    <cfRule type="duplicateValues" dxfId="15667" priority="90151"/>
    <cfRule type="duplicateValues" dxfId="15666" priority="90152"/>
    <cfRule type="duplicateValues" dxfId="15665" priority="90153"/>
    <cfRule type="duplicateValues" dxfId="15664" priority="90154"/>
    <cfRule type="duplicateValues" dxfId="15663" priority="90155"/>
    <cfRule type="duplicateValues" dxfId="15662" priority="90156"/>
    <cfRule type="duplicateValues" dxfId="15661" priority="90157"/>
    <cfRule type="duplicateValues" dxfId="15660" priority="90158"/>
    <cfRule type="duplicateValues" dxfId="15659" priority="90159"/>
    <cfRule type="duplicateValues" dxfId="15658" priority="90160"/>
    <cfRule type="duplicateValues" dxfId="15657" priority="90161"/>
    <cfRule type="duplicateValues" dxfId="15656" priority="90162"/>
    <cfRule type="duplicateValues" dxfId="15655" priority="90163"/>
    <cfRule type="duplicateValues" dxfId="15654" priority="90183"/>
    <cfRule type="duplicateValues" dxfId="15653" priority="90184"/>
    <cfRule type="duplicateValues" dxfId="15652" priority="90185"/>
    <cfRule type="duplicateValues" dxfId="15651" priority="90186"/>
    <cfRule type="duplicateValues" dxfId="15650" priority="90187"/>
    <cfRule type="duplicateValues" dxfId="15649" priority="90188"/>
    <cfRule type="duplicateValues" dxfId="15648" priority="90189"/>
    <cfRule type="duplicateValues" dxfId="15647" priority="90190"/>
    <cfRule type="duplicateValues" dxfId="15646" priority="90191"/>
    <cfRule type="duplicateValues" dxfId="15645" priority="90192"/>
    <cfRule type="duplicateValues" dxfId="15644" priority="90193"/>
    <cfRule type="duplicateValues" dxfId="15643" priority="90194"/>
    <cfRule type="duplicateValues" dxfId="15642" priority="90195"/>
    <cfRule type="duplicateValues" dxfId="15641" priority="90196"/>
    <cfRule type="duplicateValues" dxfId="15640" priority="90197"/>
    <cfRule type="duplicateValues" dxfId="15639" priority="90198"/>
    <cfRule type="duplicateValues" dxfId="15638" priority="90199"/>
    <cfRule type="duplicateValues" dxfId="15637" priority="90200"/>
    <cfRule type="duplicateValues" dxfId="15636" priority="90201"/>
  </conditionalFormatting>
  <conditionalFormatting sqref="B8:B9">
    <cfRule type="duplicateValues" dxfId="15635" priority="860"/>
    <cfRule type="duplicateValues" dxfId="15634" priority="861"/>
    <cfRule type="duplicateValues" dxfId="15633" priority="862"/>
    <cfRule type="duplicateValues" dxfId="15632" priority="863"/>
    <cfRule type="duplicateValues" dxfId="15631" priority="864"/>
    <cfRule type="duplicateValues" dxfId="15630" priority="865"/>
    <cfRule type="duplicateValues" dxfId="15629" priority="866"/>
    <cfRule type="duplicateValues" dxfId="15628" priority="867"/>
    <cfRule type="duplicateValues" dxfId="15627" priority="868"/>
    <cfRule type="duplicateValues" dxfId="15626" priority="869"/>
    <cfRule type="duplicateValues" dxfId="15625" priority="870"/>
    <cfRule type="duplicateValues" dxfId="15624" priority="871"/>
    <cfRule type="duplicateValues" dxfId="15623" priority="872"/>
    <cfRule type="duplicateValues" dxfId="15622" priority="873"/>
    <cfRule type="duplicateValues" dxfId="15621" priority="874"/>
    <cfRule type="duplicateValues" dxfId="15620" priority="875"/>
    <cfRule type="duplicateValues" dxfId="15619" priority="876"/>
    <cfRule type="duplicateValues" dxfId="15618" priority="877"/>
    <cfRule type="duplicateValues" dxfId="15617" priority="878"/>
    <cfRule type="duplicateValues" dxfId="15616" priority="879"/>
    <cfRule type="duplicateValues" dxfId="15615" priority="880"/>
    <cfRule type="duplicateValues" dxfId="15614" priority="881"/>
    <cfRule type="duplicateValues" dxfId="15613" priority="882"/>
    <cfRule type="duplicateValues" dxfId="15612" priority="883"/>
    <cfRule type="duplicateValues" dxfId="15611" priority="884"/>
    <cfRule type="duplicateValues" dxfId="15610" priority="885"/>
    <cfRule type="duplicateValues" dxfId="15609" priority="886"/>
    <cfRule type="duplicateValues" dxfId="15608" priority="887"/>
    <cfRule type="duplicateValues" dxfId="15607" priority="888"/>
    <cfRule type="duplicateValues" dxfId="15606" priority="889"/>
    <cfRule type="duplicateValues" dxfId="15605" priority="890"/>
    <cfRule type="duplicateValues" dxfId="15604" priority="891"/>
    <cfRule type="duplicateValues" dxfId="15603" priority="892"/>
    <cfRule type="duplicateValues" dxfId="15602" priority="893"/>
    <cfRule type="duplicateValues" dxfId="15601" priority="894"/>
    <cfRule type="duplicateValues" dxfId="15600" priority="895"/>
    <cfRule type="duplicateValues" dxfId="15599" priority="896"/>
    <cfRule type="duplicateValues" dxfId="15598" priority="897"/>
    <cfRule type="duplicateValues" dxfId="15597" priority="898"/>
    <cfRule type="duplicateValues" dxfId="15596" priority="899"/>
    <cfRule type="duplicateValues" dxfId="15595" priority="900"/>
    <cfRule type="duplicateValues" dxfId="15594" priority="901"/>
    <cfRule type="duplicateValues" dxfId="15593" priority="902"/>
    <cfRule type="duplicateValues" dxfId="15592" priority="903"/>
    <cfRule type="duplicateValues" dxfId="15591" priority="904"/>
    <cfRule type="duplicateValues" dxfId="15590" priority="905"/>
    <cfRule type="duplicateValues" dxfId="15589" priority="906"/>
    <cfRule type="duplicateValues" dxfId="15588" priority="907"/>
    <cfRule type="duplicateValues" dxfId="15587" priority="908"/>
    <cfRule type="duplicateValues" dxfId="15586" priority="909"/>
    <cfRule type="duplicateValues" dxfId="15585" priority="910"/>
    <cfRule type="duplicateValues" dxfId="15584" priority="911"/>
    <cfRule type="duplicateValues" dxfId="15583" priority="912"/>
    <cfRule type="duplicateValues" dxfId="15582" priority="913"/>
    <cfRule type="duplicateValues" dxfId="15581" priority="914"/>
    <cfRule type="duplicateValues" dxfId="15580" priority="915"/>
    <cfRule type="duplicateValues" dxfId="15579" priority="916"/>
    <cfRule type="duplicateValues" dxfId="15578" priority="917"/>
    <cfRule type="duplicateValues" dxfId="15577" priority="918"/>
    <cfRule type="duplicateValues" dxfId="15576" priority="919"/>
    <cfRule type="duplicateValues" dxfId="15575" priority="920"/>
  </conditionalFormatting>
  <conditionalFormatting sqref="B10">
    <cfRule type="duplicateValues" dxfId="15574" priority="128811"/>
    <cfRule type="duplicateValues" dxfId="15573" priority="128812"/>
    <cfRule type="duplicateValues" dxfId="15572" priority="128813"/>
    <cfRule type="duplicateValues" dxfId="15571" priority="128814"/>
    <cfRule type="duplicateValues" dxfId="15570" priority="128815"/>
    <cfRule type="duplicateValues" dxfId="15569" priority="128816"/>
    <cfRule type="duplicateValues" dxfId="15568" priority="128817"/>
    <cfRule type="duplicateValues" dxfId="15567" priority="128818"/>
    <cfRule type="duplicateValues" dxfId="15566" priority="128819"/>
    <cfRule type="duplicateValues" dxfId="15565" priority="128820"/>
    <cfRule type="duplicateValues" dxfId="15564" priority="128821"/>
    <cfRule type="duplicateValues" dxfId="15563" priority="128822"/>
    <cfRule type="duplicateValues" dxfId="15562" priority="128823"/>
    <cfRule type="duplicateValues" dxfId="15561" priority="128824"/>
    <cfRule type="duplicateValues" dxfId="15560" priority="128825"/>
    <cfRule type="duplicateValues" dxfId="15559" priority="128826"/>
    <cfRule type="duplicateValues" dxfId="15558" priority="128827"/>
    <cfRule type="duplicateValues" dxfId="15557" priority="128828"/>
    <cfRule type="duplicateValues" dxfId="15556" priority="128829"/>
    <cfRule type="duplicateValues" dxfId="15555" priority="128830"/>
    <cfRule type="duplicateValues" dxfId="15554" priority="128831"/>
    <cfRule type="duplicateValues" dxfId="15553" priority="128832"/>
    <cfRule type="duplicateValues" dxfId="15552" priority="128833"/>
    <cfRule type="duplicateValues" dxfId="15551" priority="128834"/>
    <cfRule type="duplicateValues" dxfId="15550" priority="128835"/>
    <cfRule type="duplicateValues" dxfId="15549" priority="128836"/>
    <cfRule type="duplicateValues" dxfId="15548" priority="128837"/>
    <cfRule type="duplicateValues" dxfId="15547" priority="128838"/>
    <cfRule type="duplicateValues" dxfId="15546" priority="128839"/>
    <cfRule type="duplicateValues" dxfId="15545" priority="128840"/>
    <cfRule type="duplicateValues" dxfId="15544" priority="128841"/>
    <cfRule type="duplicateValues" dxfId="15543" priority="128842"/>
    <cfRule type="duplicateValues" dxfId="15542" priority="128843"/>
    <cfRule type="duplicateValues" dxfId="15541" priority="128844"/>
    <cfRule type="duplicateValues" dxfId="15540" priority="128845"/>
    <cfRule type="duplicateValues" dxfId="15539" priority="128846"/>
    <cfRule type="duplicateValues" dxfId="15538" priority="128847"/>
    <cfRule type="duplicateValues" dxfId="15537" priority="128848"/>
    <cfRule type="duplicateValues" dxfId="15536" priority="128849"/>
    <cfRule type="duplicateValues" dxfId="15535" priority="128850"/>
    <cfRule type="duplicateValues" dxfId="15534" priority="128851"/>
    <cfRule type="duplicateValues" dxfId="15533" priority="128852"/>
    <cfRule type="duplicateValues" dxfId="15532" priority="128853"/>
    <cfRule type="duplicateValues" dxfId="15531" priority="128854"/>
    <cfRule type="duplicateValues" dxfId="15530" priority="128855"/>
    <cfRule type="duplicateValues" dxfId="15529" priority="128856"/>
    <cfRule type="duplicateValues" dxfId="15528" priority="128857"/>
    <cfRule type="duplicateValues" dxfId="15527" priority="128858"/>
    <cfRule type="duplicateValues" dxfId="15526" priority="128859"/>
    <cfRule type="duplicateValues" dxfId="15525" priority="128860"/>
    <cfRule type="duplicateValues" dxfId="15524" priority="128861"/>
    <cfRule type="duplicateValues" dxfId="15523" priority="128862"/>
    <cfRule type="duplicateValues" dxfId="15522" priority="128863"/>
    <cfRule type="duplicateValues" dxfId="15521" priority="128864"/>
    <cfRule type="duplicateValues" dxfId="15520" priority="128865"/>
    <cfRule type="duplicateValues" dxfId="15519" priority="128866"/>
    <cfRule type="duplicateValues" dxfId="15518" priority="128867"/>
    <cfRule type="duplicateValues" dxfId="15517" priority="128868"/>
    <cfRule type="duplicateValues" dxfId="15516" priority="128869"/>
    <cfRule type="duplicateValues" dxfId="15515" priority="128870"/>
    <cfRule type="duplicateValues" dxfId="15514" priority="128871"/>
  </conditionalFormatting>
  <conditionalFormatting sqref="B11">
    <cfRule type="duplicateValues" dxfId="15513" priority="128748"/>
    <cfRule type="duplicateValues" dxfId="15512" priority="128749"/>
    <cfRule type="duplicateValues" dxfId="15511" priority="128750"/>
    <cfRule type="duplicateValues" dxfId="15510" priority="128751"/>
    <cfRule type="duplicateValues" dxfId="15509" priority="128752"/>
    <cfRule type="duplicateValues" dxfId="15508" priority="128753"/>
    <cfRule type="duplicateValues" dxfId="15507" priority="128754"/>
    <cfRule type="duplicateValues" dxfId="15506" priority="128755"/>
    <cfRule type="duplicateValues" dxfId="15505" priority="128756"/>
    <cfRule type="duplicateValues" dxfId="15504" priority="128757"/>
    <cfRule type="duplicateValues" dxfId="15503" priority="128758"/>
    <cfRule type="duplicateValues" dxfId="15502" priority="128759"/>
    <cfRule type="duplicateValues" dxfId="15501" priority="128760"/>
    <cfRule type="duplicateValues" dxfId="15500" priority="128761"/>
    <cfRule type="duplicateValues" dxfId="15499" priority="128762"/>
    <cfRule type="duplicateValues" dxfId="15498" priority="128763"/>
    <cfRule type="duplicateValues" dxfId="15497" priority="128764"/>
    <cfRule type="duplicateValues" dxfId="15496" priority="128765"/>
    <cfRule type="duplicateValues" dxfId="15495" priority="128766"/>
    <cfRule type="duplicateValues" dxfId="15494" priority="128767"/>
    <cfRule type="duplicateValues" dxfId="15493" priority="128768"/>
    <cfRule type="duplicateValues" dxfId="15492" priority="128769"/>
    <cfRule type="duplicateValues" dxfId="15491" priority="128770"/>
    <cfRule type="duplicateValues" dxfId="15490" priority="128771"/>
    <cfRule type="duplicateValues" dxfId="15489" priority="128772"/>
    <cfRule type="duplicateValues" dxfId="15488" priority="128773"/>
    <cfRule type="duplicateValues" dxfId="15487" priority="128774"/>
    <cfRule type="duplicateValues" dxfId="15486" priority="128775"/>
    <cfRule type="duplicateValues" dxfId="15485" priority="128776"/>
    <cfRule type="duplicateValues" dxfId="15484" priority="128777"/>
    <cfRule type="duplicateValues" dxfId="15483" priority="128778"/>
    <cfRule type="duplicateValues" dxfId="15482" priority="128779"/>
    <cfRule type="duplicateValues" dxfId="15481" priority="128780"/>
    <cfRule type="duplicateValues" dxfId="15480" priority="128781"/>
    <cfRule type="duplicateValues" dxfId="15479" priority="128782"/>
    <cfRule type="duplicateValues" dxfId="15478" priority="128783"/>
    <cfRule type="duplicateValues" dxfId="15477" priority="128784"/>
    <cfRule type="duplicateValues" dxfId="15476" priority="128785"/>
    <cfRule type="duplicateValues" dxfId="15475" priority="128786"/>
    <cfRule type="duplicateValues" dxfId="15474" priority="128787"/>
    <cfRule type="duplicateValues" dxfId="15473" priority="128788"/>
    <cfRule type="duplicateValues" dxfId="15472" priority="128789"/>
    <cfRule type="duplicateValues" dxfId="15471" priority="128790"/>
    <cfRule type="duplicateValues" dxfId="15470" priority="128791"/>
    <cfRule type="duplicateValues" dxfId="15469" priority="128792"/>
    <cfRule type="duplicateValues" dxfId="15468" priority="128793"/>
    <cfRule type="duplicateValues" dxfId="15467" priority="128794"/>
    <cfRule type="duplicateValues" dxfId="15466" priority="128795"/>
    <cfRule type="duplicateValues" dxfId="15465" priority="128796"/>
    <cfRule type="duplicateValues" dxfId="15464" priority="128797"/>
    <cfRule type="duplicateValues" dxfId="15463" priority="128798"/>
    <cfRule type="duplicateValues" dxfId="15462" priority="128799"/>
    <cfRule type="duplicateValues" dxfId="15461" priority="128800"/>
    <cfRule type="duplicateValues" dxfId="15460" priority="128801"/>
    <cfRule type="duplicateValues" dxfId="15459" priority="128802"/>
    <cfRule type="duplicateValues" dxfId="15458" priority="128803"/>
    <cfRule type="duplicateValues" dxfId="15457" priority="128804"/>
    <cfRule type="duplicateValues" dxfId="15456" priority="128805"/>
    <cfRule type="duplicateValues" dxfId="15455" priority="128806"/>
    <cfRule type="duplicateValues" dxfId="15454" priority="128807"/>
    <cfRule type="duplicateValues" dxfId="15453" priority="128808"/>
  </conditionalFormatting>
  <conditionalFormatting sqref="B12:B20">
    <cfRule type="duplicateValues" dxfId="15452" priority="13475"/>
    <cfRule type="duplicateValues" dxfId="15451" priority="13476"/>
    <cfRule type="duplicateValues" dxfId="15450" priority="13477"/>
    <cfRule type="duplicateValues" dxfId="15449" priority="13478"/>
    <cfRule type="duplicateValues" dxfId="15448" priority="13479"/>
    <cfRule type="duplicateValues" dxfId="15447" priority="13480"/>
    <cfRule type="duplicateValues" dxfId="15446" priority="13481"/>
    <cfRule type="duplicateValues" dxfId="15445" priority="13482"/>
    <cfRule type="duplicateValues" dxfId="15444" priority="13483"/>
    <cfRule type="duplicateValues" dxfId="15443" priority="13484"/>
    <cfRule type="duplicateValues" dxfId="15442" priority="13485"/>
    <cfRule type="duplicateValues" dxfId="15441" priority="13486"/>
    <cfRule type="duplicateValues" dxfId="15440" priority="13487"/>
    <cfRule type="duplicateValues" dxfId="15439" priority="13488"/>
    <cfRule type="duplicateValues" dxfId="15438" priority="13489"/>
    <cfRule type="duplicateValues" dxfId="15437" priority="13490"/>
    <cfRule type="duplicateValues" dxfId="15436" priority="13491"/>
    <cfRule type="duplicateValues" dxfId="15435" priority="13492"/>
    <cfRule type="duplicateValues" dxfId="15434" priority="13493"/>
    <cfRule type="duplicateValues" dxfId="15433" priority="13692"/>
    <cfRule type="duplicateValues" dxfId="15432" priority="13693"/>
    <cfRule type="duplicateValues" dxfId="15431" priority="13694"/>
    <cfRule type="duplicateValues" dxfId="15430" priority="13695"/>
    <cfRule type="duplicateValues" dxfId="15429" priority="13696"/>
    <cfRule type="duplicateValues" dxfId="15428" priority="13697"/>
    <cfRule type="duplicateValues" dxfId="15427" priority="13698"/>
    <cfRule type="duplicateValues" dxfId="15426" priority="13699"/>
    <cfRule type="duplicateValues" dxfId="15425" priority="13700"/>
    <cfRule type="duplicateValues" dxfId="15424" priority="13701"/>
    <cfRule type="duplicateValues" dxfId="15423" priority="13702"/>
    <cfRule type="duplicateValues" dxfId="15422" priority="13703"/>
    <cfRule type="duplicateValues" dxfId="15421" priority="13704"/>
    <cfRule type="duplicateValues" dxfId="15420" priority="13705"/>
    <cfRule type="duplicateValues" dxfId="15419" priority="13706"/>
    <cfRule type="duplicateValues" dxfId="15418" priority="13707"/>
    <cfRule type="duplicateValues" dxfId="15417" priority="13708"/>
    <cfRule type="duplicateValues" dxfId="15416" priority="13709"/>
    <cfRule type="duplicateValues" dxfId="15415" priority="13710"/>
    <cfRule type="duplicateValues" dxfId="15414" priority="13711"/>
    <cfRule type="duplicateValues" dxfId="15413" priority="13712"/>
    <cfRule type="duplicateValues" dxfId="15412" priority="13713"/>
    <cfRule type="duplicateValues" dxfId="15411" priority="13714"/>
    <cfRule type="duplicateValues" dxfId="15410" priority="13715"/>
    <cfRule type="duplicateValues" dxfId="15409" priority="13716"/>
    <cfRule type="duplicateValues" dxfId="15408" priority="13717"/>
    <cfRule type="duplicateValues" dxfId="15407" priority="13718"/>
    <cfRule type="duplicateValues" dxfId="15406" priority="13719"/>
    <cfRule type="duplicateValues" dxfId="15405" priority="13720"/>
    <cfRule type="duplicateValues" dxfId="15404" priority="13721"/>
    <cfRule type="duplicateValues" dxfId="15403" priority="13722"/>
    <cfRule type="duplicateValues" dxfId="15402" priority="13723"/>
    <cfRule type="duplicateValues" dxfId="15401" priority="13724"/>
    <cfRule type="duplicateValues" dxfId="15400" priority="13725"/>
    <cfRule type="duplicateValues" dxfId="15399" priority="13726"/>
    <cfRule type="duplicateValues" dxfId="15398" priority="13727"/>
    <cfRule type="duplicateValues" dxfId="15397" priority="13728"/>
    <cfRule type="duplicateValues" dxfId="15396" priority="13729"/>
    <cfRule type="duplicateValues" dxfId="15395" priority="13730"/>
    <cfRule type="duplicateValues" dxfId="15394" priority="13731"/>
    <cfRule type="duplicateValues" dxfId="15393" priority="13732"/>
    <cfRule type="duplicateValues" dxfId="15392" priority="13733"/>
  </conditionalFormatting>
  <conditionalFormatting sqref="B21:B27">
    <cfRule type="duplicateValues" dxfId="15391" priority="13734"/>
    <cfRule type="duplicateValues" dxfId="15390" priority="13735"/>
    <cfRule type="duplicateValues" dxfId="15389" priority="13736"/>
    <cfRule type="duplicateValues" dxfId="15388" priority="13737"/>
    <cfRule type="duplicateValues" dxfId="15387" priority="13738"/>
    <cfRule type="duplicateValues" dxfId="15386" priority="13739"/>
    <cfRule type="duplicateValues" dxfId="15385" priority="13740"/>
    <cfRule type="duplicateValues" dxfId="15384" priority="13741"/>
    <cfRule type="duplicateValues" dxfId="15383" priority="13742"/>
    <cfRule type="duplicateValues" dxfId="15382" priority="13743"/>
    <cfRule type="duplicateValues" dxfId="15381" priority="13744"/>
    <cfRule type="duplicateValues" dxfId="15380" priority="13745"/>
    <cfRule type="duplicateValues" dxfId="15379" priority="13746"/>
    <cfRule type="duplicateValues" dxfId="15378" priority="13747"/>
    <cfRule type="duplicateValues" dxfId="15377" priority="13748"/>
    <cfRule type="duplicateValues" dxfId="15376" priority="13749"/>
    <cfRule type="duplicateValues" dxfId="15375" priority="13750"/>
    <cfRule type="duplicateValues" dxfId="15374" priority="13751"/>
    <cfRule type="duplicateValues" dxfId="15373" priority="13752"/>
    <cfRule type="duplicateValues" dxfId="15372" priority="13753"/>
    <cfRule type="duplicateValues" dxfId="15371" priority="13754"/>
    <cfRule type="duplicateValues" dxfId="15370" priority="13755"/>
    <cfRule type="duplicateValues" dxfId="15369" priority="13756"/>
    <cfRule type="duplicateValues" dxfId="15368" priority="13757"/>
    <cfRule type="duplicateValues" dxfId="15367" priority="13758"/>
    <cfRule type="duplicateValues" dxfId="15366" priority="13759"/>
    <cfRule type="duplicateValues" dxfId="15365" priority="13760"/>
    <cfRule type="duplicateValues" dxfId="15364" priority="13761"/>
    <cfRule type="duplicateValues" dxfId="15363" priority="13762"/>
    <cfRule type="duplicateValues" dxfId="15362" priority="13763"/>
    <cfRule type="duplicateValues" dxfId="15361" priority="13764"/>
    <cfRule type="duplicateValues" dxfId="15360" priority="13765"/>
    <cfRule type="duplicateValues" dxfId="15359" priority="13766"/>
    <cfRule type="duplicateValues" dxfId="15358" priority="13767"/>
    <cfRule type="duplicateValues" dxfId="15357" priority="13768"/>
    <cfRule type="duplicateValues" dxfId="15356" priority="13769"/>
    <cfRule type="duplicateValues" dxfId="15355" priority="13770"/>
    <cfRule type="duplicateValues" dxfId="15354" priority="13771"/>
    <cfRule type="duplicateValues" dxfId="15353" priority="13772"/>
    <cfRule type="duplicateValues" dxfId="15352" priority="13773"/>
    <cfRule type="duplicateValues" dxfId="15351" priority="13774"/>
    <cfRule type="duplicateValues" dxfId="15350" priority="13775"/>
    <cfRule type="duplicateValues" dxfId="15349" priority="13795"/>
    <cfRule type="duplicateValues" dxfId="15348" priority="13796"/>
    <cfRule type="duplicateValues" dxfId="15347" priority="13797"/>
    <cfRule type="duplicateValues" dxfId="15346" priority="13798"/>
    <cfRule type="duplicateValues" dxfId="15345" priority="13799"/>
    <cfRule type="duplicateValues" dxfId="15344" priority="13800"/>
    <cfRule type="duplicateValues" dxfId="15343" priority="13801"/>
    <cfRule type="duplicateValues" dxfId="15342" priority="13802"/>
    <cfRule type="duplicateValues" dxfId="15341" priority="13803"/>
    <cfRule type="duplicateValues" dxfId="15340" priority="13804"/>
    <cfRule type="duplicateValues" dxfId="15339" priority="13805"/>
    <cfRule type="duplicateValues" dxfId="15338" priority="13806"/>
    <cfRule type="duplicateValues" dxfId="15337" priority="13807"/>
    <cfRule type="duplicateValues" dxfId="15336" priority="13808"/>
    <cfRule type="duplicateValues" dxfId="15335" priority="13809"/>
    <cfRule type="duplicateValues" dxfId="15334" priority="13810"/>
    <cfRule type="duplicateValues" dxfId="15333" priority="13811"/>
    <cfRule type="duplicateValues" dxfId="15332" priority="13812"/>
    <cfRule type="duplicateValues" dxfId="15331" priority="13813"/>
  </conditionalFormatting>
  <conditionalFormatting sqref="B28">
    <cfRule type="duplicateValues" dxfId="15330" priority="13494"/>
    <cfRule type="duplicateValues" dxfId="15329" priority="13495"/>
    <cfRule type="duplicateValues" dxfId="15328" priority="13496"/>
    <cfRule type="duplicateValues" dxfId="15327" priority="13497"/>
    <cfRule type="duplicateValues" dxfId="15326" priority="13498"/>
    <cfRule type="duplicateValues" dxfId="15325" priority="13499"/>
    <cfRule type="duplicateValues" dxfId="15324" priority="13500"/>
    <cfRule type="duplicateValues" dxfId="15323" priority="13501"/>
    <cfRule type="duplicateValues" dxfId="15322" priority="13502"/>
    <cfRule type="duplicateValues" dxfId="15321" priority="13503"/>
    <cfRule type="duplicateValues" dxfId="15320" priority="13504"/>
    <cfRule type="duplicateValues" dxfId="15319" priority="13505"/>
    <cfRule type="duplicateValues" dxfId="15318" priority="13506"/>
    <cfRule type="duplicateValues" dxfId="15317" priority="13507"/>
    <cfRule type="duplicateValues" dxfId="15316" priority="13508"/>
    <cfRule type="duplicateValues" dxfId="15315" priority="13509"/>
    <cfRule type="duplicateValues" dxfId="15314" priority="13510"/>
    <cfRule type="duplicateValues" dxfId="15313" priority="13511"/>
    <cfRule type="duplicateValues" dxfId="15312" priority="13512"/>
    <cfRule type="duplicateValues" dxfId="15311" priority="13513"/>
    <cfRule type="duplicateValues" dxfId="15310" priority="13514"/>
    <cfRule type="duplicateValues" dxfId="15309" priority="13515"/>
    <cfRule type="duplicateValues" dxfId="15308" priority="13516"/>
    <cfRule type="duplicateValues" dxfId="15307" priority="13517"/>
    <cfRule type="duplicateValues" dxfId="15306" priority="13518"/>
    <cfRule type="duplicateValues" dxfId="15305" priority="13519"/>
    <cfRule type="duplicateValues" dxfId="15304" priority="13520"/>
    <cfRule type="duplicateValues" dxfId="15303" priority="13521"/>
    <cfRule type="duplicateValues" dxfId="15302" priority="13522"/>
    <cfRule type="duplicateValues" dxfId="15301" priority="13523"/>
    <cfRule type="duplicateValues" dxfId="15300" priority="13524"/>
    <cfRule type="duplicateValues" dxfId="15299" priority="13525"/>
    <cfRule type="duplicateValues" dxfId="15298" priority="13526"/>
    <cfRule type="duplicateValues" dxfId="15297" priority="13527"/>
    <cfRule type="duplicateValues" dxfId="15296" priority="13528"/>
    <cfRule type="duplicateValues" dxfId="15295" priority="13529"/>
    <cfRule type="duplicateValues" dxfId="15294" priority="13530"/>
    <cfRule type="duplicateValues" dxfId="15293" priority="13531"/>
    <cfRule type="duplicateValues" dxfId="15292" priority="13532"/>
    <cfRule type="duplicateValues" dxfId="15291" priority="13533"/>
    <cfRule type="duplicateValues" dxfId="15290" priority="13534"/>
    <cfRule type="duplicateValues" dxfId="15289" priority="13535"/>
    <cfRule type="duplicateValues" dxfId="15288" priority="13555"/>
    <cfRule type="duplicateValues" dxfId="15287" priority="13556"/>
    <cfRule type="duplicateValues" dxfId="15286" priority="13557"/>
    <cfRule type="duplicateValues" dxfId="15285" priority="13558"/>
    <cfRule type="duplicateValues" dxfId="15284" priority="13559"/>
    <cfRule type="duplicateValues" dxfId="15283" priority="13560"/>
    <cfRule type="duplicateValues" dxfId="15282" priority="13561"/>
    <cfRule type="duplicateValues" dxfId="15281" priority="13562"/>
    <cfRule type="duplicateValues" dxfId="15280" priority="13563"/>
    <cfRule type="duplicateValues" dxfId="15279" priority="13564"/>
    <cfRule type="duplicateValues" dxfId="15278" priority="13565"/>
    <cfRule type="duplicateValues" dxfId="15277" priority="13566"/>
    <cfRule type="duplicateValues" dxfId="15276" priority="13567"/>
    <cfRule type="duplicateValues" dxfId="15275" priority="13568"/>
    <cfRule type="duplicateValues" dxfId="15274" priority="13569"/>
    <cfRule type="duplicateValues" dxfId="15273" priority="13570"/>
    <cfRule type="duplicateValues" dxfId="15272" priority="13571"/>
    <cfRule type="duplicateValues" dxfId="15271" priority="13572"/>
    <cfRule type="duplicateValues" dxfId="15270" priority="13573"/>
  </conditionalFormatting>
  <conditionalFormatting sqref="B29">
    <cfRule type="duplicateValues" dxfId="15269" priority="168767"/>
    <cfRule type="duplicateValues" dxfId="15268" priority="168768"/>
    <cfRule type="duplicateValues" dxfId="15267" priority="168769"/>
    <cfRule type="duplicateValues" dxfId="15266" priority="168770"/>
    <cfRule type="duplicateValues" dxfId="15265" priority="168771"/>
    <cfRule type="duplicateValues" dxfId="15264" priority="168772"/>
    <cfRule type="duplicateValues" dxfId="15263" priority="168773"/>
    <cfRule type="duplicateValues" dxfId="15262" priority="168774"/>
    <cfRule type="duplicateValues" dxfId="15261" priority="168775"/>
    <cfRule type="duplicateValues" dxfId="15260" priority="168776"/>
    <cfRule type="duplicateValues" dxfId="15259" priority="168777"/>
    <cfRule type="duplicateValues" dxfId="15258" priority="168778"/>
    <cfRule type="duplicateValues" dxfId="15257" priority="168779"/>
    <cfRule type="duplicateValues" dxfId="15256" priority="168780"/>
    <cfRule type="duplicateValues" dxfId="15255" priority="168781"/>
    <cfRule type="duplicateValues" dxfId="15254" priority="168782"/>
    <cfRule type="duplicateValues" dxfId="15253" priority="168783"/>
    <cfRule type="duplicateValues" dxfId="15252" priority="168784"/>
    <cfRule type="duplicateValues" dxfId="15251" priority="168785"/>
    <cfRule type="duplicateValues" dxfId="15250" priority="168786"/>
    <cfRule type="duplicateValues" dxfId="15249" priority="168787"/>
    <cfRule type="duplicateValues" dxfId="15248" priority="168788"/>
    <cfRule type="duplicateValues" dxfId="15247" priority="168789"/>
    <cfRule type="duplicateValues" dxfId="15246" priority="168790"/>
    <cfRule type="duplicateValues" dxfId="15245" priority="168791"/>
    <cfRule type="duplicateValues" dxfId="15244" priority="168792"/>
    <cfRule type="duplicateValues" dxfId="15243" priority="168793"/>
    <cfRule type="duplicateValues" dxfId="15242" priority="168794"/>
    <cfRule type="duplicateValues" dxfId="15241" priority="168795"/>
    <cfRule type="duplicateValues" dxfId="15240" priority="168796"/>
    <cfRule type="duplicateValues" dxfId="15239" priority="168797"/>
    <cfRule type="duplicateValues" dxfId="15238" priority="168798"/>
    <cfRule type="duplicateValues" dxfId="15237" priority="168799"/>
    <cfRule type="duplicateValues" dxfId="15236" priority="168800"/>
    <cfRule type="duplicateValues" dxfId="15235" priority="168801"/>
    <cfRule type="duplicateValues" dxfId="15234" priority="168802"/>
    <cfRule type="duplicateValues" dxfId="15233" priority="168803"/>
    <cfRule type="duplicateValues" dxfId="15232" priority="168804"/>
    <cfRule type="duplicateValues" dxfId="15231" priority="168805"/>
    <cfRule type="duplicateValues" dxfId="15230" priority="168806"/>
    <cfRule type="duplicateValues" dxfId="15229" priority="168807"/>
    <cfRule type="duplicateValues" dxfId="15228" priority="168808"/>
    <cfRule type="duplicateValues" dxfId="15227" priority="168809"/>
    <cfRule type="duplicateValues" dxfId="15226" priority="168810"/>
    <cfRule type="duplicateValues" dxfId="15225" priority="168811"/>
    <cfRule type="duplicateValues" dxfId="15224" priority="168812"/>
    <cfRule type="duplicateValues" dxfId="15223" priority="168813"/>
    <cfRule type="duplicateValues" dxfId="15222" priority="168814"/>
    <cfRule type="duplicateValues" dxfId="15221" priority="168815"/>
    <cfRule type="duplicateValues" dxfId="15220" priority="168816"/>
    <cfRule type="duplicateValues" dxfId="15219" priority="168817"/>
    <cfRule type="duplicateValues" dxfId="15218" priority="168818"/>
    <cfRule type="duplicateValues" dxfId="15217" priority="168819"/>
    <cfRule type="duplicateValues" dxfId="15216" priority="168820"/>
    <cfRule type="duplicateValues" dxfId="15215" priority="168821"/>
    <cfRule type="duplicateValues" dxfId="15214" priority="168822"/>
    <cfRule type="duplicateValues" dxfId="15213" priority="168823"/>
    <cfRule type="duplicateValues" dxfId="15212" priority="168824"/>
    <cfRule type="duplicateValues" dxfId="15211" priority="168825"/>
    <cfRule type="duplicateValues" dxfId="15210" priority="168826"/>
    <cfRule type="duplicateValues" dxfId="15209" priority="168827"/>
  </conditionalFormatting>
  <conditionalFormatting sqref="B30">
    <cfRule type="duplicateValues" dxfId="15208" priority="141347"/>
    <cfRule type="duplicateValues" dxfId="15207" priority="141348"/>
    <cfRule type="duplicateValues" dxfId="15206" priority="141349"/>
    <cfRule type="duplicateValues" dxfId="15205" priority="141350"/>
    <cfRule type="duplicateValues" dxfId="15204" priority="141351"/>
    <cfRule type="duplicateValues" dxfId="15203" priority="141352"/>
    <cfRule type="duplicateValues" dxfId="15202" priority="141353"/>
    <cfRule type="duplicateValues" dxfId="15201" priority="141354"/>
    <cfRule type="duplicateValues" dxfId="15200" priority="141355"/>
    <cfRule type="duplicateValues" dxfId="15199" priority="141356"/>
    <cfRule type="duplicateValues" dxfId="15198" priority="141357"/>
    <cfRule type="duplicateValues" dxfId="15197" priority="141358"/>
    <cfRule type="duplicateValues" dxfId="15196" priority="141359"/>
    <cfRule type="duplicateValues" dxfId="15195" priority="141360"/>
    <cfRule type="duplicateValues" dxfId="15194" priority="141361"/>
    <cfRule type="duplicateValues" dxfId="15193" priority="141362"/>
    <cfRule type="duplicateValues" dxfId="15192" priority="141363"/>
    <cfRule type="duplicateValues" dxfId="15191" priority="141364"/>
    <cfRule type="duplicateValues" dxfId="15190" priority="141365"/>
    <cfRule type="duplicateValues" dxfId="15189" priority="141366"/>
    <cfRule type="duplicateValues" dxfId="15188" priority="141367"/>
    <cfRule type="duplicateValues" dxfId="15187" priority="141368"/>
    <cfRule type="duplicateValues" dxfId="15186" priority="141369"/>
    <cfRule type="duplicateValues" dxfId="15185" priority="141370"/>
    <cfRule type="duplicateValues" dxfId="15184" priority="141371"/>
    <cfRule type="duplicateValues" dxfId="15183" priority="141372"/>
    <cfRule type="duplicateValues" dxfId="15182" priority="141373"/>
    <cfRule type="duplicateValues" dxfId="15181" priority="141374"/>
    <cfRule type="duplicateValues" dxfId="15180" priority="141375"/>
    <cfRule type="duplicateValues" dxfId="15179" priority="141376"/>
    <cfRule type="duplicateValues" dxfId="15178" priority="141377"/>
    <cfRule type="duplicateValues" dxfId="15177" priority="141378"/>
    <cfRule type="duplicateValues" dxfId="15176" priority="141379"/>
    <cfRule type="duplicateValues" dxfId="15175" priority="141380"/>
    <cfRule type="duplicateValues" dxfId="15174" priority="141381"/>
    <cfRule type="duplicateValues" dxfId="15173" priority="141382"/>
    <cfRule type="duplicateValues" dxfId="15172" priority="141383"/>
    <cfRule type="duplicateValues" dxfId="15171" priority="141384"/>
    <cfRule type="duplicateValues" dxfId="15170" priority="141385"/>
    <cfRule type="duplicateValues" dxfId="15169" priority="141386"/>
    <cfRule type="duplicateValues" dxfId="15168" priority="141387"/>
    <cfRule type="duplicateValues" dxfId="15167" priority="141388"/>
    <cfRule type="duplicateValues" dxfId="15166" priority="141389"/>
    <cfRule type="duplicateValues" dxfId="15165" priority="141390"/>
    <cfRule type="duplicateValues" dxfId="15164" priority="141391"/>
    <cfRule type="duplicateValues" dxfId="15163" priority="141392"/>
    <cfRule type="duplicateValues" dxfId="15162" priority="141393"/>
    <cfRule type="duplicateValues" dxfId="15161" priority="141394"/>
    <cfRule type="duplicateValues" dxfId="15160" priority="141395"/>
    <cfRule type="duplicateValues" dxfId="15159" priority="141396"/>
    <cfRule type="duplicateValues" dxfId="15158" priority="141397"/>
    <cfRule type="duplicateValues" dxfId="15157" priority="141398"/>
    <cfRule type="duplicateValues" dxfId="15156" priority="141399"/>
    <cfRule type="duplicateValues" dxfId="15155" priority="141400"/>
    <cfRule type="duplicateValues" dxfId="15154" priority="141401"/>
    <cfRule type="duplicateValues" dxfId="15153" priority="141402"/>
    <cfRule type="duplicateValues" dxfId="15152" priority="141403"/>
    <cfRule type="duplicateValues" dxfId="15151" priority="141404"/>
    <cfRule type="duplicateValues" dxfId="15150" priority="141405"/>
    <cfRule type="duplicateValues" dxfId="15149" priority="141406"/>
    <cfRule type="duplicateValues" dxfId="15148" priority="141407"/>
  </conditionalFormatting>
  <conditionalFormatting sqref="B31">
    <cfRule type="duplicateValues" dxfId="15147" priority="658"/>
    <cfRule type="duplicateValues" dxfId="15146" priority="659"/>
    <cfRule type="duplicateValues" dxfId="15145" priority="660"/>
    <cfRule type="duplicateValues" dxfId="15144" priority="661"/>
    <cfRule type="duplicateValues" dxfId="15143" priority="662"/>
    <cfRule type="duplicateValues" dxfId="15142" priority="663"/>
    <cfRule type="duplicateValues" dxfId="15141" priority="664"/>
    <cfRule type="duplicateValues" dxfId="15140" priority="665"/>
    <cfRule type="duplicateValues" dxfId="15139" priority="666"/>
    <cfRule type="duplicateValues" dxfId="15138" priority="667"/>
    <cfRule type="duplicateValues" dxfId="15137" priority="668"/>
    <cfRule type="duplicateValues" dxfId="15136" priority="669"/>
    <cfRule type="duplicateValues" dxfId="15135" priority="670"/>
    <cfRule type="duplicateValues" dxfId="15134" priority="671"/>
    <cfRule type="duplicateValues" dxfId="15133" priority="672"/>
    <cfRule type="duplicateValues" dxfId="15132" priority="673"/>
    <cfRule type="duplicateValues" dxfId="15131" priority="674"/>
    <cfRule type="duplicateValues" dxfId="15130" priority="675"/>
    <cfRule type="duplicateValues" dxfId="15129" priority="676"/>
    <cfRule type="duplicateValues" dxfId="15128" priority="95685"/>
    <cfRule type="duplicateValues" dxfId="15127" priority="95686"/>
    <cfRule type="duplicateValues" dxfId="15126" priority="95687"/>
    <cfRule type="duplicateValues" dxfId="15125" priority="95688"/>
    <cfRule type="duplicateValues" dxfId="15124" priority="95689"/>
    <cfRule type="duplicateValues" dxfId="15123" priority="95690"/>
    <cfRule type="duplicateValues" dxfId="15122" priority="95691"/>
    <cfRule type="duplicateValues" dxfId="15121" priority="95692"/>
    <cfRule type="duplicateValues" dxfId="15120" priority="95693"/>
    <cfRule type="duplicateValues" dxfId="15119" priority="95694"/>
    <cfRule type="duplicateValues" dxfId="15118" priority="95695"/>
    <cfRule type="duplicateValues" dxfId="15117" priority="95696"/>
    <cfRule type="duplicateValues" dxfId="15116" priority="95697"/>
    <cfRule type="duplicateValues" dxfId="15115" priority="95698"/>
    <cfRule type="duplicateValues" dxfId="15114" priority="95699"/>
    <cfRule type="duplicateValues" dxfId="15113" priority="95700"/>
    <cfRule type="duplicateValues" dxfId="15112" priority="95701"/>
    <cfRule type="duplicateValues" dxfId="15111" priority="95702"/>
    <cfRule type="duplicateValues" dxfId="15110" priority="95703"/>
    <cfRule type="duplicateValues" dxfId="15109" priority="95704"/>
    <cfRule type="duplicateValues" dxfId="15108" priority="95705"/>
    <cfRule type="duplicateValues" dxfId="15107" priority="95706"/>
    <cfRule type="duplicateValues" dxfId="15106" priority="95707"/>
    <cfRule type="duplicateValues" dxfId="15105" priority="95708"/>
    <cfRule type="duplicateValues" dxfId="15104" priority="95709"/>
    <cfRule type="duplicateValues" dxfId="15103" priority="95710"/>
    <cfRule type="duplicateValues" dxfId="15102" priority="95711"/>
    <cfRule type="duplicateValues" dxfId="15101" priority="95712"/>
    <cfRule type="duplicateValues" dxfId="15100" priority="95713"/>
    <cfRule type="duplicateValues" dxfId="15099" priority="95714"/>
    <cfRule type="duplicateValues" dxfId="15098" priority="95715"/>
    <cfRule type="duplicateValues" dxfId="15097" priority="95716"/>
    <cfRule type="duplicateValues" dxfId="15096" priority="95717"/>
    <cfRule type="duplicateValues" dxfId="15095" priority="95718"/>
    <cfRule type="duplicateValues" dxfId="15094" priority="95719"/>
    <cfRule type="duplicateValues" dxfId="15093" priority="95720"/>
    <cfRule type="duplicateValues" dxfId="15092" priority="95721"/>
    <cfRule type="duplicateValues" dxfId="15091" priority="95722"/>
    <cfRule type="duplicateValues" dxfId="15090" priority="95723"/>
    <cfRule type="duplicateValues" dxfId="15089" priority="95724"/>
    <cfRule type="duplicateValues" dxfId="15088" priority="95725"/>
    <cfRule type="duplicateValues" dxfId="15087" priority="95726"/>
  </conditionalFormatting>
  <conditionalFormatting sqref="B32">
    <cfRule type="duplicateValues" dxfId="15086" priority="95727"/>
    <cfRule type="duplicateValues" dxfId="15085" priority="95728"/>
    <cfRule type="duplicateValues" dxfId="15084" priority="95729"/>
    <cfRule type="duplicateValues" dxfId="15083" priority="95730"/>
    <cfRule type="duplicateValues" dxfId="15082" priority="95731"/>
    <cfRule type="duplicateValues" dxfId="15081" priority="95732"/>
    <cfRule type="duplicateValues" dxfId="15080" priority="95733"/>
    <cfRule type="duplicateValues" dxfId="15079" priority="95734"/>
    <cfRule type="duplicateValues" dxfId="15078" priority="95735"/>
    <cfRule type="duplicateValues" dxfId="15077" priority="95736"/>
    <cfRule type="duplicateValues" dxfId="15076" priority="95737"/>
    <cfRule type="duplicateValues" dxfId="15075" priority="95738"/>
    <cfRule type="duplicateValues" dxfId="15074" priority="95739"/>
    <cfRule type="duplicateValues" dxfId="15073" priority="95740"/>
    <cfRule type="duplicateValues" dxfId="15072" priority="95741"/>
    <cfRule type="duplicateValues" dxfId="15071" priority="95742"/>
    <cfRule type="duplicateValues" dxfId="15070" priority="95743"/>
    <cfRule type="duplicateValues" dxfId="15069" priority="95744"/>
    <cfRule type="duplicateValues" dxfId="15068" priority="95745"/>
    <cfRule type="duplicateValues" dxfId="15067" priority="95746"/>
    <cfRule type="duplicateValues" dxfId="15066" priority="95747"/>
    <cfRule type="duplicateValues" dxfId="15065" priority="95748"/>
    <cfRule type="duplicateValues" dxfId="15064" priority="95749"/>
    <cfRule type="duplicateValues" dxfId="15063" priority="95750"/>
    <cfRule type="duplicateValues" dxfId="15062" priority="95751"/>
    <cfRule type="duplicateValues" dxfId="15061" priority="95752"/>
    <cfRule type="duplicateValues" dxfId="15060" priority="95753"/>
    <cfRule type="duplicateValues" dxfId="15059" priority="95754"/>
    <cfRule type="duplicateValues" dxfId="15058" priority="95755"/>
    <cfRule type="duplicateValues" dxfId="15057" priority="95756"/>
    <cfRule type="duplicateValues" dxfId="15056" priority="95757"/>
    <cfRule type="duplicateValues" dxfId="15055" priority="95758"/>
    <cfRule type="duplicateValues" dxfId="15054" priority="95759"/>
    <cfRule type="duplicateValues" dxfId="15053" priority="95760"/>
    <cfRule type="duplicateValues" dxfId="15052" priority="95761"/>
    <cfRule type="duplicateValues" dxfId="15051" priority="95762"/>
    <cfRule type="duplicateValues" dxfId="15050" priority="95763"/>
    <cfRule type="duplicateValues" dxfId="15049" priority="95764"/>
    <cfRule type="duplicateValues" dxfId="15048" priority="95765"/>
    <cfRule type="duplicateValues" dxfId="15047" priority="95766"/>
    <cfRule type="duplicateValues" dxfId="15046" priority="95767"/>
    <cfRule type="duplicateValues" dxfId="15045" priority="95768"/>
    <cfRule type="duplicateValues" dxfId="15044" priority="95788"/>
    <cfRule type="duplicateValues" dxfId="15043" priority="95789"/>
    <cfRule type="duplicateValues" dxfId="15042" priority="95790"/>
    <cfRule type="duplicateValues" dxfId="15041" priority="95791"/>
    <cfRule type="duplicateValues" dxfId="15040" priority="95792"/>
    <cfRule type="duplicateValues" dxfId="15039" priority="95793"/>
    <cfRule type="duplicateValues" dxfId="15038" priority="95794"/>
    <cfRule type="duplicateValues" dxfId="15037" priority="95795"/>
    <cfRule type="duplicateValues" dxfId="15036" priority="95796"/>
    <cfRule type="duplicateValues" dxfId="15035" priority="95797"/>
    <cfRule type="duplicateValues" dxfId="15034" priority="95798"/>
    <cfRule type="duplicateValues" dxfId="15033" priority="95799"/>
    <cfRule type="duplicateValues" dxfId="15032" priority="95800"/>
    <cfRule type="duplicateValues" dxfId="15031" priority="95801"/>
    <cfRule type="duplicateValues" dxfId="15030" priority="95802"/>
    <cfRule type="duplicateValues" dxfId="15029" priority="95803"/>
    <cfRule type="duplicateValues" dxfId="15028" priority="95804"/>
    <cfRule type="duplicateValues" dxfId="15027" priority="95805"/>
    <cfRule type="duplicateValues" dxfId="15026" priority="95806"/>
  </conditionalFormatting>
  <conditionalFormatting sqref="B33:B34">
    <cfRule type="duplicateValues" dxfId="15025" priority="23319"/>
    <cfRule type="duplicateValues" dxfId="15024" priority="23320"/>
    <cfRule type="duplicateValues" dxfId="15023" priority="23321"/>
    <cfRule type="duplicateValues" dxfId="15022" priority="23322"/>
    <cfRule type="duplicateValues" dxfId="15021" priority="23323"/>
    <cfRule type="duplicateValues" dxfId="15020" priority="23324"/>
    <cfRule type="duplicateValues" dxfId="15019" priority="23325"/>
    <cfRule type="duplicateValues" dxfId="15018" priority="23326"/>
    <cfRule type="duplicateValues" dxfId="15017" priority="23327"/>
    <cfRule type="duplicateValues" dxfId="15016" priority="23328"/>
    <cfRule type="duplicateValues" dxfId="15015" priority="23329"/>
    <cfRule type="duplicateValues" dxfId="15014" priority="23330"/>
    <cfRule type="duplicateValues" dxfId="15013" priority="23331"/>
    <cfRule type="duplicateValues" dxfId="15012" priority="23332"/>
    <cfRule type="duplicateValues" dxfId="15011" priority="23333"/>
    <cfRule type="duplicateValues" dxfId="15010" priority="23334"/>
    <cfRule type="duplicateValues" dxfId="15009" priority="23335"/>
    <cfRule type="duplicateValues" dxfId="15008" priority="23336"/>
    <cfRule type="duplicateValues" dxfId="15007" priority="23337"/>
    <cfRule type="duplicateValues" dxfId="15006" priority="152159"/>
    <cfRule type="duplicateValues" dxfId="15005" priority="152160"/>
    <cfRule type="duplicateValues" dxfId="15004" priority="152161"/>
    <cfRule type="duplicateValues" dxfId="15003" priority="152162"/>
    <cfRule type="duplicateValues" dxfId="15002" priority="152163"/>
    <cfRule type="duplicateValues" dxfId="15001" priority="152164"/>
    <cfRule type="duplicateValues" dxfId="15000" priority="152165"/>
    <cfRule type="duplicateValues" dxfId="14999" priority="152166"/>
    <cfRule type="duplicateValues" dxfId="14998" priority="152167"/>
    <cfRule type="duplicateValues" dxfId="14997" priority="152168"/>
    <cfRule type="duplicateValues" dxfId="14996" priority="152169"/>
    <cfRule type="duplicateValues" dxfId="14995" priority="152170"/>
    <cfRule type="duplicateValues" dxfId="14994" priority="152171"/>
    <cfRule type="duplicateValues" dxfId="14993" priority="152172"/>
    <cfRule type="duplicateValues" dxfId="14992" priority="152173"/>
    <cfRule type="duplicateValues" dxfId="14991" priority="152174"/>
    <cfRule type="duplicateValues" dxfId="14990" priority="152175"/>
    <cfRule type="duplicateValues" dxfId="14989" priority="152176"/>
    <cfRule type="duplicateValues" dxfId="14988" priority="152177"/>
    <cfRule type="duplicateValues" dxfId="14987" priority="152178"/>
    <cfRule type="duplicateValues" dxfId="14986" priority="152179"/>
    <cfRule type="duplicateValues" dxfId="14985" priority="152180"/>
    <cfRule type="duplicateValues" dxfId="14984" priority="152181"/>
    <cfRule type="duplicateValues" dxfId="14983" priority="152182"/>
    <cfRule type="duplicateValues" dxfId="14982" priority="152183"/>
    <cfRule type="duplicateValues" dxfId="14981" priority="152184"/>
    <cfRule type="duplicateValues" dxfId="14980" priority="152185"/>
    <cfRule type="duplicateValues" dxfId="14979" priority="152186"/>
    <cfRule type="duplicateValues" dxfId="14978" priority="152187"/>
    <cfRule type="duplicateValues" dxfId="14977" priority="152188"/>
    <cfRule type="duplicateValues" dxfId="14976" priority="152189"/>
    <cfRule type="duplicateValues" dxfId="14975" priority="152190"/>
    <cfRule type="duplicateValues" dxfId="14974" priority="152191"/>
    <cfRule type="duplicateValues" dxfId="14973" priority="152192"/>
    <cfRule type="duplicateValues" dxfId="14972" priority="152193"/>
    <cfRule type="duplicateValues" dxfId="14971" priority="152194"/>
    <cfRule type="duplicateValues" dxfId="14970" priority="152195"/>
    <cfRule type="duplicateValues" dxfId="14969" priority="152196"/>
    <cfRule type="duplicateValues" dxfId="14968" priority="152197"/>
    <cfRule type="duplicateValues" dxfId="14967" priority="152198"/>
    <cfRule type="duplicateValues" dxfId="14966" priority="152199"/>
    <cfRule type="duplicateValues" dxfId="14965" priority="152200"/>
  </conditionalFormatting>
  <conditionalFormatting sqref="B35">
    <cfRule type="duplicateValues" dxfId="14964" priority="152201"/>
    <cfRule type="duplicateValues" dxfId="14963" priority="152202"/>
    <cfRule type="duplicateValues" dxfId="14962" priority="152203"/>
    <cfRule type="duplicateValues" dxfId="14961" priority="152204"/>
    <cfRule type="duplicateValues" dxfId="14960" priority="152205"/>
    <cfRule type="duplicateValues" dxfId="14959" priority="152206"/>
    <cfRule type="duplicateValues" dxfId="14958" priority="152207"/>
    <cfRule type="duplicateValues" dxfId="14957" priority="152208"/>
    <cfRule type="duplicateValues" dxfId="14956" priority="152209"/>
    <cfRule type="duplicateValues" dxfId="14955" priority="152210"/>
    <cfRule type="duplicateValues" dxfId="14954" priority="152211"/>
    <cfRule type="duplicateValues" dxfId="14953" priority="152212"/>
    <cfRule type="duplicateValues" dxfId="14952" priority="152213"/>
    <cfRule type="duplicateValues" dxfId="14951" priority="152214"/>
    <cfRule type="duplicateValues" dxfId="14950" priority="152215"/>
    <cfRule type="duplicateValues" dxfId="14949" priority="152216"/>
    <cfRule type="duplicateValues" dxfId="14948" priority="152217"/>
    <cfRule type="duplicateValues" dxfId="14947" priority="152218"/>
    <cfRule type="duplicateValues" dxfId="14946" priority="152219"/>
    <cfRule type="duplicateValues" dxfId="14945" priority="152220"/>
    <cfRule type="duplicateValues" dxfId="14944" priority="152221"/>
    <cfRule type="duplicateValues" dxfId="14943" priority="152222"/>
    <cfRule type="duplicateValues" dxfId="14942" priority="152223"/>
    <cfRule type="duplicateValues" dxfId="14941" priority="152224"/>
    <cfRule type="duplicateValues" dxfId="14940" priority="152225"/>
    <cfRule type="duplicateValues" dxfId="14939" priority="152226"/>
    <cfRule type="duplicateValues" dxfId="14938" priority="152227"/>
    <cfRule type="duplicateValues" dxfId="14937" priority="152228"/>
    <cfRule type="duplicateValues" dxfId="14936" priority="152229"/>
    <cfRule type="duplicateValues" dxfId="14935" priority="152230"/>
    <cfRule type="duplicateValues" dxfId="14934" priority="152231"/>
    <cfRule type="duplicateValues" dxfId="14933" priority="152232"/>
    <cfRule type="duplicateValues" dxfId="14932" priority="152233"/>
    <cfRule type="duplicateValues" dxfId="14931" priority="152234"/>
    <cfRule type="duplicateValues" dxfId="14930" priority="152235"/>
    <cfRule type="duplicateValues" dxfId="14929" priority="152236"/>
    <cfRule type="duplicateValues" dxfId="14928" priority="152237"/>
    <cfRule type="duplicateValues" dxfId="14927" priority="152238"/>
    <cfRule type="duplicateValues" dxfId="14926" priority="152239"/>
    <cfRule type="duplicateValues" dxfId="14925" priority="152240"/>
    <cfRule type="duplicateValues" dxfId="14924" priority="152241"/>
    <cfRule type="duplicateValues" dxfId="14923" priority="152242"/>
    <cfRule type="duplicateValues" dxfId="14922" priority="152262"/>
    <cfRule type="duplicateValues" dxfId="14921" priority="152263"/>
    <cfRule type="duplicateValues" dxfId="14920" priority="152264"/>
    <cfRule type="duplicateValues" dxfId="14919" priority="152265"/>
    <cfRule type="duplicateValues" dxfId="14918" priority="152266"/>
    <cfRule type="duplicateValues" dxfId="14917" priority="152267"/>
    <cfRule type="duplicateValues" dxfId="14916" priority="152268"/>
    <cfRule type="duplicateValues" dxfId="14915" priority="152269"/>
    <cfRule type="duplicateValues" dxfId="14914" priority="152270"/>
    <cfRule type="duplicateValues" dxfId="14913" priority="152271"/>
    <cfRule type="duplicateValues" dxfId="14912" priority="152272"/>
    <cfRule type="duplicateValues" dxfId="14911" priority="152273"/>
    <cfRule type="duplicateValues" dxfId="14910" priority="152274"/>
    <cfRule type="duplicateValues" dxfId="14909" priority="152275"/>
    <cfRule type="duplicateValues" dxfId="14908" priority="152276"/>
    <cfRule type="duplicateValues" dxfId="14907" priority="152277"/>
    <cfRule type="duplicateValues" dxfId="14906" priority="152278"/>
    <cfRule type="duplicateValues" dxfId="14905" priority="152279"/>
    <cfRule type="duplicateValues" dxfId="14904" priority="152280"/>
  </conditionalFormatting>
  <conditionalFormatting sqref="B36">
    <cfRule type="duplicateValues" dxfId="14903" priority="63656"/>
    <cfRule type="duplicateValues" dxfId="14902" priority="63657"/>
    <cfRule type="duplicateValues" dxfId="14901" priority="63658"/>
    <cfRule type="duplicateValues" dxfId="14900" priority="63659"/>
    <cfRule type="duplicateValues" dxfId="14899" priority="63660"/>
    <cfRule type="duplicateValues" dxfId="14898" priority="63661"/>
    <cfRule type="duplicateValues" dxfId="14897" priority="63662"/>
    <cfRule type="duplicateValues" dxfId="14896" priority="63663"/>
    <cfRule type="duplicateValues" dxfId="14895" priority="63664"/>
    <cfRule type="duplicateValues" dxfId="14894" priority="63665"/>
    <cfRule type="duplicateValues" dxfId="14893" priority="63666"/>
    <cfRule type="duplicateValues" dxfId="14892" priority="63667"/>
    <cfRule type="duplicateValues" dxfId="14891" priority="63668"/>
    <cfRule type="duplicateValues" dxfId="14890" priority="63669"/>
    <cfRule type="duplicateValues" dxfId="14889" priority="63670"/>
    <cfRule type="duplicateValues" dxfId="14888" priority="63671"/>
    <cfRule type="duplicateValues" dxfId="14887" priority="63672"/>
    <cfRule type="duplicateValues" dxfId="14886" priority="63673"/>
    <cfRule type="duplicateValues" dxfId="14885" priority="63674"/>
    <cfRule type="duplicateValues" dxfId="14884" priority="63675"/>
    <cfRule type="duplicateValues" dxfId="14883" priority="63676"/>
    <cfRule type="duplicateValues" dxfId="14882" priority="63677"/>
    <cfRule type="duplicateValues" dxfId="14881" priority="63678"/>
    <cfRule type="duplicateValues" dxfId="14880" priority="63679"/>
    <cfRule type="duplicateValues" dxfId="14879" priority="63680"/>
    <cfRule type="duplicateValues" dxfId="14878" priority="63681"/>
    <cfRule type="duplicateValues" dxfId="14877" priority="63682"/>
    <cfRule type="duplicateValues" dxfId="14876" priority="63683"/>
    <cfRule type="duplicateValues" dxfId="14875" priority="63684"/>
    <cfRule type="duplicateValues" dxfId="14874" priority="63685"/>
    <cfRule type="duplicateValues" dxfId="14873" priority="63686"/>
    <cfRule type="duplicateValues" dxfId="14872" priority="63687"/>
    <cfRule type="duplicateValues" dxfId="14871" priority="63688"/>
    <cfRule type="duplicateValues" dxfId="14870" priority="63689"/>
    <cfRule type="duplicateValues" dxfId="14869" priority="63690"/>
    <cfRule type="duplicateValues" dxfId="14868" priority="63691"/>
    <cfRule type="duplicateValues" dxfId="14867" priority="63692"/>
    <cfRule type="duplicateValues" dxfId="14866" priority="63693"/>
    <cfRule type="duplicateValues" dxfId="14865" priority="63694"/>
    <cfRule type="duplicateValues" dxfId="14864" priority="63695"/>
    <cfRule type="duplicateValues" dxfId="14863" priority="63696"/>
    <cfRule type="duplicateValues" dxfId="14862" priority="63697"/>
    <cfRule type="duplicateValues" dxfId="14861" priority="63717"/>
    <cfRule type="duplicateValues" dxfId="14860" priority="63718"/>
    <cfRule type="duplicateValues" dxfId="14859" priority="63719"/>
    <cfRule type="duplicateValues" dxfId="14858" priority="63720"/>
    <cfRule type="duplicateValues" dxfId="14857" priority="63721"/>
    <cfRule type="duplicateValues" dxfId="14856" priority="63722"/>
    <cfRule type="duplicateValues" dxfId="14855" priority="63723"/>
    <cfRule type="duplicateValues" dxfId="14854" priority="63724"/>
    <cfRule type="duplicateValues" dxfId="14853" priority="63725"/>
    <cfRule type="duplicateValues" dxfId="14852" priority="63726"/>
    <cfRule type="duplicateValues" dxfId="14851" priority="63727"/>
    <cfRule type="duplicateValues" dxfId="14850" priority="63728"/>
    <cfRule type="duplicateValues" dxfId="14849" priority="63729"/>
    <cfRule type="duplicateValues" dxfId="14848" priority="63730"/>
    <cfRule type="duplicateValues" dxfId="14847" priority="63731"/>
    <cfRule type="duplicateValues" dxfId="14846" priority="63732"/>
    <cfRule type="duplicateValues" dxfId="14845" priority="63733"/>
    <cfRule type="duplicateValues" dxfId="14844" priority="63734"/>
    <cfRule type="duplicateValues" dxfId="14843" priority="63735"/>
  </conditionalFormatting>
  <conditionalFormatting sqref="B1:B1048576">
    <cfRule type="duplicateValues" dxfId="14842" priority="1"/>
  </conditionalFormatting>
  <conditionalFormatting sqref="B1:B10">
    <cfRule type="duplicateValues" dxfId="14841" priority="246820"/>
    <cfRule type="duplicateValues" dxfId="14840" priority="246821"/>
    <cfRule type="duplicateValues" dxfId="14839" priority="246822"/>
    <cfRule type="duplicateValues" dxfId="14838" priority="246823"/>
    <cfRule type="duplicateValues" dxfId="14837" priority="246824"/>
    <cfRule type="duplicateValues" dxfId="14836" priority="246825"/>
    <cfRule type="duplicateValues" dxfId="14835" priority="246826"/>
    <cfRule type="duplicateValues" dxfId="14834" priority="246827"/>
    <cfRule type="duplicateValues" dxfId="14833" priority="246828"/>
    <cfRule type="duplicateValues" dxfId="14832" priority="246829"/>
    <cfRule type="duplicateValues" dxfId="14831" priority="246830"/>
    <cfRule type="duplicateValues" dxfId="14830" priority="246831"/>
    <cfRule type="duplicateValues" dxfId="14829" priority="250800"/>
    <cfRule type="duplicateValues" dxfId="14828" priority="250801"/>
    <cfRule type="duplicateValues" dxfId="14827" priority="250802"/>
    <cfRule type="duplicateValues" dxfId="14826" priority="250803"/>
    <cfRule type="duplicateValues" dxfId="14825" priority="250804"/>
    <cfRule type="duplicateValues" dxfId="14824" priority="250805"/>
    <cfRule type="duplicateValues" dxfId="14823" priority="250806"/>
    <cfRule type="duplicateValues" dxfId="14822" priority="250807"/>
    <cfRule type="duplicateValues" dxfId="14821" priority="250808"/>
    <cfRule type="duplicateValues" dxfId="14820" priority="250809"/>
    <cfRule type="duplicateValues" dxfId="14819" priority="250810"/>
    <cfRule type="duplicateValues" dxfId="14818" priority="250811"/>
    <cfRule type="duplicateValues" dxfId="14817" priority="250812"/>
    <cfRule type="duplicateValues" dxfId="14816" priority="250813"/>
    <cfRule type="duplicateValues" dxfId="14815" priority="250814"/>
    <cfRule type="duplicateValues" dxfId="14814" priority="250815"/>
    <cfRule type="duplicateValues" dxfId="14813" priority="250816"/>
    <cfRule type="duplicateValues" dxfId="14812" priority="250817"/>
    <cfRule type="duplicateValues" dxfId="14811" priority="250818"/>
    <cfRule type="duplicateValues" dxfId="14810" priority="250819"/>
    <cfRule type="timePeriod" dxfId="14809" priority="250820" timePeriod="yesterday">
      <formula>FLOOR(B1,1)=TODAY()-1</formula>
    </cfRule>
    <cfRule type="duplicateValues" dxfId="14808" priority="250821"/>
    <cfRule type="duplicateValues" dxfId="14807" priority="250822"/>
    <cfRule type="duplicateValues" dxfId="14806" priority="250823"/>
    <cfRule type="duplicateValues" dxfId="14805" priority="250824"/>
    <cfRule type="duplicateValues" dxfId="14804" priority="250825"/>
    <cfRule type="duplicateValues" dxfId="14803" priority="250826"/>
    <cfRule type="duplicateValues" dxfId="14802" priority="250827"/>
    <cfRule type="duplicateValues" dxfId="14801" priority="250828"/>
    <cfRule type="duplicateValues" dxfId="14800" priority="250829"/>
    <cfRule type="duplicateValues" dxfId="14799" priority="250830"/>
    <cfRule type="duplicateValues" dxfId="14798" priority="250831"/>
    <cfRule type="duplicateValues" dxfId="14797" priority="250832"/>
    <cfRule type="duplicateValues" dxfId="14796" priority="250833"/>
    <cfRule type="duplicateValues" dxfId="14795" priority="250834"/>
    <cfRule type="duplicateValues" dxfId="14794" priority="250835"/>
    <cfRule type="duplicateValues" dxfId="14793" priority="250836"/>
    <cfRule type="duplicateValues" dxfId="14792" priority="250837"/>
    <cfRule type="duplicateValues" dxfId="14791" priority="250838"/>
    <cfRule type="duplicateValues" dxfId="14790" priority="250839"/>
    <cfRule type="duplicateValues" dxfId="14789" priority="250840"/>
    <cfRule type="duplicateValues" dxfId="14788" priority="250841"/>
  </conditionalFormatting>
  <conditionalFormatting sqref="B37:B72">
    <cfRule type="duplicateValues" dxfId="14787" priority="246878"/>
    <cfRule type="duplicateValues" dxfId="14786" priority="246879"/>
    <cfRule type="duplicateValues" dxfId="14785" priority="246880"/>
    <cfRule type="duplicateValues" dxfId="14784" priority="246881"/>
    <cfRule type="duplicateValues" dxfId="14783" priority="246882"/>
    <cfRule type="duplicateValues" dxfId="14782" priority="246883"/>
    <cfRule type="duplicateValues" dxfId="14781" priority="246884"/>
    <cfRule type="duplicateValues" dxfId="14780" priority="246885"/>
    <cfRule type="duplicateValues" dxfId="14779" priority="246886"/>
    <cfRule type="duplicateValues" dxfId="14778" priority="246887"/>
    <cfRule type="duplicateValues" dxfId="14777" priority="246888"/>
    <cfRule type="duplicateValues" dxfId="14776" priority="246889"/>
    <cfRule type="duplicateValues" dxfId="14775" priority="246890"/>
    <cfRule type="duplicateValues" dxfId="14774" priority="246891"/>
    <cfRule type="duplicateValues" dxfId="14773" priority="246892"/>
    <cfRule type="duplicateValues" dxfId="14772" priority="246893"/>
    <cfRule type="duplicateValues" dxfId="14771" priority="246894"/>
    <cfRule type="duplicateValues" dxfId="14770" priority="246895"/>
    <cfRule type="duplicateValues" dxfId="14769" priority="246896"/>
    <cfRule type="duplicateValues" dxfId="14768" priority="250913"/>
    <cfRule type="duplicateValues" dxfId="14767" priority="250914"/>
    <cfRule type="duplicateValues" dxfId="14766" priority="250915"/>
    <cfRule type="duplicateValues" dxfId="14765" priority="250916"/>
    <cfRule type="duplicateValues" dxfId="14764" priority="250917"/>
    <cfRule type="duplicateValues" dxfId="14763" priority="250918"/>
    <cfRule type="duplicateValues" dxfId="14762" priority="250919"/>
    <cfRule type="duplicateValues" dxfId="14761" priority="250920"/>
    <cfRule type="duplicateValues" dxfId="14760" priority="250921"/>
    <cfRule type="duplicateValues" dxfId="14759" priority="250922"/>
    <cfRule type="duplicateValues" dxfId="14758" priority="250923"/>
    <cfRule type="duplicateValues" dxfId="14757" priority="250924"/>
    <cfRule type="duplicateValues" dxfId="14756" priority="250925"/>
    <cfRule type="duplicateValues" dxfId="14755" priority="250926"/>
    <cfRule type="duplicateValues" dxfId="14754" priority="250927"/>
    <cfRule type="duplicateValues" dxfId="14753" priority="250928"/>
    <cfRule type="duplicateValues" dxfId="14752" priority="250929"/>
    <cfRule type="duplicateValues" dxfId="14751" priority="250930"/>
    <cfRule type="duplicateValues" dxfId="14750" priority="250931"/>
    <cfRule type="duplicateValues" dxfId="14749" priority="250932"/>
    <cfRule type="duplicateValues" dxfId="14748" priority="250933"/>
    <cfRule type="duplicateValues" dxfId="14747" priority="250934"/>
    <cfRule type="duplicateValues" dxfId="14746" priority="250935"/>
    <cfRule type="duplicateValues" dxfId="14745" priority="250936"/>
    <cfRule type="duplicateValues" dxfId="14744" priority="250937"/>
    <cfRule type="duplicateValues" dxfId="14743" priority="250938"/>
    <cfRule type="duplicateValues" dxfId="14742" priority="250939"/>
    <cfRule type="duplicateValues" dxfId="14741" priority="250940"/>
    <cfRule type="duplicateValues" dxfId="14740" priority="250941"/>
    <cfRule type="duplicateValues" dxfId="14739" priority="250942"/>
    <cfRule type="duplicateValues" dxfId="14738" priority="250943"/>
    <cfRule type="duplicateValues" dxfId="14737" priority="250944"/>
    <cfRule type="duplicateValues" dxfId="14736" priority="250945"/>
    <cfRule type="duplicateValues" dxfId="14735" priority="250946"/>
    <cfRule type="duplicateValues" dxfId="14734" priority="250947"/>
    <cfRule type="duplicateValues" dxfId="14733" priority="250948"/>
    <cfRule type="duplicateValues" dxfId="14732" priority="250949"/>
    <cfRule type="duplicateValues" dxfId="14731" priority="250950"/>
    <cfRule type="duplicateValues" dxfId="14730" priority="250951"/>
    <cfRule type="duplicateValues" dxfId="14729" priority="250952"/>
    <cfRule type="duplicateValues" dxfId="14728" priority="250953"/>
    <cfRule type="duplicateValues" dxfId="14727" priority="250954"/>
  </conditionalFormatting>
  <conditionalFormatting sqref="B73:B86">
    <cfRule type="duplicateValues" dxfId="14726" priority="250955"/>
    <cfRule type="duplicateValues" dxfId="14725" priority="250956"/>
    <cfRule type="duplicateValues" dxfId="14724" priority="250957"/>
    <cfRule type="duplicateValues" dxfId="14723" priority="250958"/>
    <cfRule type="duplicateValues" dxfId="14722" priority="250959"/>
    <cfRule type="duplicateValues" dxfId="14721" priority="250960"/>
    <cfRule type="duplicateValues" dxfId="14720" priority="250961"/>
    <cfRule type="duplicateValues" dxfId="14719" priority="250962"/>
    <cfRule type="duplicateValues" dxfId="14718" priority="250963"/>
    <cfRule type="duplicateValues" dxfId="14717" priority="250964"/>
    <cfRule type="duplicateValues" dxfId="14716" priority="250965"/>
    <cfRule type="duplicateValues" dxfId="14715" priority="250966"/>
    <cfRule type="duplicateValues" dxfId="14714" priority="250967"/>
    <cfRule type="duplicateValues" dxfId="14713" priority="250968"/>
    <cfRule type="duplicateValues" dxfId="14712" priority="250969"/>
    <cfRule type="duplicateValues" dxfId="14711" priority="250970"/>
    <cfRule type="duplicateValues" dxfId="14710" priority="250971"/>
    <cfRule type="duplicateValues" dxfId="14709" priority="250972"/>
    <cfRule type="duplicateValues" dxfId="14708" priority="250973"/>
    <cfRule type="duplicateValues" dxfId="14707" priority="250974"/>
    <cfRule type="duplicateValues" dxfId="14706" priority="250975"/>
    <cfRule type="duplicateValues" dxfId="14705" priority="250976"/>
    <cfRule type="duplicateValues" dxfId="14704" priority="250977"/>
    <cfRule type="duplicateValues" dxfId="14703" priority="250978"/>
    <cfRule type="duplicateValues" dxfId="14702" priority="250979"/>
    <cfRule type="duplicateValues" dxfId="14701" priority="250980"/>
    <cfRule type="duplicateValues" dxfId="14700" priority="250981"/>
    <cfRule type="duplicateValues" dxfId="14699" priority="250982"/>
    <cfRule type="duplicateValues" dxfId="14698" priority="250983"/>
    <cfRule type="duplicateValues" dxfId="14697" priority="250984"/>
    <cfRule type="duplicateValues" dxfId="14696" priority="250985"/>
    <cfRule type="duplicateValues" dxfId="14695" priority="250986"/>
    <cfRule type="duplicateValues" dxfId="14694" priority="250987"/>
    <cfRule type="duplicateValues" dxfId="14693" priority="250988"/>
    <cfRule type="duplicateValues" dxfId="14692" priority="250989"/>
    <cfRule type="duplicateValues" dxfId="14691" priority="250990"/>
    <cfRule type="duplicateValues" dxfId="14690" priority="250991"/>
    <cfRule type="duplicateValues" dxfId="14689" priority="250992"/>
    <cfRule type="duplicateValues" dxfId="14688" priority="250993"/>
    <cfRule type="duplicateValues" dxfId="14687" priority="250994"/>
    <cfRule type="duplicateValues" dxfId="14686" priority="250995"/>
    <cfRule type="duplicateValues" dxfId="14685" priority="250996"/>
    <cfRule type="duplicateValues" dxfId="14684" priority="251016"/>
    <cfRule type="duplicateValues" dxfId="14683" priority="251017"/>
    <cfRule type="duplicateValues" dxfId="14682" priority="251018"/>
    <cfRule type="duplicateValues" dxfId="14681" priority="251019"/>
    <cfRule type="duplicateValues" dxfId="14680" priority="251020"/>
    <cfRule type="duplicateValues" dxfId="14679" priority="251021"/>
    <cfRule type="duplicateValues" dxfId="14678" priority="251022"/>
    <cfRule type="duplicateValues" dxfId="14677" priority="251023"/>
    <cfRule type="duplicateValues" dxfId="14676" priority="251024"/>
    <cfRule type="duplicateValues" dxfId="14675" priority="251025"/>
    <cfRule type="duplicateValues" dxfId="14674" priority="251026"/>
    <cfRule type="duplicateValues" dxfId="14673" priority="251027"/>
    <cfRule type="duplicateValues" dxfId="14672" priority="251028"/>
    <cfRule type="duplicateValues" dxfId="14671" priority="251029"/>
    <cfRule type="duplicateValues" dxfId="14670" priority="251030"/>
    <cfRule type="duplicateValues" dxfId="14669" priority="251031"/>
    <cfRule type="duplicateValues" dxfId="14668" priority="251032"/>
    <cfRule type="duplicateValues" dxfId="14667" priority="251033"/>
    <cfRule type="duplicateValues" dxfId="14666" priority="251034"/>
  </conditionalFormatting>
  <conditionalFormatting sqref="B11:B72">
    <cfRule type="duplicateValues" dxfId="14665" priority="250896"/>
    <cfRule type="duplicateValues" dxfId="14664" priority="250897"/>
    <cfRule type="duplicateValues" dxfId="14663" priority="250898"/>
    <cfRule type="duplicateValues" dxfId="14662" priority="250899"/>
    <cfRule type="duplicateValues" dxfId="14661" priority="250900"/>
    <cfRule type="duplicateValues" dxfId="14660" priority="250901"/>
    <cfRule type="duplicateValues" dxfId="14659" priority="250902"/>
    <cfRule type="duplicateValues" dxfId="14658" priority="250903"/>
    <cfRule type="duplicateValues" dxfId="14657" priority="250904"/>
    <cfRule type="duplicateValues" dxfId="14656" priority="250905"/>
    <cfRule type="duplicateValues" dxfId="14655" priority="250906"/>
    <cfRule type="duplicateValues" dxfId="14654" priority="250907"/>
    <cfRule type="duplicateValues" dxfId="14653" priority="251038"/>
    <cfRule type="duplicateValues" dxfId="14652" priority="251039"/>
    <cfRule type="duplicateValues" dxfId="14651" priority="251040"/>
    <cfRule type="duplicateValues" dxfId="14650" priority="251041"/>
    <cfRule type="duplicateValues" dxfId="14649" priority="251042"/>
    <cfRule type="duplicateValues" dxfId="14648" priority="251043"/>
    <cfRule type="duplicateValues" dxfId="14647" priority="251044"/>
    <cfRule type="duplicateValues" dxfId="14646" priority="251045"/>
    <cfRule type="duplicateValues" dxfId="14645" priority="251046"/>
    <cfRule type="duplicateValues" dxfId="14644" priority="251047"/>
    <cfRule type="duplicateValues" dxfId="14643" priority="251048"/>
    <cfRule type="duplicateValues" dxfId="14642" priority="251049"/>
    <cfRule type="duplicateValues" dxfId="14641" priority="251050"/>
    <cfRule type="duplicateValues" dxfId="14640" priority="251051"/>
    <cfRule type="duplicateValues" dxfId="14639" priority="251052"/>
    <cfRule type="duplicateValues" dxfId="14638" priority="251053"/>
    <cfRule type="duplicateValues" dxfId="14637" priority="251054"/>
    <cfRule type="duplicateValues" dxfId="14636" priority="251055"/>
    <cfRule type="duplicateValues" dxfId="14635" priority="251056"/>
    <cfRule type="duplicateValues" dxfId="14634" priority="251057"/>
    <cfRule type="timePeriod" dxfId="14633" priority="251058" timePeriod="yesterday">
      <formula>FLOOR(B11,1)=TODAY()-1</formula>
    </cfRule>
    <cfRule type="duplicateValues" dxfId="14632" priority="251059"/>
    <cfRule type="duplicateValues" dxfId="14631" priority="251060"/>
    <cfRule type="duplicateValues" dxfId="14630" priority="251061"/>
    <cfRule type="duplicateValues" dxfId="14629" priority="251062"/>
    <cfRule type="duplicateValues" dxfId="14628" priority="251063"/>
    <cfRule type="duplicateValues" dxfId="14627" priority="251064"/>
    <cfRule type="duplicateValues" dxfId="14626" priority="251065"/>
    <cfRule type="duplicateValues" dxfId="14625" priority="251066"/>
    <cfRule type="duplicateValues" dxfId="14624" priority="251067"/>
    <cfRule type="duplicateValues" dxfId="14623" priority="251068"/>
    <cfRule type="duplicateValues" dxfId="14622" priority="251069"/>
    <cfRule type="duplicateValues" dxfId="14621" priority="251070"/>
    <cfRule type="duplicateValues" dxfId="14620" priority="251071"/>
    <cfRule type="duplicateValues" dxfId="14619" priority="251072"/>
    <cfRule type="duplicateValues" dxfId="14618" priority="251073"/>
    <cfRule type="duplicateValues" dxfId="14617" priority="251074"/>
    <cfRule type="duplicateValues" dxfId="14616" priority="251075"/>
    <cfRule type="duplicateValues" dxfId="14615" priority="251076"/>
    <cfRule type="duplicateValues" dxfId="14614" priority="251077"/>
    <cfRule type="duplicateValues" dxfId="14613" priority="251078"/>
    <cfRule type="duplicateValues" dxfId="14612" priority="251079"/>
  </conditionalFormatting>
  <conditionalFormatting sqref="B73:B86">
    <cfRule type="duplicateValues" dxfId="14611" priority="251080"/>
    <cfRule type="duplicateValues" dxfId="14610" priority="251081"/>
    <cfRule type="duplicateValues" dxfId="14609" priority="251082"/>
    <cfRule type="duplicateValues" dxfId="14608" priority="251083"/>
    <cfRule type="duplicateValues" dxfId="14607" priority="251084"/>
    <cfRule type="duplicateValues" dxfId="14606" priority="251085"/>
    <cfRule type="duplicateValues" dxfId="14605" priority="251086"/>
    <cfRule type="duplicateValues" dxfId="14604" priority="251087"/>
    <cfRule type="duplicateValues" dxfId="14603" priority="251088"/>
    <cfRule type="duplicateValues" dxfId="14602" priority="251089"/>
    <cfRule type="duplicateValues" dxfId="14601" priority="251090"/>
    <cfRule type="duplicateValues" dxfId="14600" priority="251091"/>
    <cfRule type="duplicateValues" dxfId="14599" priority="251092"/>
    <cfRule type="duplicateValues" dxfId="14598" priority="251093"/>
    <cfRule type="duplicateValues" dxfId="14597" priority="251094"/>
    <cfRule type="duplicateValues" dxfId="14596" priority="251095"/>
    <cfRule type="duplicateValues" dxfId="14595" priority="251096"/>
    <cfRule type="duplicateValues" dxfId="14594" priority="251097"/>
    <cfRule type="duplicateValues" dxfId="14593" priority="251098"/>
    <cfRule type="duplicateValues" dxfId="14592" priority="251099"/>
    <cfRule type="timePeriod" dxfId="14591" priority="251100" timePeriod="yesterday">
      <formula>FLOOR(B73,1)=TODAY()-1</formula>
    </cfRule>
    <cfRule type="duplicateValues" dxfId="14590" priority="251101"/>
    <cfRule type="duplicateValues" dxfId="14589" priority="251102"/>
    <cfRule type="duplicateValues" dxfId="14588" priority="251103"/>
    <cfRule type="duplicateValues" dxfId="14587" priority="251104"/>
    <cfRule type="duplicateValues" dxfId="14586" priority="251105"/>
    <cfRule type="duplicateValues" dxfId="14585" priority="251106"/>
    <cfRule type="duplicateValues" dxfId="14584" priority="251107"/>
    <cfRule type="duplicateValues" dxfId="14583" priority="251108"/>
    <cfRule type="duplicateValues" dxfId="14582" priority="251109"/>
    <cfRule type="duplicateValues" dxfId="14581" priority="251110"/>
    <cfRule type="duplicateValues" dxfId="14580" priority="251111"/>
    <cfRule type="duplicateValues" dxfId="14579" priority="251112"/>
    <cfRule type="duplicateValues" dxfId="14578" priority="251113"/>
    <cfRule type="duplicateValues" dxfId="14577" priority="251114"/>
    <cfRule type="duplicateValues" dxfId="14576" priority="251115"/>
    <cfRule type="duplicateValues" dxfId="14575" priority="251116"/>
    <cfRule type="duplicateValues" dxfId="14574" priority="251117"/>
    <cfRule type="duplicateValues" dxfId="14573" priority="251118"/>
    <cfRule type="duplicateValues" dxfId="14572" priority="251119"/>
    <cfRule type="duplicateValues" dxfId="14571" priority="251120"/>
    <cfRule type="duplicateValues" dxfId="14570" priority="251121"/>
    <cfRule type="duplicateValues" dxfId="14569" priority="251134"/>
    <cfRule type="duplicateValues" dxfId="14568" priority="251135"/>
    <cfRule type="duplicateValues" dxfId="14567" priority="251136"/>
    <cfRule type="duplicateValues" dxfId="14566" priority="251137"/>
    <cfRule type="duplicateValues" dxfId="14565" priority="251138"/>
    <cfRule type="duplicateValues" dxfId="14564" priority="251139"/>
    <cfRule type="duplicateValues" dxfId="14563" priority="251140"/>
    <cfRule type="duplicateValues" dxfId="14562" priority="251141"/>
    <cfRule type="duplicateValues" dxfId="14561" priority="251142"/>
    <cfRule type="duplicateValues" dxfId="14560" priority="251143"/>
    <cfRule type="duplicateValues" dxfId="14559" priority="251144"/>
    <cfRule type="duplicateValues" dxfId="14558" priority="251145"/>
  </conditionalFormatting>
  <conditionalFormatting sqref="B4:B86">
    <cfRule type="duplicateValues" dxfId="14557" priority="251146"/>
  </conditionalFormatting>
  <conditionalFormatting sqref="B1:B87">
    <cfRule type="duplicateValues" dxfId="14556" priority="251147"/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621C-D486-4AF7-881E-2FD162DD7E2B}">
  <dimension ref="A1:I47"/>
  <sheetViews>
    <sheetView zoomScale="89" workbookViewId="0">
      <selection sqref="A1:I1"/>
    </sheetView>
  </sheetViews>
  <sheetFormatPr defaultColWidth="17.109375" defaultRowHeight="14.4"/>
  <cols>
    <col min="1" max="1" width="4.21875" style="3" bestFit="1" customWidth="1"/>
    <col min="2" max="2" width="13.6640625" style="3" customWidth="1"/>
    <col min="3" max="3" width="6.6640625" style="3" customWidth="1"/>
    <col min="4" max="4" width="20" style="3" customWidth="1"/>
    <col min="5" max="5" width="18.6640625" style="3" customWidth="1"/>
    <col min="6" max="6" width="11.44140625" style="64" customWidth="1"/>
    <col min="7" max="7" width="10.6640625" style="64" customWidth="1"/>
    <col min="8" max="8" width="11.5546875" style="64" customWidth="1"/>
    <col min="9" max="9" width="73.88671875" style="3" customWidth="1"/>
    <col min="10" max="16384" width="17.109375" style="3"/>
  </cols>
  <sheetData>
    <row r="1" spans="1:9" ht="23.4">
      <c r="A1" s="273" t="s">
        <v>184</v>
      </c>
      <c r="B1" s="273"/>
      <c r="C1" s="273"/>
      <c r="D1" s="273"/>
      <c r="E1" s="273"/>
      <c r="F1" s="273"/>
      <c r="G1" s="273"/>
      <c r="H1" s="273"/>
      <c r="I1" s="273"/>
    </row>
    <row r="2" spans="1:9">
      <c r="A2" s="269" t="s">
        <v>4254</v>
      </c>
      <c r="B2" s="269"/>
      <c r="C2" s="269"/>
      <c r="D2" s="269"/>
      <c r="E2" s="269"/>
      <c r="F2" s="269"/>
      <c r="G2" s="269"/>
      <c r="H2" s="269"/>
      <c r="I2" s="269"/>
    </row>
    <row r="3" spans="1:9" s="55" customFormat="1">
      <c r="A3" s="56" t="s">
        <v>22</v>
      </c>
      <c r="B3" s="56" t="s">
        <v>13</v>
      </c>
      <c r="C3" s="56" t="s">
        <v>26</v>
      </c>
      <c r="D3" s="56" t="s">
        <v>14</v>
      </c>
      <c r="E3" s="57" t="s">
        <v>15</v>
      </c>
      <c r="F3" s="70" t="s">
        <v>0</v>
      </c>
      <c r="G3" s="70" t="s">
        <v>1</v>
      </c>
      <c r="H3" s="70" t="s">
        <v>2</v>
      </c>
      <c r="I3" s="56" t="s">
        <v>19</v>
      </c>
    </row>
    <row r="4" spans="1:9" s="54" customFormat="1">
      <c r="A4" s="53">
        <v>1</v>
      </c>
      <c r="B4" s="224" t="s">
        <v>881</v>
      </c>
      <c r="C4" s="183" t="s">
        <v>11</v>
      </c>
      <c r="D4" s="53" t="s">
        <v>4492</v>
      </c>
      <c r="E4" s="232">
        <v>10299999</v>
      </c>
      <c r="F4" s="71">
        <v>1836.31</v>
      </c>
      <c r="G4" s="71">
        <v>1529</v>
      </c>
      <c r="H4" s="71">
        <v>307.31</v>
      </c>
      <c r="I4" s="184" t="s">
        <v>773</v>
      </c>
    </row>
    <row r="5" spans="1:9" s="54" customFormat="1">
      <c r="A5" s="53">
        <v>2</v>
      </c>
      <c r="B5" s="224" t="s">
        <v>774</v>
      </c>
      <c r="C5" s="183" t="s">
        <v>34</v>
      </c>
      <c r="D5" s="53" t="s">
        <v>4492</v>
      </c>
      <c r="E5" s="232">
        <v>11299999</v>
      </c>
      <c r="F5" s="71">
        <v>1835.88</v>
      </c>
      <c r="G5" s="71">
        <v>1528.57</v>
      </c>
      <c r="H5" s="71">
        <v>307.31</v>
      </c>
      <c r="I5" s="184" t="s">
        <v>775</v>
      </c>
    </row>
    <row r="6" spans="1:9" s="54" customFormat="1">
      <c r="A6" s="53">
        <v>3</v>
      </c>
      <c r="B6" s="224" t="s">
        <v>776</v>
      </c>
      <c r="C6" s="183" t="s">
        <v>33</v>
      </c>
      <c r="D6" s="53" t="s">
        <v>4492</v>
      </c>
      <c r="E6" s="232">
        <v>11499999</v>
      </c>
      <c r="F6" s="71">
        <v>1835.88</v>
      </c>
      <c r="G6" s="71">
        <v>1528.57</v>
      </c>
      <c r="H6" s="71">
        <v>307.31</v>
      </c>
      <c r="I6" s="184" t="s">
        <v>775</v>
      </c>
    </row>
    <row r="7" spans="1:9" s="54" customFormat="1">
      <c r="A7" s="53">
        <v>4</v>
      </c>
      <c r="B7" s="224" t="s">
        <v>4493</v>
      </c>
      <c r="C7" s="183" t="s">
        <v>4494</v>
      </c>
      <c r="D7" s="53" t="s">
        <v>4492</v>
      </c>
      <c r="E7" s="232">
        <v>11799999</v>
      </c>
      <c r="F7" s="71">
        <v>1835.88</v>
      </c>
      <c r="G7" s="71">
        <v>1528.57</v>
      </c>
      <c r="H7" s="71">
        <v>307.31</v>
      </c>
      <c r="I7" s="184" t="s">
        <v>775</v>
      </c>
    </row>
    <row r="8" spans="1:9" s="54" customFormat="1">
      <c r="A8" s="53">
        <v>5</v>
      </c>
      <c r="B8" s="224" t="s">
        <v>777</v>
      </c>
      <c r="C8" s="183" t="s">
        <v>4494</v>
      </c>
      <c r="D8" s="53" t="s">
        <v>4492</v>
      </c>
      <c r="E8" s="232">
        <v>11599999</v>
      </c>
      <c r="F8" s="71">
        <v>1836.31</v>
      </c>
      <c r="G8" s="71">
        <v>1529</v>
      </c>
      <c r="H8" s="71">
        <v>307.31</v>
      </c>
      <c r="I8" s="184" t="s">
        <v>773</v>
      </c>
    </row>
    <row r="9" spans="1:9" s="54" customFormat="1">
      <c r="A9" s="53">
        <v>6</v>
      </c>
      <c r="B9" s="224" t="s">
        <v>882</v>
      </c>
      <c r="C9" s="183" t="s">
        <v>4495</v>
      </c>
      <c r="D9" s="53" t="s">
        <v>4492</v>
      </c>
      <c r="E9" s="232">
        <v>11799999</v>
      </c>
      <c r="F9" s="71">
        <v>1836.31</v>
      </c>
      <c r="G9" s="71">
        <v>1529</v>
      </c>
      <c r="H9" s="71">
        <v>307.31</v>
      </c>
      <c r="I9" s="184" t="s">
        <v>773</v>
      </c>
    </row>
    <row r="10" spans="1:9" s="54" customFormat="1">
      <c r="A10" s="53">
        <v>7</v>
      </c>
      <c r="B10" s="224" t="s">
        <v>778</v>
      </c>
      <c r="C10" s="183" t="s">
        <v>4462</v>
      </c>
      <c r="D10" s="53" t="s">
        <v>4492</v>
      </c>
      <c r="E10" s="232">
        <v>12099999</v>
      </c>
      <c r="F10" s="71">
        <v>1836.31</v>
      </c>
      <c r="G10" s="71">
        <v>1529</v>
      </c>
      <c r="H10" s="71">
        <v>307.31</v>
      </c>
      <c r="I10" s="184" t="s">
        <v>773</v>
      </c>
    </row>
    <row r="11" spans="1:9" s="54" customFormat="1">
      <c r="A11" s="53">
        <v>8</v>
      </c>
      <c r="B11" s="224" t="s">
        <v>779</v>
      </c>
      <c r="C11" s="183" t="s">
        <v>4463</v>
      </c>
      <c r="D11" s="53" t="s">
        <v>4492</v>
      </c>
      <c r="E11" s="232">
        <v>12499999</v>
      </c>
      <c r="F11" s="71">
        <v>1835.88</v>
      </c>
      <c r="G11" s="71">
        <v>1528.57</v>
      </c>
      <c r="H11" s="71">
        <v>307.31</v>
      </c>
      <c r="I11" s="184" t="s">
        <v>775</v>
      </c>
    </row>
    <row r="12" spans="1:9" s="54" customFormat="1">
      <c r="A12" s="53">
        <v>9</v>
      </c>
      <c r="B12" s="224" t="s">
        <v>780</v>
      </c>
      <c r="C12" s="183" t="s">
        <v>4464</v>
      </c>
      <c r="D12" s="53" t="s">
        <v>4492</v>
      </c>
      <c r="E12" s="232">
        <v>12799999</v>
      </c>
      <c r="F12" s="71">
        <v>1835.88</v>
      </c>
      <c r="G12" s="71">
        <v>1528.57</v>
      </c>
      <c r="H12" s="71">
        <v>307.31</v>
      </c>
      <c r="I12" s="184" t="s">
        <v>775</v>
      </c>
    </row>
    <row r="13" spans="1:9" s="54" customFormat="1">
      <c r="A13" s="53">
        <v>10</v>
      </c>
      <c r="B13" s="224" t="s">
        <v>781</v>
      </c>
      <c r="C13" s="183" t="s">
        <v>4466</v>
      </c>
      <c r="D13" s="53" t="s">
        <v>4492</v>
      </c>
      <c r="E13" s="232">
        <v>13299999</v>
      </c>
      <c r="F13" s="71">
        <v>1835.88</v>
      </c>
      <c r="G13" s="71">
        <v>1528.57</v>
      </c>
      <c r="H13" s="71">
        <v>307.31</v>
      </c>
      <c r="I13" s="184" t="s">
        <v>775</v>
      </c>
    </row>
    <row r="14" spans="1:9" s="54" customFormat="1">
      <c r="A14" s="53">
        <v>11</v>
      </c>
      <c r="B14" s="224" t="s">
        <v>782</v>
      </c>
      <c r="C14" s="183" t="s">
        <v>4466</v>
      </c>
      <c r="D14" s="53" t="s">
        <v>4492</v>
      </c>
      <c r="E14" s="232">
        <v>13099999</v>
      </c>
      <c r="F14" s="71">
        <v>1836.31</v>
      </c>
      <c r="G14" s="71">
        <v>1529</v>
      </c>
      <c r="H14" s="71">
        <v>307.31</v>
      </c>
      <c r="I14" s="184" t="s">
        <v>773</v>
      </c>
    </row>
    <row r="15" spans="1:9" s="54" customFormat="1">
      <c r="A15" s="53">
        <v>12</v>
      </c>
      <c r="B15" s="224" t="s">
        <v>783</v>
      </c>
      <c r="C15" s="183" t="s">
        <v>4468</v>
      </c>
      <c r="D15" s="53" t="s">
        <v>4492</v>
      </c>
      <c r="E15" s="232">
        <v>13599999</v>
      </c>
      <c r="F15" s="71">
        <v>1836.31</v>
      </c>
      <c r="G15" s="71">
        <v>1529</v>
      </c>
      <c r="H15" s="71">
        <v>307.31</v>
      </c>
      <c r="I15" s="184" t="s">
        <v>773</v>
      </c>
    </row>
    <row r="16" spans="1:9" s="54" customFormat="1">
      <c r="A16" s="53">
        <v>13</v>
      </c>
      <c r="B16" s="224" t="s">
        <v>784</v>
      </c>
      <c r="C16" s="183" t="s">
        <v>4468</v>
      </c>
      <c r="D16" s="53" t="s">
        <v>4492</v>
      </c>
      <c r="E16" s="232">
        <v>13799999</v>
      </c>
      <c r="F16" s="71">
        <v>1835.88</v>
      </c>
      <c r="G16" s="71">
        <v>1528.57</v>
      </c>
      <c r="H16" s="71">
        <v>307.31</v>
      </c>
      <c r="I16" s="184" t="s">
        <v>775</v>
      </c>
    </row>
    <row r="17" spans="1:9" s="54" customFormat="1">
      <c r="A17" s="53">
        <v>14</v>
      </c>
      <c r="B17" s="224" t="s">
        <v>785</v>
      </c>
      <c r="C17" s="183" t="s">
        <v>4469</v>
      </c>
      <c r="D17" s="53" t="s">
        <v>4492</v>
      </c>
      <c r="E17" s="232">
        <v>13999999</v>
      </c>
      <c r="F17" s="71">
        <v>1835.88</v>
      </c>
      <c r="G17" s="71">
        <v>1528.57</v>
      </c>
      <c r="H17" s="71">
        <v>307.31</v>
      </c>
      <c r="I17" s="184" t="s">
        <v>775</v>
      </c>
    </row>
    <row r="18" spans="1:9" s="54" customFormat="1">
      <c r="A18" s="53">
        <v>15</v>
      </c>
      <c r="B18" s="224" t="s">
        <v>786</v>
      </c>
      <c r="C18" s="183" t="s">
        <v>4470</v>
      </c>
      <c r="D18" s="53" t="s">
        <v>4492</v>
      </c>
      <c r="E18" s="232">
        <v>14099999</v>
      </c>
      <c r="F18" s="71">
        <v>1836.31</v>
      </c>
      <c r="G18" s="71">
        <v>1529</v>
      </c>
      <c r="H18" s="71">
        <v>307.31</v>
      </c>
      <c r="I18" s="184" t="s">
        <v>773</v>
      </c>
    </row>
    <row r="19" spans="1:9" s="54" customFormat="1">
      <c r="A19" s="53">
        <v>16</v>
      </c>
      <c r="B19" s="224" t="s">
        <v>4533</v>
      </c>
      <c r="C19" s="183" t="s">
        <v>4476</v>
      </c>
      <c r="D19" s="53" t="s">
        <v>4496</v>
      </c>
      <c r="E19" s="232">
        <v>20199999</v>
      </c>
      <c r="F19" s="71">
        <v>2706.36</v>
      </c>
      <c r="G19" s="71">
        <v>2163.3000000000002</v>
      </c>
      <c r="H19" s="71">
        <v>543.05999999999995</v>
      </c>
      <c r="I19" s="184" t="s">
        <v>787</v>
      </c>
    </row>
    <row r="20" spans="1:9" s="54" customFormat="1">
      <c r="A20" s="53">
        <v>17</v>
      </c>
      <c r="B20" s="224" t="s">
        <v>788</v>
      </c>
      <c r="C20" s="183" t="s">
        <v>4476</v>
      </c>
      <c r="D20" s="53" t="s">
        <v>4496</v>
      </c>
      <c r="E20" s="232">
        <v>19999999</v>
      </c>
      <c r="F20" s="71">
        <v>2709.05</v>
      </c>
      <c r="G20" s="71">
        <v>2165.02</v>
      </c>
      <c r="H20" s="71">
        <v>544.03</v>
      </c>
      <c r="I20" s="184" t="s">
        <v>773</v>
      </c>
    </row>
    <row r="21" spans="1:9" s="54" customFormat="1">
      <c r="A21" s="53">
        <v>18</v>
      </c>
      <c r="B21" s="224" t="s">
        <v>789</v>
      </c>
      <c r="C21" s="183" t="s">
        <v>4478</v>
      </c>
      <c r="D21" s="53" t="s">
        <v>4496</v>
      </c>
      <c r="E21" s="232">
        <v>20299999</v>
      </c>
      <c r="F21" s="71">
        <v>2709.05</v>
      </c>
      <c r="G21" s="71">
        <v>2165.02</v>
      </c>
      <c r="H21" s="71">
        <v>544.03</v>
      </c>
      <c r="I21" s="184" t="s">
        <v>773</v>
      </c>
    </row>
    <row r="22" spans="1:9" s="54" customFormat="1">
      <c r="A22" s="53">
        <v>19</v>
      </c>
      <c r="B22" s="224" t="s">
        <v>790</v>
      </c>
      <c r="C22" s="183" t="s">
        <v>4477</v>
      </c>
      <c r="D22" s="53" t="s">
        <v>4496</v>
      </c>
      <c r="E22" s="232">
        <v>19999999</v>
      </c>
      <c r="F22" s="71">
        <v>2709.05</v>
      </c>
      <c r="G22" s="71">
        <v>2165.02</v>
      </c>
      <c r="H22" s="71">
        <v>544.03</v>
      </c>
      <c r="I22" s="184" t="s">
        <v>773</v>
      </c>
    </row>
    <row r="23" spans="1:9" s="54" customFormat="1">
      <c r="A23" s="53">
        <v>20</v>
      </c>
      <c r="B23" s="224" t="s">
        <v>791</v>
      </c>
      <c r="C23" s="183" t="s">
        <v>4497</v>
      </c>
      <c r="D23" s="53" t="s">
        <v>4496</v>
      </c>
      <c r="E23" s="232">
        <v>20799999</v>
      </c>
      <c r="F23" s="71">
        <v>2706.36</v>
      </c>
      <c r="G23" s="71">
        <v>2163.3000000000002</v>
      </c>
      <c r="H23" s="71">
        <v>543.05999999999995</v>
      </c>
      <c r="I23" s="184" t="s">
        <v>787</v>
      </c>
    </row>
    <row r="24" spans="1:9" s="54" customFormat="1">
      <c r="A24" s="53">
        <v>21</v>
      </c>
      <c r="B24" s="224" t="s">
        <v>792</v>
      </c>
      <c r="C24" s="183" t="s">
        <v>4497</v>
      </c>
      <c r="D24" s="53" t="s">
        <v>4496</v>
      </c>
      <c r="E24" s="232">
        <v>20499999</v>
      </c>
      <c r="F24" s="71">
        <v>2709.05</v>
      </c>
      <c r="G24" s="71">
        <v>2165.02</v>
      </c>
      <c r="H24" s="71">
        <v>544.03</v>
      </c>
      <c r="I24" s="184" t="s">
        <v>773</v>
      </c>
    </row>
    <row r="25" spans="1:9" s="54" customFormat="1">
      <c r="A25" s="53">
        <v>22</v>
      </c>
      <c r="B25" s="224" t="s">
        <v>793</v>
      </c>
      <c r="C25" s="183" t="s">
        <v>4478</v>
      </c>
      <c r="D25" s="53" t="s">
        <v>4496</v>
      </c>
      <c r="E25" s="232">
        <v>20499999</v>
      </c>
      <c r="F25" s="71">
        <v>2706.36</v>
      </c>
      <c r="G25" s="71">
        <v>2163.3000000000002</v>
      </c>
      <c r="H25" s="71">
        <v>543.05999999999995</v>
      </c>
      <c r="I25" s="184" t="s">
        <v>787</v>
      </c>
    </row>
    <row r="26" spans="1:9">
      <c r="A26" s="53">
        <v>23</v>
      </c>
      <c r="B26" s="224" t="s">
        <v>794</v>
      </c>
      <c r="C26" s="183" t="s">
        <v>4480</v>
      </c>
      <c r="D26" s="53" t="s">
        <v>4496</v>
      </c>
      <c r="E26" s="232">
        <v>20999999</v>
      </c>
      <c r="F26" s="71">
        <v>2706.36</v>
      </c>
      <c r="G26" s="71">
        <v>2163.3000000000002</v>
      </c>
      <c r="H26" s="71">
        <v>543.05999999999995</v>
      </c>
      <c r="I26" s="184" t="s">
        <v>787</v>
      </c>
    </row>
    <row r="27" spans="1:9">
      <c r="A27" s="53">
        <v>24</v>
      </c>
      <c r="B27" s="224" t="s">
        <v>795</v>
      </c>
      <c r="C27" s="183" t="s">
        <v>4480</v>
      </c>
      <c r="D27" s="53" t="s">
        <v>4496</v>
      </c>
      <c r="E27" s="232">
        <v>20799999</v>
      </c>
      <c r="F27" s="71">
        <v>2709.05</v>
      </c>
      <c r="G27" s="71">
        <v>2165.02</v>
      </c>
      <c r="H27" s="71">
        <v>544.03</v>
      </c>
      <c r="I27" s="184" t="s">
        <v>773</v>
      </c>
    </row>
    <row r="28" spans="1:9">
      <c r="A28" s="53">
        <v>25</v>
      </c>
      <c r="B28" s="224" t="s">
        <v>796</v>
      </c>
      <c r="C28" s="183" t="s">
        <v>4498</v>
      </c>
      <c r="D28" s="53" t="s">
        <v>4496</v>
      </c>
      <c r="E28" s="232">
        <v>21299999</v>
      </c>
      <c r="F28" s="71">
        <v>2709.05</v>
      </c>
      <c r="G28" s="71">
        <v>2165.02</v>
      </c>
      <c r="H28" s="71">
        <v>544.03</v>
      </c>
      <c r="I28" s="184" t="s">
        <v>773</v>
      </c>
    </row>
    <row r="29" spans="1:9">
      <c r="A29" s="53">
        <v>26</v>
      </c>
      <c r="B29" s="224" t="s">
        <v>797</v>
      </c>
      <c r="C29" s="183" t="s">
        <v>4499</v>
      </c>
      <c r="D29" s="53" t="s">
        <v>4496</v>
      </c>
      <c r="E29" s="232">
        <v>21299999</v>
      </c>
      <c r="F29" s="71">
        <v>2706.36</v>
      </c>
      <c r="G29" s="71">
        <v>2163.3000000000002</v>
      </c>
      <c r="H29" s="71">
        <v>543.05999999999995</v>
      </c>
      <c r="I29" s="184" t="s">
        <v>787</v>
      </c>
    </row>
    <row r="30" spans="1:9">
      <c r="A30" s="53">
        <v>27</v>
      </c>
      <c r="B30" s="224" t="s">
        <v>798</v>
      </c>
      <c r="C30" s="183" t="s">
        <v>4499</v>
      </c>
      <c r="D30" s="53" t="s">
        <v>4496</v>
      </c>
      <c r="E30" s="232">
        <v>21099999</v>
      </c>
      <c r="F30" s="71">
        <v>2709.05</v>
      </c>
      <c r="G30" s="71">
        <v>2165.02</v>
      </c>
      <c r="H30" s="71">
        <v>544.03</v>
      </c>
      <c r="I30" s="184" t="s">
        <v>773</v>
      </c>
    </row>
    <row r="31" spans="1:9">
      <c r="A31" s="53">
        <v>28</v>
      </c>
      <c r="B31" s="224" t="s">
        <v>799</v>
      </c>
      <c r="C31" s="183" t="s">
        <v>4498</v>
      </c>
      <c r="D31" s="53" t="s">
        <v>4496</v>
      </c>
      <c r="E31" s="232">
        <v>21599999</v>
      </c>
      <c r="F31" s="71">
        <v>2706.36</v>
      </c>
      <c r="G31" s="71">
        <v>2163.3000000000002</v>
      </c>
      <c r="H31" s="71">
        <v>543.05999999999995</v>
      </c>
      <c r="I31" s="184" t="s">
        <v>787</v>
      </c>
    </row>
    <row r="32" spans="1:9">
      <c r="A32" s="53">
        <v>29</v>
      </c>
      <c r="B32" s="224" t="s">
        <v>800</v>
      </c>
      <c r="C32" s="183" t="s">
        <v>181</v>
      </c>
      <c r="D32" s="53" t="s">
        <v>4496</v>
      </c>
      <c r="E32" s="232">
        <v>21799999</v>
      </c>
      <c r="F32" s="71">
        <v>2709.05</v>
      </c>
      <c r="G32" s="71">
        <v>2165.02</v>
      </c>
      <c r="H32" s="71">
        <v>544.03</v>
      </c>
      <c r="I32" s="184" t="s">
        <v>773</v>
      </c>
    </row>
    <row r="33" spans="1:9">
      <c r="A33" s="53">
        <v>30</v>
      </c>
      <c r="B33" s="224" t="s">
        <v>801</v>
      </c>
      <c r="C33" s="183" t="s">
        <v>181</v>
      </c>
      <c r="D33" s="53" t="s">
        <v>4496</v>
      </c>
      <c r="E33" s="232">
        <v>22099999</v>
      </c>
      <c r="F33" s="71">
        <v>2706.36</v>
      </c>
      <c r="G33" s="71">
        <v>2163.3000000000002</v>
      </c>
      <c r="H33" s="71">
        <v>543.05999999999995</v>
      </c>
      <c r="I33" s="184" t="s">
        <v>787</v>
      </c>
    </row>
    <row r="34" spans="1:9">
      <c r="A34" s="53">
        <v>31</v>
      </c>
      <c r="B34" s="224" t="s">
        <v>802</v>
      </c>
      <c r="C34" s="183" t="s">
        <v>180</v>
      </c>
      <c r="D34" s="53" t="s">
        <v>4496</v>
      </c>
      <c r="E34" s="232">
        <v>22599999</v>
      </c>
      <c r="F34" s="71">
        <v>2706.36</v>
      </c>
      <c r="G34" s="71">
        <v>2163.3000000000002</v>
      </c>
      <c r="H34" s="71">
        <v>543.05999999999995</v>
      </c>
      <c r="I34" s="184" t="s">
        <v>787</v>
      </c>
    </row>
    <row r="35" spans="1:9">
      <c r="A35" s="53">
        <v>32</v>
      </c>
      <c r="B35" s="224" t="s">
        <v>803</v>
      </c>
      <c r="C35" s="183" t="s">
        <v>218</v>
      </c>
      <c r="D35" s="53" t="s">
        <v>4496</v>
      </c>
      <c r="E35" s="232">
        <v>23199999</v>
      </c>
      <c r="F35" s="71">
        <v>2709.05</v>
      </c>
      <c r="G35" s="71">
        <v>2165.02</v>
      </c>
      <c r="H35" s="71">
        <v>544.03</v>
      </c>
      <c r="I35" s="184" t="s">
        <v>773</v>
      </c>
    </row>
    <row r="36" spans="1:9">
      <c r="A36" s="53">
        <v>33</v>
      </c>
      <c r="B36" s="224" t="s">
        <v>804</v>
      </c>
      <c r="C36" s="183" t="s">
        <v>179</v>
      </c>
      <c r="D36" s="53" t="s">
        <v>4500</v>
      </c>
      <c r="E36" s="232">
        <v>25699999</v>
      </c>
      <c r="F36" s="71">
        <v>3284.6</v>
      </c>
      <c r="G36" s="71">
        <v>2307.27</v>
      </c>
      <c r="H36" s="71">
        <v>977.33</v>
      </c>
      <c r="I36" s="184" t="s">
        <v>772</v>
      </c>
    </row>
    <row r="37" spans="1:9">
      <c r="A37" s="53">
        <v>34</v>
      </c>
      <c r="B37" s="224" t="s">
        <v>805</v>
      </c>
      <c r="C37" s="183" t="s">
        <v>179</v>
      </c>
      <c r="D37" s="53" t="s">
        <v>4496</v>
      </c>
      <c r="E37" s="232">
        <v>23399999</v>
      </c>
      <c r="F37" s="71">
        <v>2707</v>
      </c>
      <c r="G37" s="71">
        <v>2158.13</v>
      </c>
      <c r="H37" s="71">
        <v>548.87</v>
      </c>
      <c r="I37" s="184" t="s">
        <v>773</v>
      </c>
    </row>
    <row r="38" spans="1:9">
      <c r="A38" s="53">
        <v>35</v>
      </c>
      <c r="B38" s="224" t="s">
        <v>806</v>
      </c>
      <c r="C38" s="183" t="s">
        <v>218</v>
      </c>
      <c r="D38" s="53" t="s">
        <v>4496</v>
      </c>
      <c r="E38" s="232">
        <v>23399999</v>
      </c>
      <c r="F38" s="71">
        <v>2706.36</v>
      </c>
      <c r="G38" s="71">
        <v>2163.3000000000002</v>
      </c>
      <c r="H38" s="71">
        <v>543.05999999999995</v>
      </c>
      <c r="I38" s="184" t="s">
        <v>787</v>
      </c>
    </row>
    <row r="39" spans="1:9">
      <c r="A39" s="53">
        <v>36</v>
      </c>
      <c r="B39" s="224" t="s">
        <v>807</v>
      </c>
      <c r="C39" s="183" t="s">
        <v>218</v>
      </c>
      <c r="D39" s="53" t="s">
        <v>4500</v>
      </c>
      <c r="E39" s="232">
        <v>25399999</v>
      </c>
      <c r="F39" s="71">
        <v>3288.9</v>
      </c>
      <c r="G39" s="71">
        <v>2322.0100000000002</v>
      </c>
      <c r="H39" s="71">
        <v>966.89</v>
      </c>
      <c r="I39" s="184" t="s">
        <v>772</v>
      </c>
    </row>
    <row r="40" spans="1:9">
      <c r="A40" s="53">
        <v>37</v>
      </c>
      <c r="B40" s="224" t="s">
        <v>808</v>
      </c>
      <c r="C40" s="183" t="s">
        <v>178</v>
      </c>
      <c r="D40" s="53" t="s">
        <v>4496</v>
      </c>
      <c r="E40" s="232">
        <v>23899999</v>
      </c>
      <c r="F40" s="71">
        <v>2679.24</v>
      </c>
      <c r="G40" s="71">
        <v>2127.5700000000002</v>
      </c>
      <c r="H40" s="71">
        <v>551.66999999999996</v>
      </c>
      <c r="I40" s="184" t="s">
        <v>773</v>
      </c>
    </row>
    <row r="41" spans="1:9">
      <c r="A41" s="53">
        <v>38</v>
      </c>
      <c r="B41" s="224" t="s">
        <v>809</v>
      </c>
      <c r="C41" s="183" t="s">
        <v>4501</v>
      </c>
      <c r="D41" s="53" t="s">
        <v>4496</v>
      </c>
      <c r="E41" s="232">
        <v>23899999</v>
      </c>
      <c r="F41" s="71">
        <v>2696.24</v>
      </c>
      <c r="G41" s="71">
        <v>2146.73</v>
      </c>
      <c r="H41" s="71">
        <v>549.51</v>
      </c>
      <c r="I41" s="184" t="s">
        <v>787</v>
      </c>
    </row>
    <row r="42" spans="1:9">
      <c r="A42" s="53">
        <v>39</v>
      </c>
      <c r="B42" s="224" t="s">
        <v>810</v>
      </c>
      <c r="C42" s="183" t="s">
        <v>4501</v>
      </c>
      <c r="D42" s="53" t="s">
        <v>4496</v>
      </c>
      <c r="E42" s="232">
        <v>23699999</v>
      </c>
      <c r="F42" s="71">
        <v>2697.1</v>
      </c>
      <c r="G42" s="71">
        <v>2146.73</v>
      </c>
      <c r="H42" s="71">
        <v>550.37</v>
      </c>
      <c r="I42" s="184" t="s">
        <v>773</v>
      </c>
    </row>
    <row r="43" spans="1:9">
      <c r="A43" s="53">
        <v>40</v>
      </c>
      <c r="B43" s="224" t="s">
        <v>811</v>
      </c>
      <c r="C43" s="183" t="s">
        <v>178</v>
      </c>
      <c r="D43" s="53" t="s">
        <v>4496</v>
      </c>
      <c r="E43" s="232">
        <v>24199999</v>
      </c>
      <c r="F43" s="71">
        <v>2678.38</v>
      </c>
      <c r="G43" s="71">
        <v>2127.4699999999998</v>
      </c>
      <c r="H43" s="71">
        <v>550.91</v>
      </c>
      <c r="I43" s="184" t="s">
        <v>787</v>
      </c>
    </row>
    <row r="44" spans="1:9">
      <c r="A44" s="53">
        <v>41</v>
      </c>
      <c r="B44" s="224" t="s">
        <v>4534</v>
      </c>
      <c r="C44" s="183" t="s">
        <v>178</v>
      </c>
      <c r="D44" s="53" t="s">
        <v>4500</v>
      </c>
      <c r="E44" s="232">
        <v>26199999</v>
      </c>
      <c r="F44" s="71">
        <v>3251.03</v>
      </c>
      <c r="G44" s="71">
        <v>2281.98</v>
      </c>
      <c r="H44" s="71">
        <v>969.05</v>
      </c>
      <c r="I44" s="184" t="s">
        <v>772</v>
      </c>
    </row>
    <row r="45" spans="1:9">
      <c r="A45" s="53">
        <v>42</v>
      </c>
      <c r="B45" s="224" t="s">
        <v>812</v>
      </c>
      <c r="C45" s="183" t="s">
        <v>4502</v>
      </c>
      <c r="D45" s="53" t="s">
        <v>4496</v>
      </c>
      <c r="E45" s="232">
        <v>24499999</v>
      </c>
      <c r="F45" s="71">
        <v>2652.77</v>
      </c>
      <c r="G45" s="71">
        <v>2100.46</v>
      </c>
      <c r="H45" s="71">
        <v>552.30999999999995</v>
      </c>
      <c r="I45" s="184" t="s">
        <v>787</v>
      </c>
    </row>
    <row r="46" spans="1:9">
      <c r="A46" s="53">
        <v>43</v>
      </c>
      <c r="B46" s="224" t="s">
        <v>813</v>
      </c>
      <c r="C46" s="183" t="s">
        <v>4502</v>
      </c>
      <c r="D46" s="53" t="s">
        <v>4496</v>
      </c>
      <c r="E46" s="225">
        <v>24199999</v>
      </c>
      <c r="F46" s="71">
        <v>2653.53</v>
      </c>
      <c r="G46" s="71">
        <v>2100.5700000000002</v>
      </c>
      <c r="H46" s="71">
        <v>552.96</v>
      </c>
      <c r="I46" s="53" t="s">
        <v>773</v>
      </c>
    </row>
    <row r="47" spans="1:9">
      <c r="A47" s="53">
        <v>44</v>
      </c>
      <c r="B47" s="224" t="s">
        <v>4894</v>
      </c>
      <c r="C47" s="53" t="s">
        <v>4489</v>
      </c>
      <c r="D47" s="53" t="s">
        <v>4503</v>
      </c>
      <c r="E47" s="225">
        <v>35799999</v>
      </c>
      <c r="F47" s="71">
        <v>3662.38</v>
      </c>
      <c r="G47" s="71">
        <v>2667.08</v>
      </c>
      <c r="H47" s="71">
        <v>995.3</v>
      </c>
      <c r="I47" s="53" t="s">
        <v>4895</v>
      </c>
    </row>
  </sheetData>
  <mergeCells count="2">
    <mergeCell ref="A1:I1"/>
    <mergeCell ref="A2:I2"/>
  </mergeCells>
  <conditionalFormatting sqref="B1:B47">
    <cfRule type="duplicateValues" dxfId="14555" priority="232091"/>
    <cfRule type="duplicateValues" dxfId="14554" priority="232092"/>
    <cfRule type="duplicateValues" dxfId="14553" priority="232093"/>
    <cfRule type="duplicateValues" dxfId="14552" priority="232094"/>
    <cfRule type="duplicateValues" dxfId="14551" priority="232095"/>
    <cfRule type="duplicateValues" dxfId="14550" priority="232096"/>
    <cfRule type="duplicateValues" dxfId="14549" priority="232097"/>
    <cfRule type="duplicateValues" dxfId="14548" priority="232098"/>
    <cfRule type="duplicateValues" dxfId="14547" priority="233816"/>
    <cfRule type="duplicateValues" dxfId="14546" priority="233819"/>
    <cfRule type="duplicateValues" dxfId="14545" priority="233820"/>
    <cfRule type="duplicateValues" dxfId="14544" priority="233821"/>
    <cfRule type="duplicateValues" dxfId="14543" priority="233822"/>
    <cfRule type="duplicateValues" dxfId="14542" priority="233823"/>
  </conditionalFormatting>
  <conditionalFormatting sqref="B1:B1048576">
    <cfRule type="duplicateValues" dxfId="14541" priority="1"/>
  </conditionalFormatting>
  <dataValidations xWindow="185" yWindow="598" count="6"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B4:D8" xr:uid="{00000000-0002-0000-0200-000005000000}">
      <formula1>100</formula1>
    </dataValidation>
    <dataValidation type="decimal" allowBlank="1" showInputMessage="1" showErrorMessage="1" errorTitle="Value beyond range" error="Balcony Area Sq.ft must be a number from 0 through 100000000000." promptTitle="Decimal number" prompt="Minimum Value: 0._x000d__x000a_Maximum Value: 100000000000._x000d__x000a_  " sqref="H4:H8" xr:uid="{00000000-0002-0000-0200-000004000000}">
      <formula1>0</formula1>
      <formula2>100000000000</formula2>
    </dataValidation>
    <dataValidation type="decimal" allowBlank="1" showInputMessage="1" showErrorMessage="1" errorTitle="Value beyond range" error="Unit Area Sq.ft must be a number from 0 through 100000000000." promptTitle="Decimal number" prompt="Minimum Value: 0._x000d__x000a_Maximum Value: 100000000000._x000d__x000a_  " sqref="G4:G8" xr:uid="{00000000-0002-0000-0200-000003000000}">
      <formula1>0</formula1>
      <formula2>100000000000</formula2>
    </dataValidation>
    <dataValidation type="decimal" allowBlank="1" showInputMessage="1" showErrorMessage="1" errorTitle="Value beyond range" error="Total Area Sq.ft must be a number from 0 through 1000000000." promptTitle="Decimal number" prompt="Minimum Value: 0._x000d__x000a_Maximum Value: 1000000000._x000d__x000a_  " sqref="F4:F8" xr:uid="{00000000-0002-0000-0200-000002000000}">
      <formula1>0</formula1>
      <formula2>1000000000</formula2>
    </dataValidation>
    <dataValidation allowBlank="1" showInputMessage="1" showErrorMessage="1" error=" " promptTitle="Lookup" prompt="This View record must already exist in Microsoft Dynamics 365 or in this source file." sqref="I4:I8" xr:uid="{00000000-0002-0000-0200-000001000000}"/>
    <dataValidation type="decimal" showInputMessage="1" showErrorMessage="1" errorTitle="Value beyond range" error="Target Unit Price must be a number from -922337203685477 through 922337203685477." promptTitle="Decimal number (required)" prompt="Minimum Value: -922337203685477._x000d__x000a_Maximum Value: 922337203685477._x000d__x000a_  " sqref="E4:E8" xr:uid="{00000000-0002-0000-0200-000000000000}">
      <formula1>-922337203685477</formula1>
      <formula2>922337203685477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AABA-9BC6-426E-A9FF-4B4098AA1F69}">
  <dimension ref="A1:K79"/>
  <sheetViews>
    <sheetView zoomScale="89" workbookViewId="0">
      <selection sqref="A1:K1"/>
    </sheetView>
  </sheetViews>
  <sheetFormatPr defaultColWidth="9" defaultRowHeight="14.4"/>
  <cols>
    <col min="1" max="1" width="8.44140625" bestFit="1" customWidth="1"/>
    <col min="2" max="2" width="13.6640625" bestFit="1" customWidth="1"/>
    <col min="3" max="3" width="9.6640625" bestFit="1" customWidth="1"/>
    <col min="4" max="4" width="21.109375" bestFit="1" customWidth="1"/>
    <col min="5" max="6" width="12.6640625" style="7" bestFit="1" customWidth="1"/>
    <col min="7" max="7" width="14.109375" style="7" bestFit="1" customWidth="1"/>
    <col min="8" max="8" width="14.88671875" style="7" bestFit="1" customWidth="1"/>
    <col min="9" max="9" width="13.6640625" style="7" bestFit="1" customWidth="1"/>
    <col min="10" max="10" width="16.88671875" style="7" bestFit="1" customWidth="1"/>
    <col min="11" max="11" width="49.33203125" bestFit="1" customWidth="1"/>
  </cols>
  <sheetData>
    <row r="1" spans="1:11" ht="25.8">
      <c r="A1" s="274" t="s">
        <v>45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1" ht="15.6">
      <c r="A2" s="275" t="s">
        <v>4527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</row>
    <row r="3" spans="1:11" s="22" customFormat="1">
      <c r="A3" s="37" t="s">
        <v>22</v>
      </c>
      <c r="B3" s="35" t="s">
        <v>13</v>
      </c>
      <c r="C3" s="35" t="s">
        <v>26</v>
      </c>
      <c r="D3" s="35" t="s">
        <v>14</v>
      </c>
      <c r="E3" s="36" t="s">
        <v>28</v>
      </c>
      <c r="F3" s="36" t="s">
        <v>29</v>
      </c>
      <c r="G3" s="36" t="s">
        <v>43</v>
      </c>
      <c r="H3" s="36" t="s">
        <v>0</v>
      </c>
      <c r="I3" s="36" t="s">
        <v>1</v>
      </c>
      <c r="J3" s="36" t="s">
        <v>2</v>
      </c>
      <c r="K3" s="35" t="s">
        <v>19</v>
      </c>
    </row>
    <row r="4" spans="1:11" s="14" customFormat="1">
      <c r="A4" s="1">
        <v>1</v>
      </c>
      <c r="B4" s="13" t="s">
        <v>4528</v>
      </c>
      <c r="C4" s="8" t="s">
        <v>9</v>
      </c>
      <c r="D4" s="12" t="s">
        <v>4529</v>
      </c>
      <c r="E4" s="9">
        <v>2579721.8199999998</v>
      </c>
      <c r="F4" s="364">
        <f t="shared" ref="F4" si="0">E4*0.97</f>
        <v>2502330.1653999998</v>
      </c>
      <c r="G4" s="365">
        <f t="shared" ref="G4" si="1">E4*0.94</f>
        <v>2424938.5107999998</v>
      </c>
      <c r="H4" s="72">
        <v>1611.5331375999999</v>
      </c>
      <c r="I4" s="72">
        <v>944.53313760000003</v>
      </c>
      <c r="J4" s="72">
        <v>667</v>
      </c>
      <c r="K4" s="8" t="s">
        <v>4530</v>
      </c>
    </row>
    <row r="5" spans="1:11">
      <c r="E5"/>
      <c r="F5"/>
      <c r="G5"/>
      <c r="H5"/>
      <c r="I5"/>
      <c r="J5"/>
    </row>
    <row r="6" spans="1:11">
      <c r="E6"/>
      <c r="F6"/>
      <c r="G6"/>
      <c r="H6"/>
      <c r="I6"/>
      <c r="J6"/>
    </row>
    <row r="7" spans="1:11">
      <c r="E7"/>
      <c r="F7"/>
      <c r="G7"/>
      <c r="H7"/>
      <c r="I7"/>
      <c r="J7"/>
    </row>
    <row r="8" spans="1:11">
      <c r="E8"/>
      <c r="F8"/>
      <c r="G8"/>
      <c r="H8"/>
      <c r="I8"/>
      <c r="J8"/>
    </row>
    <row r="9" spans="1:11">
      <c r="E9"/>
      <c r="F9"/>
      <c r="G9"/>
      <c r="H9"/>
      <c r="I9"/>
      <c r="J9"/>
    </row>
    <row r="10" spans="1:11">
      <c r="E10"/>
      <c r="F10"/>
      <c r="G10"/>
      <c r="H10"/>
      <c r="I10"/>
      <c r="J10"/>
    </row>
    <row r="11" spans="1:11">
      <c r="E11"/>
      <c r="F11"/>
      <c r="G11"/>
      <c r="H11"/>
      <c r="I11"/>
      <c r="J11"/>
    </row>
    <row r="12" spans="1:11">
      <c r="E12"/>
      <c r="F12"/>
      <c r="G12"/>
      <c r="H12"/>
      <c r="I12"/>
      <c r="J12"/>
    </row>
    <row r="13" spans="1:11">
      <c r="E13"/>
      <c r="F13"/>
      <c r="G13"/>
      <c r="H13"/>
      <c r="I13"/>
      <c r="J13"/>
    </row>
    <row r="14" spans="1:11">
      <c r="E14"/>
      <c r="F14"/>
      <c r="G14"/>
      <c r="H14"/>
      <c r="I14"/>
      <c r="J14"/>
    </row>
    <row r="15" spans="1:11">
      <c r="E15"/>
      <c r="F15"/>
      <c r="G15"/>
      <c r="H15"/>
      <c r="I15"/>
      <c r="J15"/>
    </row>
    <row r="16" spans="1:11">
      <c r="E16"/>
      <c r="F16"/>
      <c r="G16"/>
      <c r="H16"/>
      <c r="I16"/>
      <c r="J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spans="1:10">
      <c r="E65"/>
      <c r="F65"/>
      <c r="G65"/>
      <c r="H65"/>
      <c r="I65"/>
      <c r="J65"/>
    </row>
    <row r="66" spans="1:10">
      <c r="E66"/>
      <c r="F66"/>
      <c r="G66"/>
      <c r="H66"/>
      <c r="I66"/>
      <c r="J66"/>
    </row>
    <row r="67" spans="1:10">
      <c r="E67"/>
      <c r="F67"/>
      <c r="G67"/>
      <c r="H67"/>
      <c r="I67"/>
      <c r="J67"/>
    </row>
    <row r="68" spans="1:10">
      <c r="E68"/>
      <c r="F68"/>
      <c r="G68"/>
      <c r="H68"/>
      <c r="I68"/>
      <c r="J68"/>
    </row>
    <row r="69" spans="1:10">
      <c r="E69"/>
      <c r="F69"/>
      <c r="G69"/>
      <c r="H69"/>
      <c r="I69"/>
      <c r="J69"/>
    </row>
    <row r="70" spans="1:10">
      <c r="E70"/>
      <c r="F70"/>
      <c r="G70"/>
      <c r="H70"/>
      <c r="I70"/>
      <c r="J70"/>
    </row>
    <row r="71" spans="1:10">
      <c r="E71"/>
      <c r="F71"/>
      <c r="G71"/>
      <c r="H71"/>
      <c r="I71"/>
      <c r="J71"/>
    </row>
    <row r="72" spans="1:10">
      <c r="E72"/>
      <c r="F72"/>
      <c r="G72"/>
      <c r="H72"/>
      <c r="I72"/>
      <c r="J72"/>
    </row>
    <row r="73" spans="1:10">
      <c r="E73"/>
      <c r="F73"/>
      <c r="G73"/>
      <c r="H73"/>
      <c r="I73"/>
      <c r="J73"/>
    </row>
    <row r="74" spans="1:10">
      <c r="E74"/>
      <c r="F74"/>
      <c r="G74"/>
      <c r="H74"/>
      <c r="I74"/>
      <c r="J74"/>
    </row>
    <row r="75" spans="1:10">
      <c r="E75"/>
      <c r="F75"/>
      <c r="G75"/>
      <c r="H75"/>
      <c r="I75"/>
      <c r="J75"/>
    </row>
    <row r="76" spans="1:10">
      <c r="E76"/>
      <c r="F76"/>
      <c r="G76"/>
      <c r="H76"/>
      <c r="I76"/>
      <c r="J76"/>
    </row>
    <row r="77" spans="1:10">
      <c r="E77"/>
      <c r="F77"/>
      <c r="G77"/>
      <c r="H77"/>
      <c r="I77"/>
      <c r="J77"/>
    </row>
    <row r="78" spans="1:10">
      <c r="A78" s="7"/>
      <c r="B78" s="7"/>
      <c r="C78" s="7"/>
      <c r="E78"/>
      <c r="F78"/>
      <c r="G78"/>
      <c r="H78"/>
      <c r="I78"/>
      <c r="J78"/>
    </row>
    <row r="79" spans="1:10">
      <c r="A79" s="7"/>
      <c r="B79" s="7"/>
      <c r="C79" s="7"/>
      <c r="E79"/>
      <c r="F79"/>
      <c r="G79"/>
      <c r="H79"/>
      <c r="I79"/>
      <c r="J79"/>
    </row>
  </sheetData>
  <autoFilter ref="A3:K4" xr:uid="{00000000-0001-0000-0000-000000000000}">
    <sortState xmlns:xlrd2="http://schemas.microsoft.com/office/spreadsheetml/2017/richdata2" ref="A4:K4">
      <sortCondition sortBy="cellColor" ref="B3:B4" dxfId="16096"/>
    </sortState>
  </autoFilter>
  <mergeCells count="2">
    <mergeCell ref="A1:K1"/>
    <mergeCell ref="A2:K2"/>
  </mergeCells>
  <conditionalFormatting sqref="B1">
    <cfRule type="duplicateValues" dxfId="14540" priority="139"/>
    <cfRule type="duplicateValues" dxfId="14539" priority="140"/>
    <cfRule type="duplicateValues" dxfId="14538" priority="141"/>
    <cfRule type="duplicateValues" dxfId="14537" priority="142"/>
    <cfRule type="duplicateValues" dxfId="14536" priority="143"/>
    <cfRule type="duplicateValues" dxfId="14535" priority="144"/>
    <cfRule type="duplicateValues" dxfId="14534" priority="145"/>
    <cfRule type="duplicateValues" dxfId="14533" priority="146"/>
    <cfRule type="duplicateValues" dxfId="14532" priority="147"/>
    <cfRule type="duplicateValues" dxfId="14531" priority="148"/>
    <cfRule type="duplicateValues" dxfId="14530" priority="149"/>
    <cfRule type="duplicateValues" dxfId="14529" priority="150"/>
    <cfRule type="duplicateValues" dxfId="14528" priority="151"/>
    <cfRule type="duplicateValues" dxfId="14527" priority="152"/>
  </conditionalFormatting>
  <conditionalFormatting sqref="B1:B4">
    <cfRule type="duplicateValues" dxfId="14526" priority="231215"/>
    <cfRule type="duplicateValues" dxfId="14525" priority="231216"/>
    <cfRule type="duplicateValues" dxfId="14524" priority="231217"/>
    <cfRule type="duplicateValues" dxfId="14523" priority="231218"/>
    <cfRule type="duplicateValues" dxfId="14522" priority="231219"/>
    <cfRule type="duplicateValues" dxfId="14521" priority="231220"/>
    <cfRule type="duplicateValues" dxfId="14520" priority="231221"/>
    <cfRule type="duplicateValues" dxfId="14519" priority="231222"/>
    <cfRule type="duplicateValues" dxfId="14518" priority="231223"/>
    <cfRule type="duplicateValues" dxfId="14517" priority="231224"/>
    <cfRule type="duplicateValues" dxfId="14516" priority="231225"/>
    <cfRule type="duplicateValues" dxfId="14515" priority="231226"/>
  </conditionalFormatting>
  <conditionalFormatting sqref="B2:B4">
    <cfRule type="duplicateValues" dxfId="14514" priority="231227"/>
    <cfRule type="duplicateValues" dxfId="14513" priority="231228"/>
    <cfRule type="duplicateValues" dxfId="14512" priority="231229"/>
    <cfRule type="duplicateValues" dxfId="14511" priority="231230"/>
    <cfRule type="duplicateValues" dxfId="14510" priority="231231"/>
    <cfRule type="duplicateValues" dxfId="14509" priority="231232"/>
    <cfRule type="duplicateValues" dxfId="14508" priority="231233"/>
    <cfRule type="duplicateValues" dxfId="14507" priority="231234"/>
    <cfRule type="duplicateValues" dxfId="14506" priority="231235"/>
    <cfRule type="duplicateValues" dxfId="14505" priority="231236"/>
    <cfRule type="duplicateValues" dxfId="14504" priority="231237"/>
    <cfRule type="duplicateValues" dxfId="14503" priority="231238"/>
    <cfRule type="duplicateValues" dxfId="14502" priority="231239"/>
    <cfRule type="duplicateValues" dxfId="14501" priority="231240"/>
  </conditionalFormatting>
  <conditionalFormatting sqref="B3">
    <cfRule type="duplicateValues" dxfId="14500" priority="153"/>
  </conditionalFormatting>
  <conditionalFormatting sqref="B4">
    <cfRule type="duplicateValues" dxfId="14499" priority="231241"/>
  </conditionalFormatting>
  <conditionalFormatting sqref="B17:B1048576 B1:B4">
    <cfRule type="duplicateValues" dxfId="14498" priority="1"/>
  </conditionalFormatting>
  <conditionalFormatting sqref="B20:B1048576 B1:B4">
    <cfRule type="duplicateValues" dxfId="14497" priority="3"/>
    <cfRule type="duplicateValues" dxfId="14496" priority="187992"/>
    <cfRule type="duplicateValues" dxfId="14495" priority="187994"/>
    <cfRule type="duplicateValues" dxfId="14494" priority="187996"/>
    <cfRule type="duplicateValues" dxfId="14493" priority="187997"/>
  </conditionalFormatting>
  <conditionalFormatting sqref="B20:B1048576">
    <cfRule type="duplicateValues" dxfId="14492" priority="188000"/>
  </conditionalFormatting>
  <conditionalFormatting sqref="B29:B1048576 B1:B4">
    <cfRule type="duplicateValues" dxfId="14491" priority="19"/>
  </conditionalFormatting>
  <conditionalFormatting sqref="B45:B1048576 B1:B4">
    <cfRule type="duplicateValues" dxfId="14490" priority="21"/>
    <cfRule type="duplicateValues" dxfId="14489" priority="43"/>
  </conditionalFormatting>
  <conditionalFormatting sqref="B45:B1048576">
    <cfRule type="duplicateValues" dxfId="14488" priority="23"/>
    <cfRule type="duplicateValues" dxfId="14487" priority="27"/>
    <cfRule type="duplicateValues" dxfId="14486" priority="29"/>
    <cfRule type="duplicateValues" dxfId="14485" priority="31"/>
    <cfRule type="duplicateValues" dxfId="14484" priority="33"/>
    <cfRule type="duplicateValues" dxfId="14483" priority="35"/>
    <cfRule type="duplicateValues" dxfId="14482" priority="37"/>
    <cfRule type="duplicateValues" dxfId="14481" priority="39"/>
    <cfRule type="duplicateValues" dxfId="14480" priority="41"/>
    <cfRule type="duplicateValues" dxfId="14479" priority="45"/>
    <cfRule type="duplicateValues" dxfId="14478" priority="47"/>
    <cfRule type="duplicateValues" dxfId="14477" priority="49"/>
    <cfRule type="duplicateValues" dxfId="14476" priority="51"/>
    <cfRule type="duplicateValues" dxfId="14475" priority="53"/>
  </conditionalFormatting>
  <conditionalFormatting sqref="B46:B1048576 B1:B4">
    <cfRule type="duplicateValues" dxfId="14474" priority="55"/>
  </conditionalFormatting>
  <conditionalFormatting sqref="B49:B1048576 B1:B4">
    <cfRule type="duplicateValues" dxfId="14473" priority="57"/>
  </conditionalFormatting>
  <conditionalFormatting sqref="B53:B1048576 B1:B4">
    <cfRule type="duplicateValues" dxfId="14472" priority="59"/>
  </conditionalFormatting>
  <conditionalFormatting sqref="B55:B1048576 B1:B4">
    <cfRule type="duplicateValues" dxfId="14471" priority="61"/>
  </conditionalFormatting>
  <conditionalFormatting sqref="B60:B1048576 B1:B4">
    <cfRule type="duplicateValues" dxfId="14470" priority="63"/>
  </conditionalFormatting>
  <conditionalFormatting sqref="B71:B1048576 B1:B4">
    <cfRule type="duplicateValues" dxfId="14469" priority="65"/>
  </conditionalFormatting>
  <conditionalFormatting sqref="B72:B1048576 B1:B4">
    <cfRule type="duplicateValues" dxfId="14468" priority="67"/>
  </conditionalFormatting>
  <conditionalFormatting sqref="B75:B1048576 B1:B4">
    <cfRule type="duplicateValues" dxfId="14467" priority="69"/>
    <cfRule type="duplicateValues" dxfId="14466" priority="66658"/>
    <cfRule type="duplicateValues" dxfId="14465" priority="66659"/>
  </conditionalFormatting>
  <conditionalFormatting sqref="B78:B1048576 B1:B4">
    <cfRule type="duplicateValues" dxfId="14464" priority="78"/>
    <cfRule type="duplicateValues" dxfId="14463" priority="80"/>
  </conditionalFormatting>
  <conditionalFormatting sqref="B78:B1048576">
    <cfRule type="duplicateValues" dxfId="14462" priority="82"/>
  </conditionalFormatting>
  <conditionalFormatting sqref="B80:B1048576 B1:B4">
    <cfRule type="duplicateValues" dxfId="14461" priority="84"/>
    <cfRule type="duplicateValues" dxfId="14460" priority="92"/>
    <cfRule type="duplicateValues" dxfId="14459" priority="96"/>
    <cfRule type="duplicateValues" dxfId="14458" priority="98"/>
    <cfRule type="duplicateValues" dxfId="14457" priority="100"/>
    <cfRule type="duplicateValues" dxfId="14456" priority="108"/>
    <cfRule type="duplicateValues" dxfId="14455" priority="110"/>
    <cfRule type="duplicateValues" dxfId="14454" priority="124"/>
    <cfRule type="duplicateValues" dxfId="14453" priority="137"/>
    <cfRule type="duplicateValues" dxfId="14452" priority="138"/>
    <cfRule type="duplicateValues" dxfId="14451" priority="154"/>
    <cfRule type="duplicateValues" dxfId="14450" priority="155"/>
    <cfRule type="duplicateValues" dxfId="14449" priority="156"/>
    <cfRule type="duplicateValues" dxfId="14448" priority="157"/>
    <cfRule type="duplicateValues" dxfId="14447" priority="158"/>
    <cfRule type="duplicateValues" dxfId="14446" priority="159"/>
    <cfRule type="duplicateValues" dxfId="14445" priority="160"/>
    <cfRule type="duplicateValues" dxfId="14444" priority="161"/>
    <cfRule type="duplicateValues" dxfId="14443" priority="162"/>
    <cfRule type="duplicateValues" dxfId="14442" priority="163"/>
    <cfRule type="duplicateValues" dxfId="14441" priority="164"/>
    <cfRule type="duplicateValues" dxfId="14440" priority="165"/>
    <cfRule type="duplicateValues" dxfId="14439" priority="166"/>
    <cfRule type="duplicateValues" dxfId="14438" priority="167"/>
    <cfRule type="duplicateValues" dxfId="14437" priority="168"/>
    <cfRule type="duplicateValues" dxfId="14436" priority="169"/>
    <cfRule type="duplicateValues" dxfId="14435" priority="170"/>
    <cfRule type="duplicateValues" dxfId="14434" priority="171"/>
    <cfRule type="duplicateValues" dxfId="14433" priority="172"/>
    <cfRule type="duplicateValues" dxfId="14432" priority="11341"/>
    <cfRule type="duplicateValues" dxfId="14431" priority="11342"/>
    <cfRule type="duplicateValues" dxfId="14430" priority="11343"/>
    <cfRule type="duplicateValues" dxfId="14429" priority="11351"/>
    <cfRule type="duplicateValues" dxfId="14428" priority="11354"/>
    <cfRule type="duplicateValues" dxfId="14427" priority="11355"/>
    <cfRule type="duplicateValues" dxfId="14426" priority="11356"/>
    <cfRule type="duplicateValues" dxfId="14425" priority="11357"/>
    <cfRule type="duplicateValues" dxfId="14424" priority="38789"/>
    <cfRule type="duplicateValues" dxfId="14423" priority="42226"/>
  </conditionalFormatting>
  <conditionalFormatting sqref="B80:B1048576">
    <cfRule type="duplicateValues" dxfId="14422" priority="86"/>
    <cfRule type="duplicateValues" dxfId="14421" priority="90"/>
    <cfRule type="duplicateValues" dxfId="14420" priority="112"/>
    <cfRule type="duplicateValues" dxfId="14419" priority="116"/>
    <cfRule type="duplicateValues" dxfId="14418" priority="118"/>
    <cfRule type="duplicateValues" dxfId="14417" priority="120"/>
    <cfRule type="duplicateValues" dxfId="14416" priority="122"/>
    <cfRule type="duplicateValues" dxfId="14415" priority="173"/>
    <cfRule type="duplicateValues" dxfId="14414" priority="174"/>
    <cfRule type="duplicateValues" dxfId="14413" priority="175"/>
    <cfRule type="duplicateValues" dxfId="14412" priority="176"/>
    <cfRule type="duplicateValues" dxfId="14411" priority="177"/>
    <cfRule type="duplicateValues" dxfId="14410" priority="11347"/>
    <cfRule type="duplicateValues" dxfId="14409" priority="11348"/>
    <cfRule type="duplicateValues" dxfId="14408" priority="11349"/>
    <cfRule type="duplicateValues" dxfId="14407" priority="11350"/>
    <cfRule type="duplicateValues" dxfId="14406" priority="27020"/>
    <cfRule type="duplicateValues" dxfId="14405" priority="3878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1F7E-8A01-4817-A9D2-91817DB2188D}">
  <dimension ref="A1:K4"/>
  <sheetViews>
    <sheetView workbookViewId="0">
      <selection activeCell="H4" sqref="H4:K4"/>
    </sheetView>
  </sheetViews>
  <sheetFormatPr defaultColWidth="5.6640625" defaultRowHeight="14.4"/>
  <cols>
    <col min="1" max="1" width="3.6640625" style="22" bestFit="1" customWidth="1"/>
    <col min="2" max="2" width="14.33203125" style="22" customWidth="1"/>
    <col min="3" max="3" width="5.44140625" style="22" bestFit="1" customWidth="1"/>
    <col min="4" max="4" width="14.109375" style="22" customWidth="1"/>
    <col min="5" max="5" width="14.44140625" style="22" customWidth="1"/>
    <col min="6" max="6" width="14.21875" style="23" customWidth="1"/>
    <col min="7" max="7" width="15" style="23" customWidth="1"/>
    <col min="8" max="8" width="13.109375" style="22" bestFit="1" customWidth="1"/>
    <col min="9" max="9" width="10.109375" style="22" customWidth="1"/>
    <col min="10" max="10" width="11.6640625" style="22" customWidth="1"/>
    <col min="11" max="11" width="63" style="22" bestFit="1" customWidth="1"/>
    <col min="12" max="16384" width="5.6640625" style="22"/>
  </cols>
  <sheetData>
    <row r="1" spans="1:11" ht="29.25" customHeight="1">
      <c r="A1" s="276" t="s">
        <v>678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</row>
    <row r="2" spans="1:11">
      <c r="A2" s="277" t="s">
        <v>677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</row>
    <row r="3" spans="1:11">
      <c r="A3" s="32" t="s">
        <v>25</v>
      </c>
      <c r="B3" s="32" t="s">
        <v>13</v>
      </c>
      <c r="C3" s="32" t="s">
        <v>37</v>
      </c>
      <c r="D3" s="32" t="s">
        <v>14</v>
      </c>
      <c r="E3" s="88" t="s">
        <v>28</v>
      </c>
      <c r="F3" s="87" t="s">
        <v>29</v>
      </c>
      <c r="G3" s="87" t="s">
        <v>31</v>
      </c>
      <c r="H3" s="29" t="s">
        <v>0</v>
      </c>
      <c r="I3" s="29" t="s">
        <v>1</v>
      </c>
      <c r="J3" s="29" t="s">
        <v>2</v>
      </c>
      <c r="K3" s="29" t="s">
        <v>19</v>
      </c>
    </row>
    <row r="4" spans="1:11">
      <c r="A4" s="28">
        <v>1</v>
      </c>
      <c r="B4" s="41"/>
      <c r="C4" s="24"/>
      <c r="D4" s="41"/>
      <c r="E4" s="86"/>
      <c r="F4" s="85">
        <f>E4*0.97</f>
        <v>0</v>
      </c>
      <c r="G4" s="84">
        <f>E4*0.94</f>
        <v>0</v>
      </c>
      <c r="H4" s="24"/>
      <c r="I4" s="24"/>
      <c r="J4" s="24"/>
      <c r="K4" s="24"/>
    </row>
  </sheetData>
  <mergeCells count="2">
    <mergeCell ref="A1:K1"/>
    <mergeCell ref="A2:K2"/>
  </mergeCells>
  <conditionalFormatting sqref="B1">
    <cfRule type="duplicateValues" dxfId="14404" priority="119"/>
    <cfRule type="duplicateValues" dxfId="14403" priority="120"/>
    <cfRule type="duplicateValues" dxfId="14402" priority="121"/>
    <cfRule type="duplicateValues" dxfId="14401" priority="122"/>
    <cfRule type="duplicateValues" dxfId="14400" priority="123"/>
    <cfRule type="duplicateValues" dxfId="14399" priority="124"/>
    <cfRule type="duplicateValues" dxfId="14398" priority="125"/>
    <cfRule type="duplicateValues" dxfId="14397" priority="126"/>
    <cfRule type="duplicateValues" dxfId="14396" priority="127"/>
    <cfRule type="duplicateValues" dxfId="14395" priority="128"/>
    <cfRule type="duplicateValues" dxfId="14394" priority="129"/>
    <cfRule type="duplicateValues" dxfId="14393" priority="130"/>
    <cfRule type="duplicateValues" dxfId="14392" priority="131"/>
    <cfRule type="duplicateValues" dxfId="14391" priority="132"/>
    <cfRule type="duplicateValues" dxfId="14390" priority="133"/>
    <cfRule type="duplicateValues" dxfId="14389" priority="134"/>
    <cfRule type="duplicateValues" dxfId="14388" priority="135"/>
    <cfRule type="duplicateValues" dxfId="14387" priority="136"/>
    <cfRule type="duplicateValues" dxfId="14386" priority="137"/>
    <cfRule type="duplicateValues" dxfId="14385" priority="138"/>
    <cfRule type="duplicateValues" dxfId="14384" priority="139"/>
    <cfRule type="duplicateValues" dxfId="14383" priority="140"/>
    <cfRule type="duplicateValues" dxfId="14382" priority="141"/>
    <cfRule type="duplicateValues" dxfId="14381" priority="142"/>
    <cfRule type="duplicateValues" dxfId="14380" priority="143"/>
    <cfRule type="duplicateValues" dxfId="14379" priority="144"/>
    <cfRule type="duplicateValues" dxfId="14378" priority="145"/>
    <cfRule type="duplicateValues" dxfId="14377" priority="146"/>
    <cfRule type="duplicateValues" dxfId="14376" priority="147"/>
    <cfRule type="duplicateValues" dxfId="14375" priority="148"/>
    <cfRule type="duplicateValues" dxfId="14374" priority="149"/>
    <cfRule type="duplicateValues" dxfId="14373" priority="150"/>
    <cfRule type="duplicateValues" dxfId="14372" priority="151"/>
    <cfRule type="duplicateValues" dxfId="14371" priority="152"/>
    <cfRule type="duplicateValues" dxfId="14370" priority="153"/>
    <cfRule type="duplicateValues" dxfId="14369" priority="154"/>
    <cfRule type="duplicateValues" dxfId="14368" priority="155"/>
    <cfRule type="duplicateValues" dxfId="14367" priority="156"/>
    <cfRule type="duplicateValues" dxfId="14366" priority="157"/>
    <cfRule type="duplicateValues" dxfId="14365" priority="158"/>
    <cfRule type="duplicateValues" dxfId="14364" priority="159"/>
    <cfRule type="duplicateValues" dxfId="14363" priority="160"/>
    <cfRule type="duplicateValues" dxfId="14362" priority="161"/>
    <cfRule type="duplicateValues" dxfId="14361" priority="162"/>
    <cfRule type="duplicateValues" dxfId="14360" priority="163"/>
    <cfRule type="duplicateValues" dxfId="14359" priority="164"/>
    <cfRule type="duplicateValues" dxfId="14358" priority="165"/>
    <cfRule type="duplicateValues" dxfId="14357" priority="166"/>
    <cfRule type="duplicateValues" dxfId="14356" priority="167"/>
    <cfRule type="duplicateValues" dxfId="14355" priority="168"/>
    <cfRule type="duplicateValues" dxfId="14354" priority="169"/>
  </conditionalFormatting>
  <conditionalFormatting sqref="B1:B4">
    <cfRule type="duplicateValues" dxfId="14353" priority="218784"/>
  </conditionalFormatting>
  <conditionalFormatting sqref="B3:B4">
    <cfRule type="duplicateValues" dxfId="14352" priority="218785"/>
    <cfRule type="duplicateValues" dxfId="14351" priority="218786"/>
    <cfRule type="duplicateValues" dxfId="14350" priority="218787"/>
    <cfRule type="duplicateValues" dxfId="14349" priority="218788"/>
    <cfRule type="duplicateValues" dxfId="14348" priority="218789"/>
    <cfRule type="duplicateValues" dxfId="14347" priority="218790"/>
    <cfRule type="duplicateValues" dxfId="14346" priority="218791"/>
    <cfRule type="duplicateValues" dxfId="14345" priority="218792"/>
    <cfRule type="duplicateValues" dxfId="14344" priority="218793"/>
    <cfRule type="duplicateValues" dxfId="14343" priority="218794"/>
    <cfRule type="duplicateValues" dxfId="14342" priority="218795"/>
    <cfRule type="duplicateValues" dxfId="14341" priority="218796"/>
    <cfRule type="duplicateValues" dxfId="14340" priority="218797"/>
    <cfRule type="duplicateValues" dxfId="14339" priority="218798"/>
    <cfRule type="duplicateValues" dxfId="14338" priority="218799"/>
    <cfRule type="duplicateValues" dxfId="14337" priority="218800"/>
    <cfRule type="duplicateValues" dxfId="14336" priority="218801"/>
    <cfRule type="duplicateValues" dxfId="14335" priority="218802"/>
    <cfRule type="duplicateValues" dxfId="14334" priority="218803"/>
    <cfRule type="duplicateValues" dxfId="14333" priority="218804"/>
    <cfRule type="duplicateValues" dxfId="14332" priority="218805"/>
    <cfRule type="duplicateValues" dxfId="14331" priority="218806"/>
    <cfRule type="duplicateValues" dxfId="14330" priority="218807"/>
    <cfRule type="duplicateValues" dxfId="14329" priority="218808"/>
    <cfRule type="duplicateValues" dxfId="14328" priority="218809"/>
    <cfRule type="duplicateValues" dxfId="14327" priority="218810"/>
    <cfRule type="duplicateValues" dxfId="14326" priority="218811"/>
    <cfRule type="duplicateValues" dxfId="14325" priority="218812"/>
    <cfRule type="duplicateValues" dxfId="14324" priority="218813"/>
    <cfRule type="duplicateValues" dxfId="14323" priority="218814"/>
    <cfRule type="duplicateValues" dxfId="14322" priority="218815"/>
    <cfRule type="duplicateValues" dxfId="14321" priority="218816"/>
    <cfRule type="duplicateValues" dxfId="14320" priority="218817"/>
    <cfRule type="duplicateValues" dxfId="14319" priority="218818"/>
    <cfRule type="duplicateValues" dxfId="14318" priority="218819"/>
    <cfRule type="duplicateValues" dxfId="14317" priority="218820"/>
    <cfRule type="duplicateValues" dxfId="14316" priority="218821"/>
    <cfRule type="duplicateValues" dxfId="14315" priority="218822"/>
    <cfRule type="duplicateValues" dxfId="14314" priority="218823"/>
    <cfRule type="duplicateValues" dxfId="14313" priority="218824"/>
    <cfRule type="duplicateValues" dxfId="14312" priority="218825"/>
    <cfRule type="duplicateValues" dxfId="14311" priority="218826"/>
    <cfRule type="duplicateValues" dxfId="14310" priority="218827"/>
    <cfRule type="duplicateValues" dxfId="14309" priority="218828"/>
    <cfRule type="duplicateValues" dxfId="14308" priority="218829"/>
    <cfRule type="duplicateValues" dxfId="14307" priority="218830"/>
    <cfRule type="duplicateValues" dxfId="14306" priority="218831"/>
    <cfRule type="duplicateValues" dxfId="14305" priority="218832"/>
    <cfRule type="duplicateValues" dxfId="14304" priority="218833"/>
    <cfRule type="duplicateValues" dxfId="14303" priority="218834"/>
    <cfRule type="duplicateValues" dxfId="14302" priority="218835"/>
  </conditionalFormatting>
  <conditionalFormatting sqref="B5:B1048568">
    <cfRule type="duplicateValues" dxfId="14301" priority="218878"/>
    <cfRule type="duplicateValues" dxfId="14300" priority="218879"/>
    <cfRule type="duplicateValues" dxfId="14299" priority="218880"/>
    <cfRule type="duplicateValues" dxfId="14298" priority="218881"/>
    <cfRule type="duplicateValues" dxfId="14297" priority="218882"/>
    <cfRule type="duplicateValues" dxfId="14296" priority="218883"/>
    <cfRule type="duplicateValues" dxfId="14295" priority="218884"/>
    <cfRule type="duplicateValues" dxfId="14294" priority="218885"/>
    <cfRule type="duplicateValues" dxfId="14293" priority="218886"/>
    <cfRule type="duplicateValues" dxfId="14292" priority="218887"/>
    <cfRule type="duplicateValues" dxfId="14291" priority="218888"/>
    <cfRule type="duplicateValues" dxfId="14290" priority="218889"/>
    <cfRule type="duplicateValues" dxfId="14289" priority="218890"/>
    <cfRule type="duplicateValues" dxfId="14288" priority="218891"/>
    <cfRule type="duplicateValues" dxfId="14287" priority="218892"/>
    <cfRule type="duplicateValues" dxfId="14286" priority="218893"/>
    <cfRule type="duplicateValues" dxfId="14285" priority="218894"/>
    <cfRule type="duplicateValues" dxfId="14284" priority="218895"/>
    <cfRule type="duplicateValues" dxfId="14283" priority="218896"/>
    <cfRule type="duplicateValues" dxfId="14282" priority="218897"/>
    <cfRule type="duplicateValues" dxfId="14281" priority="218898"/>
    <cfRule type="duplicateValues" dxfId="14280" priority="218899"/>
    <cfRule type="duplicateValues" dxfId="14279" priority="218900"/>
    <cfRule type="duplicateValues" dxfId="14278" priority="218901"/>
    <cfRule type="duplicateValues" dxfId="14277" priority="218902"/>
    <cfRule type="duplicateValues" dxfId="14276" priority="218903"/>
    <cfRule type="duplicateValues" dxfId="14275" priority="218904"/>
    <cfRule type="duplicateValues" dxfId="14274" priority="218905"/>
    <cfRule type="duplicateValues" dxfId="14273" priority="218906"/>
    <cfRule type="duplicateValues" dxfId="14272" priority="218907"/>
    <cfRule type="duplicateValues" dxfId="14271" priority="218908"/>
    <cfRule type="duplicateValues" dxfId="14270" priority="218909"/>
    <cfRule type="duplicateValues" dxfId="14269" priority="218910"/>
    <cfRule type="duplicateValues" dxfId="14268" priority="218911"/>
    <cfRule type="duplicateValues" dxfId="14267" priority="218912"/>
    <cfRule type="duplicateValues" dxfId="14266" priority="218913"/>
    <cfRule type="duplicateValues" dxfId="14265" priority="218914"/>
    <cfRule type="duplicateValues" dxfId="14264" priority="218915"/>
    <cfRule type="duplicateValues" dxfId="14263" priority="218916"/>
    <cfRule type="duplicateValues" dxfId="14262" priority="218917"/>
    <cfRule type="duplicateValues" dxfId="14261" priority="218918"/>
    <cfRule type="duplicateValues" dxfId="14260" priority="218919"/>
    <cfRule type="duplicateValues" dxfId="14259" priority="218944"/>
    <cfRule type="duplicateValues" dxfId="14258" priority="218945"/>
    <cfRule type="duplicateValues" dxfId="14257" priority="218946"/>
    <cfRule type="duplicateValues" dxfId="14256" priority="218947"/>
    <cfRule type="duplicateValues" dxfId="14255" priority="218948"/>
    <cfRule type="duplicateValues" dxfId="14254" priority="218949"/>
    <cfRule type="duplicateValues" dxfId="14253" priority="218950"/>
    <cfRule type="duplicateValues" dxfId="14252" priority="218951"/>
    <cfRule type="duplicateValues" dxfId="14251" priority="218952"/>
    <cfRule type="duplicateValues" dxfId="14250" priority="218953"/>
    <cfRule type="duplicateValues" dxfId="14249" priority="218954"/>
    <cfRule type="duplicateValues" dxfId="14248" priority="218955"/>
    <cfRule type="duplicateValues" dxfId="14247" priority="218956"/>
    <cfRule type="duplicateValues" dxfId="14246" priority="218957"/>
    <cfRule type="duplicateValues" dxfId="14245" priority="218958"/>
    <cfRule type="duplicateValues" dxfId="14244" priority="218959"/>
    <cfRule type="duplicateValues" dxfId="14243" priority="218960"/>
    <cfRule type="duplicateValues" dxfId="14242" priority="218961"/>
    <cfRule type="duplicateValues" dxfId="14241" priority="218962"/>
    <cfRule type="duplicateValues" dxfId="14240" priority="218963"/>
    <cfRule type="duplicateValues" dxfId="14239" priority="218964"/>
    <cfRule type="duplicateValues" dxfId="14238" priority="218965"/>
    <cfRule type="duplicateValues" dxfId="14237" priority="218966"/>
    <cfRule type="duplicateValues" dxfId="14236" priority="218967"/>
  </conditionalFormatting>
  <conditionalFormatting sqref="B1048569:B1048576">
    <cfRule type="duplicateValues" dxfId="14235" priority="43"/>
    <cfRule type="duplicateValues" dxfId="14234" priority="44"/>
    <cfRule type="duplicateValues" dxfId="14233" priority="45"/>
    <cfRule type="duplicateValues" dxfId="14232" priority="46"/>
    <cfRule type="duplicateValues" dxfId="14231" priority="47"/>
    <cfRule type="duplicateValues" dxfId="14230" priority="48"/>
    <cfRule type="duplicateValues" dxfId="14229" priority="49"/>
    <cfRule type="duplicateValues" dxfId="14228" priority="50"/>
    <cfRule type="duplicateValues" dxfId="14227" priority="51"/>
    <cfRule type="duplicateValues" dxfId="14226" priority="52"/>
    <cfRule type="duplicateValues" dxfId="14225" priority="53"/>
    <cfRule type="duplicateValues" dxfId="14224" priority="54"/>
    <cfRule type="duplicateValues" dxfId="14223" priority="55"/>
    <cfRule type="duplicateValues" dxfId="14222" priority="56"/>
    <cfRule type="duplicateValues" dxfId="14221" priority="57"/>
    <cfRule type="duplicateValues" dxfId="14220" priority="58"/>
    <cfRule type="duplicateValues" dxfId="14219" priority="59"/>
    <cfRule type="duplicateValues" dxfId="14218" priority="60"/>
    <cfRule type="duplicateValues" dxfId="14217" priority="61"/>
    <cfRule type="duplicateValues" dxfId="14216" priority="62"/>
    <cfRule type="duplicateValues" dxfId="14215" priority="63"/>
    <cfRule type="duplicateValues" dxfId="14214" priority="64"/>
    <cfRule type="duplicateValues" dxfId="14213" priority="65"/>
    <cfRule type="duplicateValues" dxfId="14212" priority="66"/>
    <cfRule type="duplicateValues" dxfId="14211" priority="218836"/>
    <cfRule type="duplicateValues" dxfId="14210" priority="218837"/>
    <cfRule type="duplicateValues" dxfId="14209" priority="218838"/>
    <cfRule type="duplicateValues" dxfId="14208" priority="218839"/>
    <cfRule type="duplicateValues" dxfId="14207" priority="218840"/>
    <cfRule type="duplicateValues" dxfId="14206" priority="218841"/>
    <cfRule type="duplicateValues" dxfId="14205" priority="218842"/>
    <cfRule type="duplicateValues" dxfId="14204" priority="218843"/>
    <cfRule type="duplicateValues" dxfId="14203" priority="218844"/>
    <cfRule type="duplicateValues" dxfId="14202" priority="218845"/>
    <cfRule type="duplicateValues" dxfId="14201" priority="218846"/>
    <cfRule type="duplicateValues" dxfId="14200" priority="218847"/>
    <cfRule type="duplicateValues" dxfId="14199" priority="218848"/>
    <cfRule type="duplicateValues" dxfId="14198" priority="218849"/>
    <cfRule type="duplicateValues" dxfId="14197" priority="218850"/>
    <cfRule type="duplicateValues" dxfId="14196" priority="218851"/>
    <cfRule type="duplicateValues" dxfId="14195" priority="218852"/>
    <cfRule type="duplicateValues" dxfId="14194" priority="218853"/>
    <cfRule type="duplicateValues" dxfId="14193" priority="218854"/>
    <cfRule type="duplicateValues" dxfId="14192" priority="218855"/>
    <cfRule type="duplicateValues" dxfId="14191" priority="218856"/>
    <cfRule type="duplicateValues" dxfId="14190" priority="218857"/>
    <cfRule type="duplicateValues" dxfId="14189" priority="218858"/>
    <cfRule type="duplicateValues" dxfId="14188" priority="218859"/>
    <cfRule type="duplicateValues" dxfId="14187" priority="218860"/>
    <cfRule type="duplicateValues" dxfId="14186" priority="218861"/>
    <cfRule type="duplicateValues" dxfId="14185" priority="218862"/>
    <cfRule type="duplicateValues" dxfId="14184" priority="218863"/>
    <cfRule type="duplicateValues" dxfId="14183" priority="218864"/>
    <cfRule type="duplicateValues" dxfId="14182" priority="218865"/>
    <cfRule type="duplicateValues" dxfId="14181" priority="218866"/>
    <cfRule type="duplicateValues" dxfId="14180" priority="218867"/>
    <cfRule type="duplicateValues" dxfId="14179" priority="218868"/>
    <cfRule type="duplicateValues" dxfId="14178" priority="218869"/>
    <cfRule type="duplicateValues" dxfId="14177" priority="218870"/>
    <cfRule type="duplicateValues" dxfId="14176" priority="218871"/>
    <cfRule type="duplicateValues" dxfId="14175" priority="218872"/>
    <cfRule type="duplicateValues" dxfId="14174" priority="218873"/>
    <cfRule type="duplicateValues" dxfId="14173" priority="218874"/>
    <cfRule type="duplicateValues" dxfId="14172" priority="218875"/>
    <cfRule type="duplicateValues" dxfId="14171" priority="218876"/>
    <cfRule type="duplicateValues" dxfId="14170" priority="218877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2C2D-7CAC-4A94-A10D-A8E2B9465D07}">
  <dimension ref="A1:K241"/>
  <sheetViews>
    <sheetView zoomScale="85" zoomScaleNormal="85" workbookViewId="0">
      <selection sqref="A1:K1"/>
    </sheetView>
  </sheetViews>
  <sheetFormatPr defaultRowHeight="14.4"/>
  <cols>
    <col min="1" max="1" width="6.88671875" customWidth="1"/>
    <col min="2" max="2" width="14.88671875" bestFit="1" customWidth="1"/>
    <col min="3" max="3" width="10.6640625" bestFit="1" customWidth="1"/>
    <col min="4" max="4" width="21.33203125" customWidth="1"/>
    <col min="5" max="6" width="13.21875" bestFit="1" customWidth="1"/>
    <col min="7" max="7" width="18.33203125" customWidth="1"/>
    <col min="8" max="8" width="14.88671875" style="163" bestFit="1" customWidth="1"/>
    <col min="9" max="9" width="13.44140625" style="163" bestFit="1" customWidth="1"/>
    <col min="10" max="10" width="17" style="163" bestFit="1" customWidth="1"/>
    <col min="11" max="11" width="50.33203125" style="163" bestFit="1" customWidth="1"/>
  </cols>
  <sheetData>
    <row r="1" spans="1:11" ht="23.4">
      <c r="A1" s="278" t="s">
        <v>46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</row>
    <row r="2" spans="1:11" ht="17.399999999999999">
      <c r="A2" s="279" t="s">
        <v>47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</row>
    <row r="3" spans="1:11">
      <c r="A3" s="15" t="s">
        <v>22</v>
      </c>
      <c r="B3" s="15" t="s">
        <v>13</v>
      </c>
      <c r="C3" s="15" t="s">
        <v>26</v>
      </c>
      <c r="D3" s="15" t="s">
        <v>14</v>
      </c>
      <c r="E3" s="16" t="s">
        <v>28</v>
      </c>
      <c r="F3" s="16" t="s">
        <v>29</v>
      </c>
      <c r="G3" s="16" t="s">
        <v>30</v>
      </c>
      <c r="H3" s="15" t="s">
        <v>0</v>
      </c>
      <c r="I3" s="15" t="s">
        <v>1</v>
      </c>
      <c r="J3" s="15" t="s">
        <v>2</v>
      </c>
      <c r="K3" s="15" t="s">
        <v>19</v>
      </c>
    </row>
    <row r="4" spans="1:11">
      <c r="A4" s="17">
        <v>1</v>
      </c>
      <c r="B4" s="18" t="s">
        <v>4273</v>
      </c>
      <c r="C4" s="17" t="s">
        <v>4</v>
      </c>
      <c r="D4" s="17" t="s">
        <v>4504</v>
      </c>
      <c r="E4" s="19">
        <v>3899999</v>
      </c>
      <c r="F4" s="20">
        <f t="shared" ref="F4" si="0">E4*0.97</f>
        <v>3782999.03</v>
      </c>
      <c r="G4" s="21">
        <f t="shared" ref="G4" si="1">E4*0.94</f>
        <v>3665999.0599999996</v>
      </c>
      <c r="H4" s="17">
        <v>2878.91</v>
      </c>
      <c r="I4" s="17">
        <v>909.01</v>
      </c>
      <c r="J4" s="17">
        <v>1969.9</v>
      </c>
      <c r="K4" s="17" t="s">
        <v>859</v>
      </c>
    </row>
    <row r="5" spans="1:11">
      <c r="A5" s="17">
        <v>2</v>
      </c>
      <c r="B5" s="18" t="s">
        <v>814</v>
      </c>
      <c r="C5" s="17" t="s">
        <v>5</v>
      </c>
      <c r="D5" s="17" t="s">
        <v>24</v>
      </c>
      <c r="E5" s="19">
        <v>2959999</v>
      </c>
      <c r="F5" s="20">
        <f t="shared" ref="F5:F32" si="2">E5*0.97</f>
        <v>2871199.03</v>
      </c>
      <c r="G5" s="21">
        <f t="shared" ref="G5:G32" si="3">E5*0.94</f>
        <v>2782399.06</v>
      </c>
      <c r="H5" s="17">
        <v>1089.6300000000001</v>
      </c>
      <c r="I5" s="17">
        <v>904.17</v>
      </c>
      <c r="J5" s="17">
        <v>185.46</v>
      </c>
      <c r="K5" s="17" t="s">
        <v>859</v>
      </c>
    </row>
    <row r="6" spans="1:11">
      <c r="A6" s="17">
        <v>3</v>
      </c>
      <c r="B6" s="18" t="s">
        <v>4274</v>
      </c>
      <c r="C6" s="17" t="s">
        <v>9</v>
      </c>
      <c r="D6" s="17" t="s">
        <v>24</v>
      </c>
      <c r="E6" s="19">
        <v>2919999</v>
      </c>
      <c r="F6" s="20">
        <f t="shared" si="2"/>
        <v>2832399.03</v>
      </c>
      <c r="G6" s="21">
        <f t="shared" si="3"/>
        <v>2744799.06</v>
      </c>
      <c r="H6" s="17">
        <v>1089.6300000000001</v>
      </c>
      <c r="I6" s="17">
        <v>904.17</v>
      </c>
      <c r="J6" s="17">
        <v>185.46</v>
      </c>
      <c r="K6" s="17" t="s">
        <v>859</v>
      </c>
    </row>
    <row r="7" spans="1:11">
      <c r="A7" s="17">
        <v>4</v>
      </c>
      <c r="B7" s="18" t="s">
        <v>815</v>
      </c>
      <c r="C7" s="17" t="s">
        <v>10</v>
      </c>
      <c r="D7" s="17" t="s">
        <v>24</v>
      </c>
      <c r="E7" s="19">
        <v>2909999</v>
      </c>
      <c r="F7" s="20">
        <f t="shared" si="2"/>
        <v>2822699.03</v>
      </c>
      <c r="G7" s="21">
        <f t="shared" si="3"/>
        <v>2735399.06</v>
      </c>
      <c r="H7" s="17">
        <v>1089.6300000000001</v>
      </c>
      <c r="I7" s="17">
        <v>904.17</v>
      </c>
      <c r="J7" s="17">
        <v>185.46</v>
      </c>
      <c r="K7" s="17" t="s">
        <v>859</v>
      </c>
    </row>
    <row r="8" spans="1:11">
      <c r="A8" s="17">
        <v>5</v>
      </c>
      <c r="B8" s="18" t="s">
        <v>4777</v>
      </c>
      <c r="C8" s="17" t="s">
        <v>12</v>
      </c>
      <c r="D8" s="17" t="s">
        <v>36</v>
      </c>
      <c r="E8" s="19">
        <v>2519999</v>
      </c>
      <c r="F8" s="20">
        <f t="shared" si="2"/>
        <v>2444399.0299999998</v>
      </c>
      <c r="G8" s="21">
        <f t="shared" si="3"/>
        <v>2368799.06</v>
      </c>
      <c r="H8" s="17">
        <v>1027.2</v>
      </c>
      <c r="I8" s="17">
        <v>647.88</v>
      </c>
      <c r="J8" s="17">
        <v>379.32</v>
      </c>
      <c r="K8" s="17" t="s">
        <v>860</v>
      </c>
    </row>
    <row r="9" spans="1:11">
      <c r="A9" s="17">
        <v>6</v>
      </c>
      <c r="B9" s="18" t="s">
        <v>4778</v>
      </c>
      <c r="C9" s="17" t="s">
        <v>5</v>
      </c>
      <c r="D9" s="17" t="s">
        <v>36</v>
      </c>
      <c r="E9" s="19">
        <v>2504999</v>
      </c>
      <c r="F9" s="20">
        <f t="shared" si="2"/>
        <v>2429849.0299999998</v>
      </c>
      <c r="G9" s="21">
        <f t="shared" si="3"/>
        <v>2354699.06</v>
      </c>
      <c r="H9" s="17">
        <v>1027.2</v>
      </c>
      <c r="I9" s="17">
        <v>647.88</v>
      </c>
      <c r="J9" s="17">
        <v>379.32</v>
      </c>
      <c r="K9" s="17" t="s">
        <v>860</v>
      </c>
    </row>
    <row r="10" spans="1:11">
      <c r="A10" s="17">
        <v>7</v>
      </c>
      <c r="B10" s="18" t="s">
        <v>816</v>
      </c>
      <c r="C10" s="17" t="s">
        <v>34</v>
      </c>
      <c r="D10" s="17" t="s">
        <v>36</v>
      </c>
      <c r="E10" s="19">
        <v>2499999</v>
      </c>
      <c r="F10" s="20">
        <f t="shared" si="2"/>
        <v>2424999.0299999998</v>
      </c>
      <c r="G10" s="21">
        <f t="shared" si="3"/>
        <v>2349999.06</v>
      </c>
      <c r="H10" s="17">
        <v>1027.2</v>
      </c>
      <c r="I10" s="17">
        <v>647.88</v>
      </c>
      <c r="J10" s="17">
        <v>379.32</v>
      </c>
      <c r="K10" s="17" t="s">
        <v>861</v>
      </c>
    </row>
    <row r="11" spans="1:11">
      <c r="A11" s="17">
        <v>8</v>
      </c>
      <c r="B11" s="18" t="s">
        <v>817</v>
      </c>
      <c r="C11" s="17" t="s">
        <v>4461</v>
      </c>
      <c r="D11" s="17" t="s">
        <v>36</v>
      </c>
      <c r="E11" s="19">
        <v>2489999</v>
      </c>
      <c r="F11" s="20">
        <f t="shared" si="2"/>
        <v>2415299.0299999998</v>
      </c>
      <c r="G11" s="21">
        <f t="shared" si="3"/>
        <v>2340599.06</v>
      </c>
      <c r="H11" s="17">
        <v>1027.2</v>
      </c>
      <c r="I11" s="17">
        <v>647.88</v>
      </c>
      <c r="J11" s="17">
        <v>379.32</v>
      </c>
      <c r="K11" s="17" t="s">
        <v>861</v>
      </c>
    </row>
    <row r="12" spans="1:11">
      <c r="A12" s="17">
        <v>9</v>
      </c>
      <c r="B12" s="18" t="s">
        <v>4779</v>
      </c>
      <c r="C12" s="17" t="s">
        <v>4458</v>
      </c>
      <c r="D12" s="17" t="s">
        <v>36</v>
      </c>
      <c r="E12" s="19">
        <v>2489999</v>
      </c>
      <c r="F12" s="20">
        <f t="shared" si="2"/>
        <v>2415299.0299999998</v>
      </c>
      <c r="G12" s="21">
        <f t="shared" si="3"/>
        <v>2340599.06</v>
      </c>
      <c r="H12" s="17">
        <v>1027.2</v>
      </c>
      <c r="I12" s="17">
        <v>647.88</v>
      </c>
      <c r="J12" s="17">
        <v>379.32</v>
      </c>
      <c r="K12" s="17" t="s">
        <v>860</v>
      </c>
    </row>
    <row r="13" spans="1:11">
      <c r="A13" s="17">
        <v>10</v>
      </c>
      <c r="B13" s="18" t="s">
        <v>818</v>
      </c>
      <c r="C13" s="17" t="s">
        <v>4460</v>
      </c>
      <c r="D13" s="17" t="s">
        <v>36</v>
      </c>
      <c r="E13" s="19">
        <v>2554999</v>
      </c>
      <c r="F13" s="20">
        <f t="shared" si="2"/>
        <v>2478349.0299999998</v>
      </c>
      <c r="G13" s="21">
        <f t="shared" si="3"/>
        <v>2401699.06</v>
      </c>
      <c r="H13" s="17">
        <v>1027.2</v>
      </c>
      <c r="I13" s="17">
        <v>647.88</v>
      </c>
      <c r="J13" s="17">
        <v>379.32</v>
      </c>
      <c r="K13" s="17" t="s">
        <v>861</v>
      </c>
    </row>
    <row r="14" spans="1:11">
      <c r="A14" s="17">
        <v>11</v>
      </c>
      <c r="B14" s="18" t="s">
        <v>4780</v>
      </c>
      <c r="C14" s="17" t="s">
        <v>6</v>
      </c>
      <c r="D14" s="17" t="s">
        <v>36</v>
      </c>
      <c r="E14" s="19">
        <v>2554999</v>
      </c>
      <c r="F14" s="20">
        <f t="shared" si="2"/>
        <v>2478349.0299999998</v>
      </c>
      <c r="G14" s="21">
        <f t="shared" si="3"/>
        <v>2401699.06</v>
      </c>
      <c r="H14" s="17">
        <v>1027.2</v>
      </c>
      <c r="I14" s="17">
        <v>647.88</v>
      </c>
      <c r="J14" s="17">
        <v>379.32</v>
      </c>
      <c r="K14" s="17" t="s">
        <v>860</v>
      </c>
    </row>
    <row r="15" spans="1:11">
      <c r="A15" s="17">
        <v>12</v>
      </c>
      <c r="B15" s="18" t="s">
        <v>4781</v>
      </c>
      <c r="C15" s="17" t="s">
        <v>4</v>
      </c>
      <c r="D15" s="17" t="s">
        <v>36</v>
      </c>
      <c r="E15" s="19">
        <v>2484999</v>
      </c>
      <c r="F15" s="20">
        <f t="shared" si="2"/>
        <v>2410449.0299999998</v>
      </c>
      <c r="G15" s="21">
        <f t="shared" si="3"/>
        <v>2335899.06</v>
      </c>
      <c r="H15" s="17">
        <v>1027.2</v>
      </c>
      <c r="I15" s="17">
        <v>647.88</v>
      </c>
      <c r="J15" s="17">
        <v>379.32</v>
      </c>
      <c r="K15" s="17" t="s">
        <v>860</v>
      </c>
    </row>
    <row r="16" spans="1:11">
      <c r="A16" s="17">
        <v>13</v>
      </c>
      <c r="B16" s="18" t="s">
        <v>4782</v>
      </c>
      <c r="C16" s="17" t="s">
        <v>4463</v>
      </c>
      <c r="D16" s="17" t="s">
        <v>36</v>
      </c>
      <c r="E16" s="19">
        <v>2316999</v>
      </c>
      <c r="F16" s="20">
        <f t="shared" si="2"/>
        <v>2247489.0299999998</v>
      </c>
      <c r="G16" s="21">
        <f t="shared" si="3"/>
        <v>2177979.06</v>
      </c>
      <c r="H16" s="17">
        <v>789.53</v>
      </c>
      <c r="I16" s="17">
        <v>644.97</v>
      </c>
      <c r="J16" s="17">
        <v>144.56</v>
      </c>
      <c r="K16" s="17" t="s">
        <v>4877</v>
      </c>
    </row>
    <row r="17" spans="1:11">
      <c r="A17" s="17">
        <v>14</v>
      </c>
      <c r="B17" s="18" t="s">
        <v>819</v>
      </c>
      <c r="C17" s="17" t="s">
        <v>11</v>
      </c>
      <c r="D17" s="17" t="s">
        <v>36</v>
      </c>
      <c r="E17" s="19">
        <v>2549999</v>
      </c>
      <c r="F17" s="20">
        <f t="shared" si="2"/>
        <v>2473499.0299999998</v>
      </c>
      <c r="G17" s="21">
        <f t="shared" si="3"/>
        <v>2396999.06</v>
      </c>
      <c r="H17" s="17">
        <v>1027.2</v>
      </c>
      <c r="I17" s="17">
        <v>647.88</v>
      </c>
      <c r="J17" s="17">
        <v>379.32</v>
      </c>
      <c r="K17" s="17" t="s">
        <v>861</v>
      </c>
    </row>
    <row r="18" spans="1:11">
      <c r="A18" s="17">
        <v>15</v>
      </c>
      <c r="B18" s="18" t="s">
        <v>4783</v>
      </c>
      <c r="C18" s="17" t="s">
        <v>7</v>
      </c>
      <c r="D18" s="17" t="s">
        <v>36</v>
      </c>
      <c r="E18" s="19">
        <v>2549999</v>
      </c>
      <c r="F18" s="20">
        <f t="shared" si="2"/>
        <v>2473499.0299999998</v>
      </c>
      <c r="G18" s="21">
        <f t="shared" si="3"/>
        <v>2396999.06</v>
      </c>
      <c r="H18" s="17">
        <v>1027.2</v>
      </c>
      <c r="I18" s="17">
        <v>647.88</v>
      </c>
      <c r="J18" s="17">
        <v>379.32</v>
      </c>
      <c r="K18" s="17" t="s">
        <v>860</v>
      </c>
    </row>
    <row r="19" spans="1:11">
      <c r="A19" s="17">
        <v>16</v>
      </c>
      <c r="B19" s="18" t="s">
        <v>4784</v>
      </c>
      <c r="C19" s="17" t="s">
        <v>4461</v>
      </c>
      <c r="D19" s="17" t="s">
        <v>36</v>
      </c>
      <c r="E19" s="19">
        <v>2314999</v>
      </c>
      <c r="F19" s="20">
        <f t="shared" si="2"/>
        <v>2245549.0299999998</v>
      </c>
      <c r="G19" s="21">
        <f t="shared" si="3"/>
        <v>2176099.06</v>
      </c>
      <c r="H19" s="17">
        <v>800.51</v>
      </c>
      <c r="I19" s="17">
        <v>645.4</v>
      </c>
      <c r="J19" s="17">
        <v>155.11000000000001</v>
      </c>
      <c r="K19" s="17" t="s">
        <v>4877</v>
      </c>
    </row>
    <row r="20" spans="1:11">
      <c r="A20" s="17">
        <v>17</v>
      </c>
      <c r="B20" s="18" t="s">
        <v>4614</v>
      </c>
      <c r="C20" s="17" t="s">
        <v>12</v>
      </c>
      <c r="D20" s="17" t="s">
        <v>36</v>
      </c>
      <c r="E20" s="19">
        <v>2544999</v>
      </c>
      <c r="F20" s="20">
        <f t="shared" si="2"/>
        <v>2468649.0299999998</v>
      </c>
      <c r="G20" s="21">
        <f t="shared" si="3"/>
        <v>2392299.06</v>
      </c>
      <c r="H20" s="17">
        <v>1027.2</v>
      </c>
      <c r="I20" s="17">
        <v>647.88</v>
      </c>
      <c r="J20" s="17">
        <v>379.32</v>
      </c>
      <c r="K20" s="17" t="s">
        <v>861</v>
      </c>
    </row>
    <row r="21" spans="1:11">
      <c r="A21" s="17">
        <v>18</v>
      </c>
      <c r="B21" s="18" t="s">
        <v>4785</v>
      </c>
      <c r="C21" s="17" t="s">
        <v>8</v>
      </c>
      <c r="D21" s="17" t="s">
        <v>36</v>
      </c>
      <c r="E21" s="19">
        <v>2544999</v>
      </c>
      <c r="F21" s="20">
        <f t="shared" si="2"/>
        <v>2468649.0299999998</v>
      </c>
      <c r="G21" s="21">
        <f t="shared" si="3"/>
        <v>2392299.06</v>
      </c>
      <c r="H21" s="17">
        <v>1027.2</v>
      </c>
      <c r="I21" s="17">
        <v>647.88</v>
      </c>
      <c r="J21" s="17">
        <v>379.32</v>
      </c>
      <c r="K21" s="17" t="s">
        <v>860</v>
      </c>
    </row>
    <row r="22" spans="1:11">
      <c r="A22" s="17">
        <v>19</v>
      </c>
      <c r="B22" s="18" t="s">
        <v>820</v>
      </c>
      <c r="C22" s="17" t="s">
        <v>4458</v>
      </c>
      <c r="D22" s="17" t="s">
        <v>36</v>
      </c>
      <c r="E22" s="19">
        <v>2514999</v>
      </c>
      <c r="F22" s="20">
        <f t="shared" si="2"/>
        <v>2439549.0299999998</v>
      </c>
      <c r="G22" s="21">
        <f t="shared" si="3"/>
        <v>2364099.06</v>
      </c>
      <c r="H22" s="17">
        <v>1027.2</v>
      </c>
      <c r="I22" s="17">
        <v>647.88</v>
      </c>
      <c r="J22" s="17">
        <v>379.32</v>
      </c>
      <c r="K22" s="17" t="s">
        <v>861</v>
      </c>
    </row>
    <row r="23" spans="1:11">
      <c r="A23" s="17">
        <v>20</v>
      </c>
      <c r="B23" s="18" t="s">
        <v>821</v>
      </c>
      <c r="C23" s="17" t="s">
        <v>9</v>
      </c>
      <c r="D23" s="17" t="s">
        <v>36</v>
      </c>
      <c r="E23" s="19">
        <v>2489999</v>
      </c>
      <c r="F23" s="20">
        <f t="shared" si="2"/>
        <v>2415299.0299999998</v>
      </c>
      <c r="G23" s="21">
        <f t="shared" si="3"/>
        <v>2340599.06</v>
      </c>
      <c r="H23" s="17">
        <v>1027.2</v>
      </c>
      <c r="I23" s="17">
        <v>647.88</v>
      </c>
      <c r="J23" s="17">
        <v>379.32</v>
      </c>
      <c r="K23" s="17" t="s">
        <v>861</v>
      </c>
    </row>
    <row r="24" spans="1:11">
      <c r="A24" s="17">
        <v>21</v>
      </c>
      <c r="B24" s="18" t="s">
        <v>4896</v>
      </c>
      <c r="C24" s="17" t="s">
        <v>4460</v>
      </c>
      <c r="D24" s="17" t="s">
        <v>36</v>
      </c>
      <c r="E24" s="19">
        <v>2424999</v>
      </c>
      <c r="F24" s="20">
        <f t="shared" si="2"/>
        <v>2352249.0299999998</v>
      </c>
      <c r="G24" s="21">
        <f t="shared" si="3"/>
        <v>2279499.06</v>
      </c>
      <c r="H24" s="17">
        <v>975.43</v>
      </c>
      <c r="I24" s="17">
        <v>639.80999999999995</v>
      </c>
      <c r="J24" s="17">
        <v>335.62</v>
      </c>
      <c r="K24" s="17" t="s">
        <v>39</v>
      </c>
    </row>
    <row r="25" spans="1:11">
      <c r="A25" s="17">
        <v>22</v>
      </c>
      <c r="B25" s="18" t="s">
        <v>4786</v>
      </c>
      <c r="C25" s="17" t="s">
        <v>33</v>
      </c>
      <c r="D25" s="17" t="s">
        <v>36</v>
      </c>
      <c r="E25" s="19">
        <v>2260999</v>
      </c>
      <c r="F25" s="20">
        <f t="shared" si="2"/>
        <v>2193169.0299999998</v>
      </c>
      <c r="G25" s="21">
        <f t="shared" si="3"/>
        <v>2125339.06</v>
      </c>
      <c r="H25" s="17">
        <v>784.58</v>
      </c>
      <c r="I25" s="17">
        <v>626.46</v>
      </c>
      <c r="J25" s="17">
        <v>158.12</v>
      </c>
      <c r="K25" s="17" t="s">
        <v>4877</v>
      </c>
    </row>
    <row r="26" spans="1:11">
      <c r="A26" s="17">
        <v>23</v>
      </c>
      <c r="B26" s="18" t="s">
        <v>822</v>
      </c>
      <c r="C26" s="17" t="s">
        <v>10</v>
      </c>
      <c r="D26" s="17" t="s">
        <v>36</v>
      </c>
      <c r="E26" s="19">
        <v>2484999</v>
      </c>
      <c r="F26" s="20">
        <f t="shared" si="2"/>
        <v>2410449.0299999998</v>
      </c>
      <c r="G26" s="21">
        <f t="shared" si="3"/>
        <v>2335899.06</v>
      </c>
      <c r="H26" s="17">
        <v>1027.2</v>
      </c>
      <c r="I26" s="17">
        <v>647.88</v>
      </c>
      <c r="J26" s="17">
        <v>379.32</v>
      </c>
      <c r="K26" s="17" t="s">
        <v>861</v>
      </c>
    </row>
    <row r="27" spans="1:11">
      <c r="A27" s="17">
        <v>24</v>
      </c>
      <c r="B27" s="18" t="s">
        <v>823</v>
      </c>
      <c r="C27" s="17" t="s">
        <v>11</v>
      </c>
      <c r="D27" s="17" t="s">
        <v>36</v>
      </c>
      <c r="E27" s="19">
        <v>2414999</v>
      </c>
      <c r="F27" s="20">
        <f t="shared" si="2"/>
        <v>2342549.0299999998</v>
      </c>
      <c r="G27" s="21">
        <f t="shared" si="3"/>
        <v>2270099.06</v>
      </c>
      <c r="H27" s="17">
        <v>975.43</v>
      </c>
      <c r="I27" s="17">
        <v>639.80999999999995</v>
      </c>
      <c r="J27" s="17">
        <v>335.62</v>
      </c>
      <c r="K27" s="17" t="s">
        <v>39</v>
      </c>
    </row>
    <row r="28" spans="1:11">
      <c r="A28" s="17">
        <v>25</v>
      </c>
      <c r="B28" s="18" t="s">
        <v>824</v>
      </c>
      <c r="C28" s="17" t="s">
        <v>3</v>
      </c>
      <c r="D28" s="17" t="s">
        <v>36</v>
      </c>
      <c r="E28" s="19">
        <v>2479999</v>
      </c>
      <c r="F28" s="20">
        <f t="shared" si="2"/>
        <v>2405599.0299999998</v>
      </c>
      <c r="G28" s="21">
        <f t="shared" si="3"/>
        <v>2331199.06</v>
      </c>
      <c r="H28" s="17">
        <v>1027.95</v>
      </c>
      <c r="I28" s="17">
        <v>647.88</v>
      </c>
      <c r="J28" s="17">
        <v>380.07</v>
      </c>
      <c r="K28" s="17" t="s">
        <v>861</v>
      </c>
    </row>
    <row r="29" spans="1:11">
      <c r="A29" s="17">
        <v>26</v>
      </c>
      <c r="B29" s="18" t="s">
        <v>4787</v>
      </c>
      <c r="C29" s="17" t="s">
        <v>4461</v>
      </c>
      <c r="D29" s="17" t="s">
        <v>36</v>
      </c>
      <c r="E29" s="19">
        <v>2251999</v>
      </c>
      <c r="F29" s="20">
        <f t="shared" si="2"/>
        <v>2184439.0299999998</v>
      </c>
      <c r="G29" s="21">
        <f t="shared" si="3"/>
        <v>2116879.06</v>
      </c>
      <c r="H29" s="17">
        <v>784.58</v>
      </c>
      <c r="I29" s="17">
        <v>626.46</v>
      </c>
      <c r="J29" s="17">
        <v>158.12</v>
      </c>
      <c r="K29" s="17" t="s">
        <v>4877</v>
      </c>
    </row>
    <row r="30" spans="1:11">
      <c r="A30" s="17">
        <v>27</v>
      </c>
      <c r="B30" s="18" t="s">
        <v>825</v>
      </c>
      <c r="C30" s="17" t="s">
        <v>12</v>
      </c>
      <c r="D30" s="17" t="s">
        <v>36</v>
      </c>
      <c r="E30" s="19">
        <v>2409999</v>
      </c>
      <c r="F30" s="20">
        <f t="shared" si="2"/>
        <v>2337699.0299999998</v>
      </c>
      <c r="G30" s="21">
        <f t="shared" si="3"/>
        <v>2265399.06</v>
      </c>
      <c r="H30" s="17">
        <v>975.43</v>
      </c>
      <c r="I30" s="17">
        <v>639.80999999999995</v>
      </c>
      <c r="J30" s="17">
        <v>335.62</v>
      </c>
      <c r="K30" s="17" t="s">
        <v>39</v>
      </c>
    </row>
    <row r="31" spans="1:11">
      <c r="A31" s="17">
        <v>28</v>
      </c>
      <c r="B31" s="18" t="s">
        <v>4275</v>
      </c>
      <c r="C31" s="17" t="s">
        <v>4460</v>
      </c>
      <c r="D31" s="17" t="s">
        <v>36</v>
      </c>
      <c r="E31" s="19">
        <v>2409999</v>
      </c>
      <c r="F31" s="20">
        <f t="shared" si="2"/>
        <v>2337699.0299999998</v>
      </c>
      <c r="G31" s="21">
        <f t="shared" si="3"/>
        <v>2265399.06</v>
      </c>
      <c r="H31" s="17">
        <v>958.21</v>
      </c>
      <c r="I31" s="17">
        <v>639.80999999999995</v>
      </c>
      <c r="J31" s="17">
        <v>318.39999999999998</v>
      </c>
      <c r="K31" s="17" t="s">
        <v>39</v>
      </c>
    </row>
    <row r="32" spans="1:11">
      <c r="A32" s="17">
        <v>29</v>
      </c>
      <c r="B32" s="18" t="s">
        <v>4788</v>
      </c>
      <c r="C32" s="17" t="s">
        <v>10</v>
      </c>
      <c r="D32" s="17" t="s">
        <v>36</v>
      </c>
      <c r="E32" s="19">
        <v>2247999</v>
      </c>
      <c r="F32" s="20">
        <f t="shared" si="2"/>
        <v>2180559.0299999998</v>
      </c>
      <c r="G32" s="21">
        <f t="shared" si="3"/>
        <v>2113119.06</v>
      </c>
      <c r="H32" s="17">
        <v>800.19</v>
      </c>
      <c r="I32" s="17">
        <v>645.4</v>
      </c>
      <c r="J32" s="17">
        <v>154.79</v>
      </c>
      <c r="K32" s="17" t="s">
        <v>4877</v>
      </c>
    </row>
    <row r="33" spans="1:11">
      <c r="A33" s="17">
        <v>30</v>
      </c>
      <c r="B33" s="18" t="s">
        <v>4789</v>
      </c>
      <c r="C33" s="17" t="s">
        <v>10</v>
      </c>
      <c r="D33" s="17" t="s">
        <v>36</v>
      </c>
      <c r="E33" s="19">
        <v>2247999</v>
      </c>
      <c r="F33" s="20">
        <f t="shared" ref="F33:F64" si="4">E33*0.97</f>
        <v>2180559.0299999998</v>
      </c>
      <c r="G33" s="21">
        <f t="shared" ref="G33:G64" si="5">E33*0.94</f>
        <v>2113119.06</v>
      </c>
      <c r="H33" s="17">
        <v>800.19</v>
      </c>
      <c r="I33" s="17">
        <v>645.4</v>
      </c>
      <c r="J33" s="17">
        <v>154.79</v>
      </c>
      <c r="K33" s="17" t="s">
        <v>4877</v>
      </c>
    </row>
    <row r="34" spans="1:11">
      <c r="A34" s="17">
        <v>31</v>
      </c>
      <c r="B34" s="18" t="s">
        <v>4790</v>
      </c>
      <c r="C34" s="17" t="s">
        <v>10</v>
      </c>
      <c r="D34" s="17" t="s">
        <v>36</v>
      </c>
      <c r="E34" s="19">
        <v>2246999</v>
      </c>
      <c r="F34" s="20">
        <f t="shared" si="4"/>
        <v>2179589.0299999998</v>
      </c>
      <c r="G34" s="21">
        <f t="shared" si="5"/>
        <v>2112179.06</v>
      </c>
      <c r="H34" s="17">
        <v>875.65</v>
      </c>
      <c r="I34" s="17">
        <v>650.36</v>
      </c>
      <c r="J34" s="17">
        <v>225.29</v>
      </c>
      <c r="K34" s="17" t="s">
        <v>4878</v>
      </c>
    </row>
    <row r="35" spans="1:11">
      <c r="A35" s="17">
        <v>32</v>
      </c>
      <c r="B35" s="18" t="s">
        <v>826</v>
      </c>
      <c r="C35" s="17" t="s">
        <v>7</v>
      </c>
      <c r="D35" s="17" t="s">
        <v>36</v>
      </c>
      <c r="E35" s="19">
        <v>2434999</v>
      </c>
      <c r="F35" s="20">
        <f t="shared" si="4"/>
        <v>2361949.0299999998</v>
      </c>
      <c r="G35" s="21">
        <f t="shared" si="5"/>
        <v>2288899.06</v>
      </c>
      <c r="H35" s="17">
        <v>975.43</v>
      </c>
      <c r="I35" s="17">
        <v>639.80999999999995</v>
      </c>
      <c r="J35" s="17">
        <v>335.62</v>
      </c>
      <c r="K35" s="17" t="s">
        <v>39</v>
      </c>
    </row>
    <row r="36" spans="1:11">
      <c r="A36" s="17">
        <v>33</v>
      </c>
      <c r="B36" s="18" t="s">
        <v>827</v>
      </c>
      <c r="C36" s="17" t="s">
        <v>8</v>
      </c>
      <c r="D36" s="17" t="s">
        <v>36</v>
      </c>
      <c r="E36" s="19">
        <v>2429999</v>
      </c>
      <c r="F36" s="20">
        <f t="shared" si="4"/>
        <v>2357099.0299999998</v>
      </c>
      <c r="G36" s="21">
        <f t="shared" si="5"/>
        <v>2284199.06</v>
      </c>
      <c r="H36" s="17">
        <v>975.43</v>
      </c>
      <c r="I36" s="17">
        <v>639.80999999999995</v>
      </c>
      <c r="J36" s="17">
        <v>335.62</v>
      </c>
      <c r="K36" s="17" t="s">
        <v>39</v>
      </c>
    </row>
    <row r="37" spans="1:11">
      <c r="A37" s="17">
        <v>34</v>
      </c>
      <c r="B37" s="18" t="s">
        <v>4791</v>
      </c>
      <c r="C37" s="17" t="s">
        <v>6</v>
      </c>
      <c r="D37" s="17" t="s">
        <v>36</v>
      </c>
      <c r="E37" s="19">
        <v>2364999</v>
      </c>
      <c r="F37" s="20">
        <f t="shared" si="4"/>
        <v>2294049.0299999998</v>
      </c>
      <c r="G37" s="21">
        <f t="shared" si="5"/>
        <v>2223099.06</v>
      </c>
      <c r="H37" s="17">
        <v>958.21</v>
      </c>
      <c r="I37" s="17">
        <v>639.80999999999995</v>
      </c>
      <c r="J37" s="17">
        <v>318.39999999999998</v>
      </c>
      <c r="K37" s="17" t="s">
        <v>39</v>
      </c>
    </row>
    <row r="38" spans="1:11">
      <c r="A38" s="17">
        <v>35</v>
      </c>
      <c r="B38" s="18" t="s">
        <v>4792</v>
      </c>
      <c r="C38" s="17" t="s">
        <v>3</v>
      </c>
      <c r="D38" s="17" t="s">
        <v>36</v>
      </c>
      <c r="E38" s="19">
        <v>2201999</v>
      </c>
      <c r="F38" s="20">
        <f t="shared" si="4"/>
        <v>2135939.0299999998</v>
      </c>
      <c r="G38" s="21">
        <f t="shared" si="5"/>
        <v>2069879.0599999998</v>
      </c>
      <c r="H38" s="17">
        <v>790.72</v>
      </c>
      <c r="I38" s="17">
        <v>632.6</v>
      </c>
      <c r="J38" s="17">
        <v>158.12</v>
      </c>
      <c r="K38" s="17" t="s">
        <v>4877</v>
      </c>
    </row>
    <row r="39" spans="1:11">
      <c r="A39" s="17">
        <v>36</v>
      </c>
      <c r="B39" s="18" t="s">
        <v>4793</v>
      </c>
      <c r="C39" s="17" t="s">
        <v>3</v>
      </c>
      <c r="D39" s="17" t="s">
        <v>36</v>
      </c>
      <c r="E39" s="19">
        <v>2201999</v>
      </c>
      <c r="F39" s="20">
        <f t="shared" si="4"/>
        <v>2135939.0299999998</v>
      </c>
      <c r="G39" s="21">
        <f t="shared" si="5"/>
        <v>2069879.0599999998</v>
      </c>
      <c r="H39" s="17">
        <v>790.72</v>
      </c>
      <c r="I39" s="17">
        <v>632.6</v>
      </c>
      <c r="J39" s="17">
        <v>158.12</v>
      </c>
      <c r="K39" s="17" t="s">
        <v>4877</v>
      </c>
    </row>
    <row r="40" spans="1:11">
      <c r="A40" s="17">
        <v>37</v>
      </c>
      <c r="B40" s="18" t="s">
        <v>4276</v>
      </c>
      <c r="C40" s="17" t="s">
        <v>7</v>
      </c>
      <c r="D40" s="17" t="s">
        <v>36</v>
      </c>
      <c r="E40" s="19">
        <v>2359999</v>
      </c>
      <c r="F40" s="20">
        <f t="shared" si="4"/>
        <v>2289199.0299999998</v>
      </c>
      <c r="G40" s="21">
        <f t="shared" si="5"/>
        <v>2218399.06</v>
      </c>
      <c r="H40" s="17">
        <v>958.21</v>
      </c>
      <c r="I40" s="17">
        <v>639.80999999999995</v>
      </c>
      <c r="J40" s="17">
        <v>318.39999999999998</v>
      </c>
      <c r="K40" s="17" t="s">
        <v>39</v>
      </c>
    </row>
    <row r="41" spans="1:11">
      <c r="A41" s="17">
        <v>38</v>
      </c>
      <c r="B41" s="18" t="s">
        <v>4794</v>
      </c>
      <c r="C41" s="17" t="s">
        <v>4463</v>
      </c>
      <c r="D41" s="17" t="s">
        <v>36</v>
      </c>
      <c r="E41" s="19">
        <v>2199999</v>
      </c>
      <c r="F41" s="20">
        <f t="shared" si="4"/>
        <v>2133999.0299999998</v>
      </c>
      <c r="G41" s="21">
        <f t="shared" si="5"/>
        <v>2067999.0599999998</v>
      </c>
      <c r="H41" s="17">
        <v>831.72</v>
      </c>
      <c r="I41" s="17">
        <v>618.05999999999995</v>
      </c>
      <c r="J41" s="17">
        <v>213.66</v>
      </c>
      <c r="K41" s="17" t="s">
        <v>860</v>
      </c>
    </row>
    <row r="42" spans="1:11">
      <c r="A42" s="17">
        <v>39</v>
      </c>
      <c r="B42" s="18" t="s">
        <v>4277</v>
      </c>
      <c r="C42" s="17" t="s">
        <v>8</v>
      </c>
      <c r="D42" s="17" t="s">
        <v>36</v>
      </c>
      <c r="E42" s="19">
        <v>2349999</v>
      </c>
      <c r="F42" s="20">
        <f t="shared" si="4"/>
        <v>2279499.0299999998</v>
      </c>
      <c r="G42" s="21">
        <f t="shared" si="5"/>
        <v>2208999.06</v>
      </c>
      <c r="H42" s="17">
        <v>958.21</v>
      </c>
      <c r="I42" s="17">
        <v>639.80999999999995</v>
      </c>
      <c r="J42" s="17">
        <v>318.39999999999998</v>
      </c>
      <c r="K42" s="17" t="s">
        <v>39</v>
      </c>
    </row>
    <row r="43" spans="1:11">
      <c r="A43" s="17">
        <v>40</v>
      </c>
      <c r="B43" s="18" t="s">
        <v>4795</v>
      </c>
      <c r="C43" s="17" t="s">
        <v>4467</v>
      </c>
      <c r="D43" s="17" t="s">
        <v>36</v>
      </c>
      <c r="E43" s="19">
        <v>2194999</v>
      </c>
      <c r="F43" s="20">
        <f t="shared" si="4"/>
        <v>2129149.0299999998</v>
      </c>
      <c r="G43" s="21">
        <f t="shared" si="5"/>
        <v>2063299.0599999998</v>
      </c>
      <c r="H43" s="17">
        <v>823.76</v>
      </c>
      <c r="I43" s="17">
        <v>609.99</v>
      </c>
      <c r="J43" s="17">
        <v>213.77</v>
      </c>
      <c r="K43" s="17" t="s">
        <v>860</v>
      </c>
    </row>
    <row r="44" spans="1:11">
      <c r="A44" s="17">
        <v>41</v>
      </c>
      <c r="B44" s="18" t="s">
        <v>4796</v>
      </c>
      <c r="C44" s="17" t="s">
        <v>4462</v>
      </c>
      <c r="D44" s="17" t="s">
        <v>36</v>
      </c>
      <c r="E44" s="19">
        <v>2194999</v>
      </c>
      <c r="F44" s="20">
        <f t="shared" si="4"/>
        <v>2129149.0299999998</v>
      </c>
      <c r="G44" s="21">
        <f t="shared" si="5"/>
        <v>2063299.0599999998</v>
      </c>
      <c r="H44" s="17">
        <v>831.72</v>
      </c>
      <c r="I44" s="17">
        <v>618.05999999999995</v>
      </c>
      <c r="J44" s="17">
        <v>213.66</v>
      </c>
      <c r="K44" s="17" t="s">
        <v>860</v>
      </c>
    </row>
    <row r="45" spans="1:11">
      <c r="A45" s="17">
        <v>42</v>
      </c>
      <c r="B45" s="18" t="s">
        <v>4797</v>
      </c>
      <c r="C45" s="17" t="s">
        <v>4495</v>
      </c>
      <c r="D45" s="17" t="s">
        <v>36</v>
      </c>
      <c r="E45" s="19">
        <v>2190999</v>
      </c>
      <c r="F45" s="20">
        <f t="shared" si="4"/>
        <v>2125269.0299999998</v>
      </c>
      <c r="G45" s="21">
        <f t="shared" si="5"/>
        <v>2059539.0599999998</v>
      </c>
      <c r="H45" s="17">
        <v>831.83</v>
      </c>
      <c r="I45" s="17">
        <v>618.05999999999995</v>
      </c>
      <c r="J45" s="17">
        <v>213.77</v>
      </c>
      <c r="K45" s="17" t="s">
        <v>860</v>
      </c>
    </row>
    <row r="46" spans="1:11">
      <c r="A46" s="17">
        <v>43</v>
      </c>
      <c r="B46" s="18" t="s">
        <v>4643</v>
      </c>
      <c r="C46" s="17" t="s">
        <v>4495</v>
      </c>
      <c r="D46" s="17" t="s">
        <v>36</v>
      </c>
      <c r="E46" s="19">
        <v>2190999</v>
      </c>
      <c r="F46" s="20">
        <f t="shared" si="4"/>
        <v>2125269.0299999998</v>
      </c>
      <c r="G46" s="21">
        <f t="shared" si="5"/>
        <v>2059539.0599999998</v>
      </c>
      <c r="H46" s="17">
        <v>835.17</v>
      </c>
      <c r="I46" s="17">
        <v>639.80999999999995</v>
      </c>
      <c r="J46" s="17">
        <v>195.36</v>
      </c>
      <c r="K46" s="17" t="s">
        <v>39</v>
      </c>
    </row>
    <row r="47" spans="1:11">
      <c r="A47" s="17">
        <v>44</v>
      </c>
      <c r="B47" s="18" t="s">
        <v>4644</v>
      </c>
      <c r="C47" s="17" t="s">
        <v>4495</v>
      </c>
      <c r="D47" s="17" t="s">
        <v>36</v>
      </c>
      <c r="E47" s="19">
        <v>2190999</v>
      </c>
      <c r="F47" s="20">
        <f t="shared" si="4"/>
        <v>2125269.0299999998</v>
      </c>
      <c r="G47" s="21">
        <f t="shared" si="5"/>
        <v>2059539.0599999998</v>
      </c>
      <c r="H47" s="17">
        <v>835.17</v>
      </c>
      <c r="I47" s="17">
        <v>639.80999999999995</v>
      </c>
      <c r="J47" s="17">
        <v>195.36</v>
      </c>
      <c r="K47" s="17" t="s">
        <v>39</v>
      </c>
    </row>
    <row r="48" spans="1:11">
      <c r="A48" s="17">
        <v>45</v>
      </c>
      <c r="B48" s="18" t="s">
        <v>4798</v>
      </c>
      <c r="C48" s="17" t="s">
        <v>4466</v>
      </c>
      <c r="D48" s="17" t="s">
        <v>36</v>
      </c>
      <c r="E48" s="19">
        <v>2189999</v>
      </c>
      <c r="F48" s="20">
        <f t="shared" si="4"/>
        <v>2124299.0299999998</v>
      </c>
      <c r="G48" s="21">
        <f t="shared" si="5"/>
        <v>2058599.0599999998</v>
      </c>
      <c r="H48" s="17">
        <v>823.76</v>
      </c>
      <c r="I48" s="17">
        <v>609.99</v>
      </c>
      <c r="J48" s="17">
        <v>213.77</v>
      </c>
      <c r="K48" s="17" t="s">
        <v>860</v>
      </c>
    </row>
    <row r="49" spans="1:11">
      <c r="A49" s="17">
        <v>46</v>
      </c>
      <c r="B49" s="18" t="s">
        <v>4799</v>
      </c>
      <c r="C49" s="17" t="s">
        <v>10</v>
      </c>
      <c r="D49" s="17" t="s">
        <v>36</v>
      </c>
      <c r="E49" s="19">
        <v>2186999</v>
      </c>
      <c r="F49" s="20">
        <f t="shared" si="4"/>
        <v>2121389.0299999998</v>
      </c>
      <c r="G49" s="21">
        <f t="shared" si="5"/>
        <v>2055779.0599999998</v>
      </c>
      <c r="H49" s="17">
        <v>784.58</v>
      </c>
      <c r="I49" s="17">
        <v>626.46</v>
      </c>
      <c r="J49" s="17">
        <v>158.12</v>
      </c>
      <c r="K49" s="17" t="s">
        <v>4877</v>
      </c>
    </row>
    <row r="50" spans="1:11">
      <c r="A50" s="17">
        <v>47</v>
      </c>
      <c r="B50" s="18" t="s">
        <v>4800</v>
      </c>
      <c r="C50" s="17" t="s">
        <v>10</v>
      </c>
      <c r="D50" s="17" t="s">
        <v>36</v>
      </c>
      <c r="E50" s="19">
        <v>2186999</v>
      </c>
      <c r="F50" s="20">
        <f t="shared" si="4"/>
        <v>2121389.0299999998</v>
      </c>
      <c r="G50" s="21">
        <f t="shared" si="5"/>
        <v>2055779.0599999998</v>
      </c>
      <c r="H50" s="17">
        <v>784.58</v>
      </c>
      <c r="I50" s="17">
        <v>626.46</v>
      </c>
      <c r="J50" s="17">
        <v>158.12</v>
      </c>
      <c r="K50" s="17" t="s">
        <v>4877</v>
      </c>
    </row>
    <row r="51" spans="1:11">
      <c r="A51" s="17">
        <v>48</v>
      </c>
      <c r="B51" s="18" t="s">
        <v>4801</v>
      </c>
      <c r="C51" s="17" t="s">
        <v>4494</v>
      </c>
      <c r="D51" s="17" t="s">
        <v>36</v>
      </c>
      <c r="E51" s="19">
        <v>2185999</v>
      </c>
      <c r="F51" s="20">
        <f t="shared" si="4"/>
        <v>2120419.0299999998</v>
      </c>
      <c r="G51" s="21">
        <f t="shared" si="5"/>
        <v>2054839.0599999998</v>
      </c>
      <c r="H51" s="17">
        <v>831.83</v>
      </c>
      <c r="I51" s="17">
        <v>618.05999999999995</v>
      </c>
      <c r="J51" s="17">
        <v>213.77</v>
      </c>
      <c r="K51" s="17" t="s">
        <v>860</v>
      </c>
    </row>
    <row r="52" spans="1:11">
      <c r="A52" s="17">
        <v>49</v>
      </c>
      <c r="B52" s="18" t="s">
        <v>4645</v>
      </c>
      <c r="C52" s="17" t="s">
        <v>4494</v>
      </c>
      <c r="D52" s="17" t="s">
        <v>36</v>
      </c>
      <c r="E52" s="19">
        <v>2185999</v>
      </c>
      <c r="F52" s="20">
        <f t="shared" si="4"/>
        <v>2120419.0299999998</v>
      </c>
      <c r="G52" s="21">
        <f t="shared" si="5"/>
        <v>2054839.0599999998</v>
      </c>
      <c r="H52" s="17">
        <v>835.17</v>
      </c>
      <c r="I52" s="17">
        <v>639.80999999999995</v>
      </c>
      <c r="J52" s="17">
        <v>195.36</v>
      </c>
      <c r="K52" s="17" t="s">
        <v>39</v>
      </c>
    </row>
    <row r="53" spans="1:11">
      <c r="A53" s="17">
        <v>50</v>
      </c>
      <c r="B53" s="18" t="s">
        <v>4646</v>
      </c>
      <c r="C53" s="17" t="s">
        <v>4494</v>
      </c>
      <c r="D53" s="17" t="s">
        <v>36</v>
      </c>
      <c r="E53" s="19">
        <v>2185999</v>
      </c>
      <c r="F53" s="20">
        <f t="shared" si="4"/>
        <v>2120419.0299999998</v>
      </c>
      <c r="G53" s="21">
        <f t="shared" si="5"/>
        <v>2054839.0599999998</v>
      </c>
      <c r="H53" s="17">
        <v>835.17</v>
      </c>
      <c r="I53" s="17">
        <v>639.80999999999995</v>
      </c>
      <c r="J53" s="17">
        <v>195.36</v>
      </c>
      <c r="K53" s="17" t="s">
        <v>39</v>
      </c>
    </row>
    <row r="54" spans="1:11">
      <c r="A54" s="17">
        <v>51</v>
      </c>
      <c r="B54" s="18" t="s">
        <v>4802</v>
      </c>
      <c r="C54" s="17" t="s">
        <v>4465</v>
      </c>
      <c r="D54" s="17" t="s">
        <v>36</v>
      </c>
      <c r="E54" s="19">
        <v>2184999</v>
      </c>
      <c r="F54" s="20">
        <f t="shared" si="4"/>
        <v>2119449.0299999998</v>
      </c>
      <c r="G54" s="21">
        <f t="shared" si="5"/>
        <v>2053899.0599999998</v>
      </c>
      <c r="H54" s="17">
        <v>823.76</v>
      </c>
      <c r="I54" s="17">
        <v>609.99</v>
      </c>
      <c r="J54" s="17">
        <v>213.77</v>
      </c>
      <c r="K54" s="17" t="s">
        <v>860</v>
      </c>
    </row>
    <row r="55" spans="1:11">
      <c r="A55" s="17">
        <v>52</v>
      </c>
      <c r="B55" s="18" t="s">
        <v>4803</v>
      </c>
      <c r="C55" s="17" t="s">
        <v>3</v>
      </c>
      <c r="D55" s="17" t="s">
        <v>36</v>
      </c>
      <c r="E55" s="19">
        <v>2181999</v>
      </c>
      <c r="F55" s="20">
        <f t="shared" si="4"/>
        <v>2116539.0299999998</v>
      </c>
      <c r="G55" s="21">
        <f t="shared" si="5"/>
        <v>2051079.0599999998</v>
      </c>
      <c r="H55" s="17">
        <v>784.58</v>
      </c>
      <c r="I55" s="17">
        <v>626.46</v>
      </c>
      <c r="J55" s="17">
        <v>158.12</v>
      </c>
      <c r="K55" s="17" t="s">
        <v>4877</v>
      </c>
    </row>
    <row r="56" spans="1:11">
      <c r="A56" s="17">
        <v>53</v>
      </c>
      <c r="B56" s="18" t="s">
        <v>4804</v>
      </c>
      <c r="C56" s="17" t="s">
        <v>3</v>
      </c>
      <c r="D56" s="17" t="s">
        <v>36</v>
      </c>
      <c r="E56" s="19">
        <v>2181999</v>
      </c>
      <c r="F56" s="20">
        <f t="shared" si="4"/>
        <v>2116539.0299999998</v>
      </c>
      <c r="G56" s="21">
        <f t="shared" si="5"/>
        <v>2051079.0599999998</v>
      </c>
      <c r="H56" s="17">
        <v>784.58</v>
      </c>
      <c r="I56" s="17">
        <v>626.46</v>
      </c>
      <c r="J56" s="17">
        <v>158.12</v>
      </c>
      <c r="K56" s="17" t="s">
        <v>4877</v>
      </c>
    </row>
    <row r="57" spans="1:11">
      <c r="A57" s="17">
        <v>54</v>
      </c>
      <c r="B57" s="18" t="s">
        <v>4805</v>
      </c>
      <c r="C57" s="17" t="s">
        <v>33</v>
      </c>
      <c r="D57" s="17" t="s">
        <v>36</v>
      </c>
      <c r="E57" s="19">
        <v>2180999</v>
      </c>
      <c r="F57" s="20">
        <f t="shared" si="4"/>
        <v>2115569.0299999998</v>
      </c>
      <c r="G57" s="21">
        <f t="shared" si="5"/>
        <v>2050139.0599999998</v>
      </c>
      <c r="H57" s="17">
        <v>831.83</v>
      </c>
      <c r="I57" s="17">
        <v>618.05999999999995</v>
      </c>
      <c r="J57" s="17">
        <v>213.77</v>
      </c>
      <c r="K57" s="17" t="s">
        <v>860</v>
      </c>
    </row>
    <row r="58" spans="1:11">
      <c r="A58" s="17">
        <v>55</v>
      </c>
      <c r="B58" s="18" t="s">
        <v>4806</v>
      </c>
      <c r="C58" s="17" t="s">
        <v>4</v>
      </c>
      <c r="D58" s="17" t="s">
        <v>36</v>
      </c>
      <c r="E58" s="19">
        <v>2150000</v>
      </c>
      <c r="F58" s="20">
        <f t="shared" si="4"/>
        <v>2085500</v>
      </c>
      <c r="G58" s="21">
        <f t="shared" si="5"/>
        <v>2021000</v>
      </c>
      <c r="H58" s="17">
        <v>831.83</v>
      </c>
      <c r="I58" s="17">
        <v>618.05999999999995</v>
      </c>
      <c r="J58" s="17">
        <v>213.77</v>
      </c>
      <c r="K58" s="17" t="s">
        <v>860</v>
      </c>
    </row>
    <row r="59" spans="1:11">
      <c r="A59" s="17">
        <v>56</v>
      </c>
      <c r="B59" s="18" t="s">
        <v>4278</v>
      </c>
      <c r="C59" s="17" t="s">
        <v>4</v>
      </c>
      <c r="D59" s="17" t="s">
        <v>36</v>
      </c>
      <c r="E59" s="19">
        <v>2133999</v>
      </c>
      <c r="F59" s="20">
        <f t="shared" si="4"/>
        <v>2069979.03</v>
      </c>
      <c r="G59" s="21">
        <f t="shared" si="5"/>
        <v>2005959.0599999998</v>
      </c>
      <c r="H59" s="17">
        <v>835.17</v>
      </c>
      <c r="I59" s="17">
        <v>639.80999999999995</v>
      </c>
      <c r="J59" s="17">
        <v>195.36</v>
      </c>
      <c r="K59" s="17" t="s">
        <v>39</v>
      </c>
    </row>
    <row r="60" spans="1:11">
      <c r="A60" s="17">
        <v>57</v>
      </c>
      <c r="B60" s="18" t="s">
        <v>4279</v>
      </c>
      <c r="C60" s="17" t="s">
        <v>4</v>
      </c>
      <c r="D60" s="17" t="s">
        <v>36</v>
      </c>
      <c r="E60" s="19">
        <v>2133999</v>
      </c>
      <c r="F60" s="20">
        <f t="shared" si="4"/>
        <v>2069979.03</v>
      </c>
      <c r="G60" s="21">
        <f t="shared" si="5"/>
        <v>2005959.0599999998</v>
      </c>
      <c r="H60" s="17">
        <v>835.17</v>
      </c>
      <c r="I60" s="17">
        <v>639.80999999999995</v>
      </c>
      <c r="J60" s="17">
        <v>195.36</v>
      </c>
      <c r="K60" s="17" t="s">
        <v>39</v>
      </c>
    </row>
    <row r="61" spans="1:11">
      <c r="A61" s="17">
        <v>58</v>
      </c>
      <c r="B61" s="18" t="s">
        <v>4647</v>
      </c>
      <c r="C61" s="17" t="s">
        <v>4462</v>
      </c>
      <c r="D61" s="17" t="s">
        <v>36</v>
      </c>
      <c r="E61" s="19">
        <v>2130999</v>
      </c>
      <c r="F61" s="20">
        <f t="shared" si="4"/>
        <v>2067069.03</v>
      </c>
      <c r="G61" s="21">
        <f t="shared" si="5"/>
        <v>2003139.0599999998</v>
      </c>
      <c r="H61" s="17">
        <v>823.76</v>
      </c>
      <c r="I61" s="17">
        <v>609.99</v>
      </c>
      <c r="J61" s="17">
        <v>213.77</v>
      </c>
      <c r="K61" s="17" t="s">
        <v>861</v>
      </c>
    </row>
    <row r="62" spans="1:11">
      <c r="A62" s="17">
        <v>59</v>
      </c>
      <c r="B62" s="18" t="s">
        <v>4648</v>
      </c>
      <c r="C62" s="17" t="s">
        <v>4461</v>
      </c>
      <c r="D62" s="17" t="s">
        <v>36</v>
      </c>
      <c r="E62" s="19">
        <v>2130999</v>
      </c>
      <c r="F62" s="20">
        <f t="shared" si="4"/>
        <v>2067069.03</v>
      </c>
      <c r="G62" s="21">
        <f t="shared" si="5"/>
        <v>2003139.0599999998</v>
      </c>
      <c r="H62" s="17">
        <v>831.72</v>
      </c>
      <c r="I62" s="17">
        <v>618.05999999999995</v>
      </c>
      <c r="J62" s="17">
        <v>213.66</v>
      </c>
      <c r="K62" s="17" t="s">
        <v>861</v>
      </c>
    </row>
    <row r="63" spans="1:11">
      <c r="A63" s="17">
        <v>60</v>
      </c>
      <c r="B63" s="18" t="s">
        <v>4807</v>
      </c>
      <c r="C63" s="17" t="s">
        <v>12</v>
      </c>
      <c r="D63" s="17" t="s">
        <v>36</v>
      </c>
      <c r="E63" s="19">
        <v>2150000</v>
      </c>
      <c r="F63" s="20">
        <f t="shared" si="4"/>
        <v>2085500</v>
      </c>
      <c r="G63" s="21">
        <f t="shared" si="5"/>
        <v>2021000</v>
      </c>
      <c r="H63" s="17">
        <v>823.76</v>
      </c>
      <c r="I63" s="17">
        <v>609.99</v>
      </c>
      <c r="J63" s="17">
        <v>213.77</v>
      </c>
      <c r="K63" s="17" t="s">
        <v>860</v>
      </c>
    </row>
    <row r="64" spans="1:11">
      <c r="A64" s="17">
        <v>61</v>
      </c>
      <c r="B64" s="18" t="s">
        <v>4808</v>
      </c>
      <c r="C64" s="17" t="s">
        <v>4458</v>
      </c>
      <c r="D64" s="17" t="s">
        <v>36</v>
      </c>
      <c r="E64" s="19">
        <v>2150000</v>
      </c>
      <c r="F64" s="20">
        <f t="shared" si="4"/>
        <v>2085500</v>
      </c>
      <c r="G64" s="21">
        <f t="shared" si="5"/>
        <v>2021000</v>
      </c>
      <c r="H64" s="17">
        <v>831.72</v>
      </c>
      <c r="I64" s="17">
        <v>618.05999999999995</v>
      </c>
      <c r="J64" s="17">
        <v>213.66</v>
      </c>
      <c r="K64" s="17" t="s">
        <v>860</v>
      </c>
    </row>
    <row r="65" spans="1:11">
      <c r="A65" s="17">
        <v>62</v>
      </c>
      <c r="B65" s="18" t="s">
        <v>4897</v>
      </c>
      <c r="C65" s="17" t="s">
        <v>4462</v>
      </c>
      <c r="D65" s="17" t="s">
        <v>36</v>
      </c>
      <c r="E65" s="19">
        <v>2130999</v>
      </c>
      <c r="F65" s="20">
        <f t="shared" ref="F65:F94" si="6">E65*0.97</f>
        <v>2067069.03</v>
      </c>
      <c r="G65" s="21">
        <f t="shared" ref="G65:G94" si="7">E65*0.94</f>
        <v>2003139.0599999998</v>
      </c>
      <c r="H65" s="17">
        <v>810.2</v>
      </c>
      <c r="I65" s="17">
        <v>621.08000000000004</v>
      </c>
      <c r="J65" s="17">
        <v>189.12</v>
      </c>
      <c r="K65" s="17" t="s">
        <v>39</v>
      </c>
    </row>
    <row r="66" spans="1:11">
      <c r="A66" s="17">
        <v>63</v>
      </c>
      <c r="B66" s="18" t="s">
        <v>4898</v>
      </c>
      <c r="C66" s="17" t="s">
        <v>4462</v>
      </c>
      <c r="D66" s="17" t="s">
        <v>36</v>
      </c>
      <c r="E66" s="19">
        <v>2130999</v>
      </c>
      <c r="F66" s="20">
        <f t="shared" si="6"/>
        <v>2067069.03</v>
      </c>
      <c r="G66" s="21">
        <f t="shared" si="7"/>
        <v>2003139.0599999998</v>
      </c>
      <c r="H66" s="17">
        <v>810.2</v>
      </c>
      <c r="I66" s="17">
        <v>621.08000000000004</v>
      </c>
      <c r="J66" s="17">
        <v>189.12</v>
      </c>
      <c r="K66" s="17" t="s">
        <v>39</v>
      </c>
    </row>
    <row r="67" spans="1:11">
      <c r="A67" s="17">
        <v>64</v>
      </c>
      <c r="B67" s="18" t="s">
        <v>4899</v>
      </c>
      <c r="C67" s="17" t="s">
        <v>4495</v>
      </c>
      <c r="D67" s="17" t="s">
        <v>36</v>
      </c>
      <c r="E67" s="19">
        <v>2126999</v>
      </c>
      <c r="F67" s="20">
        <f t="shared" si="6"/>
        <v>2063189.03</v>
      </c>
      <c r="G67" s="21">
        <f t="shared" si="7"/>
        <v>1999379.0599999998</v>
      </c>
      <c r="H67" s="17">
        <v>810.63</v>
      </c>
      <c r="I67" s="17">
        <v>621.08000000000004</v>
      </c>
      <c r="J67" s="17">
        <v>189.55</v>
      </c>
      <c r="K67" s="17" t="s">
        <v>39</v>
      </c>
    </row>
    <row r="68" spans="1:11">
      <c r="A68" s="17">
        <v>65</v>
      </c>
      <c r="B68" s="18" t="s">
        <v>4900</v>
      </c>
      <c r="C68" s="17" t="s">
        <v>4495</v>
      </c>
      <c r="D68" s="17" t="s">
        <v>36</v>
      </c>
      <c r="E68" s="19">
        <v>2126999</v>
      </c>
      <c r="F68" s="20">
        <f t="shared" si="6"/>
        <v>2063189.03</v>
      </c>
      <c r="G68" s="21">
        <f t="shared" si="7"/>
        <v>1999379.0599999998</v>
      </c>
      <c r="H68" s="17">
        <v>810.63</v>
      </c>
      <c r="I68" s="17">
        <v>621.08000000000004</v>
      </c>
      <c r="J68" s="17">
        <v>189.55</v>
      </c>
      <c r="K68" s="17" t="s">
        <v>39</v>
      </c>
    </row>
    <row r="69" spans="1:11">
      <c r="A69" s="17">
        <v>66</v>
      </c>
      <c r="B69" s="18" t="s">
        <v>4901</v>
      </c>
      <c r="C69" s="17" t="s">
        <v>4495</v>
      </c>
      <c r="D69" s="17" t="s">
        <v>36</v>
      </c>
      <c r="E69" s="19">
        <v>2125999</v>
      </c>
      <c r="F69" s="20">
        <f t="shared" si="6"/>
        <v>2062219.03</v>
      </c>
      <c r="G69" s="21">
        <f t="shared" si="7"/>
        <v>1998439.0599999998</v>
      </c>
      <c r="H69" s="17">
        <v>823.76</v>
      </c>
      <c r="I69" s="17">
        <v>609.99</v>
      </c>
      <c r="J69" s="17">
        <v>213.77</v>
      </c>
      <c r="K69" s="17" t="s">
        <v>861</v>
      </c>
    </row>
    <row r="70" spans="1:11">
      <c r="A70" s="17">
        <v>67</v>
      </c>
      <c r="B70" s="18" t="s">
        <v>4280</v>
      </c>
      <c r="C70" s="17" t="s">
        <v>4460</v>
      </c>
      <c r="D70" s="17" t="s">
        <v>36</v>
      </c>
      <c r="E70" s="19">
        <v>2125999</v>
      </c>
      <c r="F70" s="20">
        <f t="shared" si="6"/>
        <v>2062219.03</v>
      </c>
      <c r="G70" s="21">
        <f t="shared" si="7"/>
        <v>1998439.0599999998</v>
      </c>
      <c r="H70" s="17">
        <v>831.72</v>
      </c>
      <c r="I70" s="17">
        <v>618.05999999999995</v>
      </c>
      <c r="J70" s="17">
        <v>213.66</v>
      </c>
      <c r="K70" s="17" t="s">
        <v>861</v>
      </c>
    </row>
    <row r="71" spans="1:11">
      <c r="A71" s="17">
        <v>68</v>
      </c>
      <c r="B71" s="18" t="s">
        <v>4809</v>
      </c>
      <c r="C71" s="17" t="s">
        <v>32</v>
      </c>
      <c r="D71" s="17" t="s">
        <v>36</v>
      </c>
      <c r="E71" s="19">
        <v>2150000</v>
      </c>
      <c r="F71" s="20">
        <f t="shared" si="6"/>
        <v>2085500</v>
      </c>
      <c r="G71" s="21">
        <f t="shared" si="7"/>
        <v>2021000</v>
      </c>
      <c r="H71" s="17">
        <v>823.76</v>
      </c>
      <c r="I71" s="17">
        <v>609.99</v>
      </c>
      <c r="J71" s="17">
        <v>213.77</v>
      </c>
      <c r="K71" s="17" t="s">
        <v>860</v>
      </c>
    </row>
    <row r="72" spans="1:11">
      <c r="A72" s="17">
        <v>69</v>
      </c>
      <c r="B72" s="18" t="s">
        <v>4810</v>
      </c>
      <c r="C72" s="17" t="s">
        <v>6</v>
      </c>
      <c r="D72" s="17" t="s">
        <v>36</v>
      </c>
      <c r="E72" s="19">
        <v>2150000</v>
      </c>
      <c r="F72" s="20">
        <f t="shared" si="6"/>
        <v>2085500</v>
      </c>
      <c r="G72" s="21">
        <f t="shared" si="7"/>
        <v>2021000</v>
      </c>
      <c r="H72" s="17">
        <v>831.72</v>
      </c>
      <c r="I72" s="17">
        <v>618.05999999999995</v>
      </c>
      <c r="J72" s="17">
        <v>213.66</v>
      </c>
      <c r="K72" s="17" t="s">
        <v>860</v>
      </c>
    </row>
    <row r="73" spans="1:11" ht="16.5" customHeight="1">
      <c r="A73" s="17">
        <v>70</v>
      </c>
      <c r="B73" s="18" t="s">
        <v>4902</v>
      </c>
      <c r="C73" s="17" t="s">
        <v>4494</v>
      </c>
      <c r="D73" s="17" t="s">
        <v>36</v>
      </c>
      <c r="E73" s="19">
        <v>2121999</v>
      </c>
      <c r="F73" s="20">
        <f t="shared" si="6"/>
        <v>2058339.03</v>
      </c>
      <c r="G73" s="21">
        <f t="shared" si="7"/>
        <v>1994679.0599999998</v>
      </c>
      <c r="H73" s="17">
        <v>810.63</v>
      </c>
      <c r="I73" s="17">
        <v>621.08000000000004</v>
      </c>
      <c r="J73" s="17">
        <v>189.55</v>
      </c>
      <c r="K73" s="17" t="s">
        <v>39</v>
      </c>
    </row>
    <row r="74" spans="1:11">
      <c r="A74" s="17">
        <v>71</v>
      </c>
      <c r="B74" s="18" t="s">
        <v>4903</v>
      </c>
      <c r="C74" s="17" t="s">
        <v>4494</v>
      </c>
      <c r="D74" s="17" t="s">
        <v>36</v>
      </c>
      <c r="E74" s="19">
        <v>2121999</v>
      </c>
      <c r="F74" s="20">
        <f t="shared" si="6"/>
        <v>2058339.03</v>
      </c>
      <c r="G74" s="21">
        <f t="shared" si="7"/>
        <v>1994679.0599999998</v>
      </c>
      <c r="H74" s="17">
        <v>810.63</v>
      </c>
      <c r="I74" s="17">
        <v>621.08000000000004</v>
      </c>
      <c r="J74" s="17">
        <v>189.55</v>
      </c>
      <c r="K74" s="17" t="s">
        <v>39</v>
      </c>
    </row>
    <row r="75" spans="1:11">
      <c r="A75" s="17">
        <v>72</v>
      </c>
      <c r="B75" s="18" t="s">
        <v>4904</v>
      </c>
      <c r="C75" s="17" t="s">
        <v>4494</v>
      </c>
      <c r="D75" s="17" t="s">
        <v>36</v>
      </c>
      <c r="E75" s="19">
        <v>2120999</v>
      </c>
      <c r="F75" s="20">
        <f t="shared" si="6"/>
        <v>2057369.03</v>
      </c>
      <c r="G75" s="21">
        <f t="shared" si="7"/>
        <v>1993739.0599999998</v>
      </c>
      <c r="H75" s="17">
        <v>823.76</v>
      </c>
      <c r="I75" s="17">
        <v>609.99</v>
      </c>
      <c r="J75" s="17">
        <v>213.77</v>
      </c>
      <c r="K75" s="17" t="s">
        <v>861</v>
      </c>
    </row>
    <row r="76" spans="1:11">
      <c r="A76" s="17">
        <v>73</v>
      </c>
      <c r="B76" s="18" t="s">
        <v>4281</v>
      </c>
      <c r="C76" s="17" t="s">
        <v>11</v>
      </c>
      <c r="D76" s="17" t="s">
        <v>36</v>
      </c>
      <c r="E76" s="19">
        <v>2120999</v>
      </c>
      <c r="F76" s="20">
        <f t="shared" si="6"/>
        <v>2057369.03</v>
      </c>
      <c r="G76" s="21">
        <f t="shared" si="7"/>
        <v>1993739.0599999998</v>
      </c>
      <c r="H76" s="17">
        <v>831.72</v>
      </c>
      <c r="I76" s="17">
        <v>618.05999999999995</v>
      </c>
      <c r="J76" s="17">
        <v>213.66</v>
      </c>
      <c r="K76" s="17" t="s">
        <v>861</v>
      </c>
    </row>
    <row r="77" spans="1:11">
      <c r="A77" s="17">
        <v>74</v>
      </c>
      <c r="B77" s="18" t="s">
        <v>4811</v>
      </c>
      <c r="C77" s="17" t="s">
        <v>4459</v>
      </c>
      <c r="D77" s="17" t="s">
        <v>36</v>
      </c>
      <c r="E77" s="19">
        <v>2150000</v>
      </c>
      <c r="F77" s="20">
        <f t="shared" si="6"/>
        <v>2085500</v>
      </c>
      <c r="G77" s="21">
        <f t="shared" si="7"/>
        <v>2021000</v>
      </c>
      <c r="H77" s="17">
        <v>823.76</v>
      </c>
      <c r="I77" s="17">
        <v>609.99</v>
      </c>
      <c r="J77" s="17">
        <v>213.77</v>
      </c>
      <c r="K77" s="17" t="s">
        <v>860</v>
      </c>
    </row>
    <row r="78" spans="1:11">
      <c r="A78" s="17">
        <v>75</v>
      </c>
      <c r="B78" s="18" t="s">
        <v>4812</v>
      </c>
      <c r="C78" s="17" t="s">
        <v>7</v>
      </c>
      <c r="D78" s="17" t="s">
        <v>36</v>
      </c>
      <c r="E78" s="19">
        <v>2150000</v>
      </c>
      <c r="F78" s="20">
        <f t="shared" si="6"/>
        <v>2085500</v>
      </c>
      <c r="G78" s="21">
        <f t="shared" si="7"/>
        <v>2021000</v>
      </c>
      <c r="H78" s="17">
        <v>831.72</v>
      </c>
      <c r="I78" s="17">
        <v>618.05999999999995</v>
      </c>
      <c r="J78" s="17">
        <v>213.66</v>
      </c>
      <c r="K78" s="17" t="s">
        <v>860</v>
      </c>
    </row>
    <row r="79" spans="1:11">
      <c r="A79" s="17">
        <v>76</v>
      </c>
      <c r="B79" s="18" t="s">
        <v>4905</v>
      </c>
      <c r="C79" s="17" t="s">
        <v>33</v>
      </c>
      <c r="D79" s="17" t="s">
        <v>36</v>
      </c>
      <c r="E79" s="19">
        <v>2116999</v>
      </c>
      <c r="F79" s="20">
        <f t="shared" si="6"/>
        <v>2053489.03</v>
      </c>
      <c r="G79" s="21">
        <f t="shared" si="7"/>
        <v>1989979.0599999998</v>
      </c>
      <c r="H79" s="17">
        <v>810.63</v>
      </c>
      <c r="I79" s="17">
        <v>621.08000000000004</v>
      </c>
      <c r="J79" s="17">
        <v>189.55</v>
      </c>
      <c r="K79" s="17" t="s">
        <v>39</v>
      </c>
    </row>
    <row r="80" spans="1:11">
      <c r="A80" s="17">
        <v>77</v>
      </c>
      <c r="B80" s="18" t="s">
        <v>4906</v>
      </c>
      <c r="C80" s="17" t="s">
        <v>33</v>
      </c>
      <c r="D80" s="17" t="s">
        <v>36</v>
      </c>
      <c r="E80" s="19">
        <v>2116999</v>
      </c>
      <c r="F80" s="20">
        <f t="shared" si="6"/>
        <v>2053489.03</v>
      </c>
      <c r="G80" s="21">
        <f t="shared" si="7"/>
        <v>1989979.0599999998</v>
      </c>
      <c r="H80" s="17">
        <v>810.63</v>
      </c>
      <c r="I80" s="17">
        <v>621.08000000000004</v>
      </c>
      <c r="J80" s="17">
        <v>189.55</v>
      </c>
      <c r="K80" s="17" t="s">
        <v>39</v>
      </c>
    </row>
    <row r="81" spans="1:11">
      <c r="A81" s="17">
        <v>78</v>
      </c>
      <c r="B81" s="18" t="s">
        <v>4907</v>
      </c>
      <c r="C81" s="17" t="s">
        <v>33</v>
      </c>
      <c r="D81" s="17" t="s">
        <v>36</v>
      </c>
      <c r="E81" s="19">
        <v>2115999</v>
      </c>
      <c r="F81" s="20">
        <f t="shared" si="6"/>
        <v>2052519.03</v>
      </c>
      <c r="G81" s="21">
        <f t="shared" si="7"/>
        <v>1989039.0599999998</v>
      </c>
      <c r="H81" s="17">
        <v>823.76</v>
      </c>
      <c r="I81" s="17">
        <v>609.99</v>
      </c>
      <c r="J81" s="17">
        <v>213.77</v>
      </c>
      <c r="K81" s="17" t="s">
        <v>861</v>
      </c>
    </row>
    <row r="82" spans="1:11">
      <c r="A82" s="17">
        <v>79</v>
      </c>
      <c r="B82" s="18" t="s">
        <v>4813</v>
      </c>
      <c r="C82" s="17" t="s">
        <v>5</v>
      </c>
      <c r="D82" s="17" t="s">
        <v>36</v>
      </c>
      <c r="E82" s="19">
        <v>2150000</v>
      </c>
      <c r="F82" s="20">
        <f t="shared" si="6"/>
        <v>2085500</v>
      </c>
      <c r="G82" s="21">
        <f t="shared" si="7"/>
        <v>2021000</v>
      </c>
      <c r="H82" s="17">
        <v>823.76</v>
      </c>
      <c r="I82" s="17">
        <v>609.99</v>
      </c>
      <c r="J82" s="17">
        <v>213.77</v>
      </c>
      <c r="K82" s="17" t="s">
        <v>860</v>
      </c>
    </row>
    <row r="83" spans="1:11">
      <c r="A83" s="17">
        <v>80</v>
      </c>
      <c r="B83" s="18" t="s">
        <v>4282</v>
      </c>
      <c r="C83" s="17" t="s">
        <v>12</v>
      </c>
      <c r="D83" s="17" t="s">
        <v>36</v>
      </c>
      <c r="E83" s="19">
        <v>2115999</v>
      </c>
      <c r="F83" s="20">
        <f t="shared" si="6"/>
        <v>2052519.03</v>
      </c>
      <c r="G83" s="21">
        <f t="shared" si="7"/>
        <v>1989039.0599999998</v>
      </c>
      <c r="H83" s="17">
        <v>831.72</v>
      </c>
      <c r="I83" s="17">
        <v>618.05999999999995</v>
      </c>
      <c r="J83" s="17">
        <v>213.66</v>
      </c>
      <c r="K83" s="17" t="s">
        <v>861</v>
      </c>
    </row>
    <row r="84" spans="1:11">
      <c r="A84" s="17">
        <v>81</v>
      </c>
      <c r="B84" s="18" t="s">
        <v>4814</v>
      </c>
      <c r="C84" s="17" t="s">
        <v>8</v>
      </c>
      <c r="D84" s="17" t="s">
        <v>36</v>
      </c>
      <c r="E84" s="19">
        <v>2150000</v>
      </c>
      <c r="F84" s="20">
        <f t="shared" si="6"/>
        <v>2085500</v>
      </c>
      <c r="G84" s="21">
        <f t="shared" si="7"/>
        <v>2021000</v>
      </c>
      <c r="H84" s="17">
        <v>831.72</v>
      </c>
      <c r="I84" s="17">
        <v>618.05999999999995</v>
      </c>
      <c r="J84" s="17">
        <v>213.66</v>
      </c>
      <c r="K84" s="17" t="s">
        <v>860</v>
      </c>
    </row>
    <row r="85" spans="1:11">
      <c r="A85" s="17">
        <v>82</v>
      </c>
      <c r="B85" s="18" t="s">
        <v>4908</v>
      </c>
      <c r="C85" s="17" t="s">
        <v>34</v>
      </c>
      <c r="D85" s="17" t="s">
        <v>36</v>
      </c>
      <c r="E85" s="19">
        <v>2111999</v>
      </c>
      <c r="F85" s="20">
        <f t="shared" si="6"/>
        <v>2048639.03</v>
      </c>
      <c r="G85" s="21">
        <f t="shared" si="7"/>
        <v>1985279.0599999998</v>
      </c>
      <c r="H85" s="17">
        <v>810.63</v>
      </c>
      <c r="I85" s="17">
        <v>621.08000000000004</v>
      </c>
      <c r="J85" s="17">
        <v>189.55</v>
      </c>
      <c r="K85" s="17" t="s">
        <v>39</v>
      </c>
    </row>
    <row r="86" spans="1:11">
      <c r="A86" s="17">
        <v>83</v>
      </c>
      <c r="B86" s="18" t="s">
        <v>4909</v>
      </c>
      <c r="C86" s="17" t="s">
        <v>34</v>
      </c>
      <c r="D86" s="17" t="s">
        <v>36</v>
      </c>
      <c r="E86" s="19">
        <v>2110999</v>
      </c>
      <c r="F86" s="20">
        <f t="shared" si="6"/>
        <v>2047669.03</v>
      </c>
      <c r="G86" s="21">
        <f t="shared" si="7"/>
        <v>1984339.0599999998</v>
      </c>
      <c r="H86" s="17">
        <v>823.76</v>
      </c>
      <c r="I86" s="17">
        <v>609.99</v>
      </c>
      <c r="J86" s="17">
        <v>213.77</v>
      </c>
      <c r="K86" s="17" t="s">
        <v>861</v>
      </c>
    </row>
    <row r="87" spans="1:11">
      <c r="A87" s="17">
        <v>84</v>
      </c>
      <c r="B87" s="18" t="s">
        <v>4815</v>
      </c>
      <c r="C87" s="17" t="s">
        <v>4</v>
      </c>
      <c r="D87" s="17" t="s">
        <v>36</v>
      </c>
      <c r="E87" s="19">
        <v>2150000</v>
      </c>
      <c r="F87" s="20">
        <f t="shared" si="6"/>
        <v>2085500</v>
      </c>
      <c r="G87" s="21">
        <f t="shared" si="7"/>
        <v>2021000</v>
      </c>
      <c r="H87" s="17">
        <v>823.76</v>
      </c>
      <c r="I87" s="17">
        <v>609.99</v>
      </c>
      <c r="J87" s="17">
        <v>213.77</v>
      </c>
      <c r="K87" s="17" t="s">
        <v>860</v>
      </c>
    </row>
    <row r="88" spans="1:11">
      <c r="A88" s="17">
        <v>85</v>
      </c>
      <c r="B88" s="18" t="s">
        <v>4283</v>
      </c>
      <c r="C88" s="17" t="s">
        <v>32</v>
      </c>
      <c r="D88" s="17" t="s">
        <v>36</v>
      </c>
      <c r="E88" s="19">
        <v>2110999</v>
      </c>
      <c r="F88" s="20">
        <f t="shared" si="6"/>
        <v>2047669.03</v>
      </c>
      <c r="G88" s="21">
        <f t="shared" si="7"/>
        <v>1984339.0599999998</v>
      </c>
      <c r="H88" s="17">
        <v>831.83</v>
      </c>
      <c r="I88" s="17">
        <v>618.05999999999995</v>
      </c>
      <c r="J88" s="17">
        <v>213.77</v>
      </c>
      <c r="K88" s="17" t="s">
        <v>861</v>
      </c>
    </row>
    <row r="89" spans="1:11">
      <c r="A89" s="17">
        <v>86</v>
      </c>
      <c r="B89" s="18" t="s">
        <v>4816</v>
      </c>
      <c r="C89" s="17" t="s">
        <v>9</v>
      </c>
      <c r="D89" s="17" t="s">
        <v>36</v>
      </c>
      <c r="E89" s="19">
        <v>2150000</v>
      </c>
      <c r="F89" s="20">
        <f t="shared" si="6"/>
        <v>2085500</v>
      </c>
      <c r="G89" s="21">
        <f t="shared" si="7"/>
        <v>2021000</v>
      </c>
      <c r="H89" s="17">
        <v>831.83</v>
      </c>
      <c r="I89" s="17">
        <v>618.05999999999995</v>
      </c>
      <c r="J89" s="17">
        <v>213.77</v>
      </c>
      <c r="K89" s="17" t="s">
        <v>860</v>
      </c>
    </row>
    <row r="90" spans="1:11">
      <c r="A90" s="17">
        <v>87</v>
      </c>
      <c r="B90" s="18" t="s">
        <v>4284</v>
      </c>
      <c r="C90" s="17" t="s">
        <v>9</v>
      </c>
      <c r="D90" s="17" t="s">
        <v>36</v>
      </c>
      <c r="E90" s="19">
        <v>2108999</v>
      </c>
      <c r="F90" s="20">
        <f t="shared" si="6"/>
        <v>2045729.03</v>
      </c>
      <c r="G90" s="21">
        <f t="shared" si="7"/>
        <v>1982459.0599999998</v>
      </c>
      <c r="H90" s="17">
        <v>835.17</v>
      </c>
      <c r="I90" s="17">
        <v>639.80999999999995</v>
      </c>
      <c r="J90" s="17">
        <v>195.36</v>
      </c>
      <c r="K90" s="17" t="s">
        <v>39</v>
      </c>
    </row>
    <row r="91" spans="1:11">
      <c r="A91" s="17">
        <v>88</v>
      </c>
      <c r="B91" s="18" t="s">
        <v>4285</v>
      </c>
      <c r="C91" s="17" t="s">
        <v>9</v>
      </c>
      <c r="D91" s="17" t="s">
        <v>36</v>
      </c>
      <c r="E91" s="19">
        <v>2108999</v>
      </c>
      <c r="F91" s="20">
        <f t="shared" si="6"/>
        <v>2045729.03</v>
      </c>
      <c r="G91" s="21">
        <f t="shared" si="7"/>
        <v>1982459.0599999998</v>
      </c>
      <c r="H91" s="17">
        <v>835.17</v>
      </c>
      <c r="I91" s="17">
        <v>639.80999999999995</v>
      </c>
      <c r="J91" s="17">
        <v>195.36</v>
      </c>
      <c r="K91" s="17" t="s">
        <v>39</v>
      </c>
    </row>
    <row r="92" spans="1:11">
      <c r="A92" s="17">
        <v>89</v>
      </c>
      <c r="B92" s="18" t="s">
        <v>4910</v>
      </c>
      <c r="C92" s="17" t="s">
        <v>4461</v>
      </c>
      <c r="D92" s="17" t="s">
        <v>36</v>
      </c>
      <c r="E92" s="19">
        <v>2105999</v>
      </c>
      <c r="F92" s="20">
        <f t="shared" si="6"/>
        <v>2042819.03</v>
      </c>
      <c r="G92" s="21">
        <f t="shared" si="7"/>
        <v>1979639.0599999998</v>
      </c>
      <c r="H92" s="17">
        <v>823.76</v>
      </c>
      <c r="I92" s="17">
        <v>609.99</v>
      </c>
      <c r="J92" s="17">
        <v>213.77</v>
      </c>
      <c r="K92" s="17" t="s">
        <v>861</v>
      </c>
    </row>
    <row r="93" spans="1:11">
      <c r="A93" s="17">
        <v>90</v>
      </c>
      <c r="B93" s="18" t="s">
        <v>4817</v>
      </c>
      <c r="C93" s="17" t="s">
        <v>4458</v>
      </c>
      <c r="D93" s="17" t="s">
        <v>36</v>
      </c>
      <c r="E93" s="19">
        <v>2150000</v>
      </c>
      <c r="F93" s="20">
        <f t="shared" si="6"/>
        <v>2085500</v>
      </c>
      <c r="G93" s="21">
        <f t="shared" si="7"/>
        <v>2021000</v>
      </c>
      <c r="H93" s="17">
        <v>823.76</v>
      </c>
      <c r="I93" s="17">
        <v>609.99</v>
      </c>
      <c r="J93" s="17">
        <v>213.77</v>
      </c>
      <c r="K93" s="17" t="s">
        <v>860</v>
      </c>
    </row>
    <row r="94" spans="1:11">
      <c r="A94" s="17">
        <v>91</v>
      </c>
      <c r="B94" s="18" t="s">
        <v>4818</v>
      </c>
      <c r="C94" s="17" t="s">
        <v>10</v>
      </c>
      <c r="D94" s="17" t="s">
        <v>36</v>
      </c>
      <c r="E94" s="19">
        <v>2150000</v>
      </c>
      <c r="F94" s="20">
        <f t="shared" si="6"/>
        <v>2085500</v>
      </c>
      <c r="G94" s="21">
        <f t="shared" si="7"/>
        <v>2021000</v>
      </c>
      <c r="H94" s="17">
        <v>831.83</v>
      </c>
      <c r="I94" s="17">
        <v>618.05999999999995</v>
      </c>
      <c r="J94" s="17">
        <v>213.77</v>
      </c>
      <c r="K94" s="17" t="s">
        <v>860</v>
      </c>
    </row>
    <row r="95" spans="1:11">
      <c r="A95" s="17">
        <v>92</v>
      </c>
      <c r="B95" s="18" t="s">
        <v>4286</v>
      </c>
      <c r="C95" s="17" t="s">
        <v>10</v>
      </c>
      <c r="D95" s="17" t="s">
        <v>36</v>
      </c>
      <c r="E95" s="19">
        <v>2103999</v>
      </c>
      <c r="F95" s="20">
        <f t="shared" ref="F95:F105" si="8">E95*0.97</f>
        <v>2040879.03</v>
      </c>
      <c r="G95" s="21">
        <f t="shared" ref="G95:G105" si="9">E95*0.94</f>
        <v>1977759.0599999998</v>
      </c>
      <c r="H95" s="17">
        <v>835.17</v>
      </c>
      <c r="I95" s="17">
        <v>639.80999999999995</v>
      </c>
      <c r="J95" s="17">
        <v>195.36</v>
      </c>
      <c r="K95" s="17" t="s">
        <v>39</v>
      </c>
    </row>
    <row r="96" spans="1:11">
      <c r="A96" s="17">
        <v>93</v>
      </c>
      <c r="B96" s="18" t="s">
        <v>4287</v>
      </c>
      <c r="C96" s="17" t="s">
        <v>10</v>
      </c>
      <c r="D96" s="17" t="s">
        <v>36</v>
      </c>
      <c r="E96" s="19">
        <v>2103999</v>
      </c>
      <c r="F96" s="20">
        <f t="shared" si="8"/>
        <v>2040879.03</v>
      </c>
      <c r="G96" s="21">
        <f t="shared" si="9"/>
        <v>1977759.0599999998</v>
      </c>
      <c r="H96" s="17">
        <v>835.17</v>
      </c>
      <c r="I96" s="17">
        <v>639.80999999999995</v>
      </c>
      <c r="J96" s="17">
        <v>195.36</v>
      </c>
      <c r="K96" s="17" t="s">
        <v>39</v>
      </c>
    </row>
    <row r="97" spans="1:11">
      <c r="A97" s="17">
        <v>94</v>
      </c>
      <c r="B97" s="18" t="s">
        <v>4288</v>
      </c>
      <c r="C97" s="17" t="s">
        <v>8</v>
      </c>
      <c r="D97" s="17" t="s">
        <v>36</v>
      </c>
      <c r="E97" s="19">
        <v>2051999</v>
      </c>
      <c r="F97" s="20">
        <f t="shared" si="8"/>
        <v>1990439.03</v>
      </c>
      <c r="G97" s="21">
        <f t="shared" si="9"/>
        <v>1928879.0599999998</v>
      </c>
      <c r="H97" s="17">
        <v>822.47</v>
      </c>
      <c r="I97" s="17">
        <v>608.70000000000005</v>
      </c>
      <c r="J97" s="17">
        <v>213.77</v>
      </c>
      <c r="K97" s="17" t="s">
        <v>861</v>
      </c>
    </row>
    <row r="98" spans="1:11">
      <c r="A98" s="17">
        <v>95</v>
      </c>
      <c r="B98" s="18" t="s">
        <v>828</v>
      </c>
      <c r="C98" s="17" t="s">
        <v>9</v>
      </c>
      <c r="D98" s="17" t="s">
        <v>36</v>
      </c>
      <c r="E98" s="19">
        <v>2047999</v>
      </c>
      <c r="F98" s="20">
        <f t="shared" si="8"/>
        <v>1986559.03</v>
      </c>
      <c r="G98" s="21">
        <f t="shared" si="9"/>
        <v>1925119.0599999998</v>
      </c>
      <c r="H98" s="17">
        <v>810.63</v>
      </c>
      <c r="I98" s="17">
        <v>621.08000000000004</v>
      </c>
      <c r="J98" s="17">
        <v>189.55</v>
      </c>
      <c r="K98" s="17" t="s">
        <v>39</v>
      </c>
    </row>
    <row r="99" spans="1:11">
      <c r="A99" s="17">
        <v>96</v>
      </c>
      <c r="B99" s="18" t="s">
        <v>829</v>
      </c>
      <c r="C99" s="17" t="s">
        <v>9</v>
      </c>
      <c r="D99" s="17" t="s">
        <v>36</v>
      </c>
      <c r="E99" s="19">
        <v>2047999</v>
      </c>
      <c r="F99" s="20">
        <f t="shared" si="8"/>
        <v>1986559.03</v>
      </c>
      <c r="G99" s="21">
        <f t="shared" si="9"/>
        <v>1925119.0599999998</v>
      </c>
      <c r="H99" s="17">
        <v>810.63</v>
      </c>
      <c r="I99" s="17">
        <v>621.08000000000004</v>
      </c>
      <c r="J99" s="17">
        <v>189.55</v>
      </c>
      <c r="K99" s="17" t="s">
        <v>39</v>
      </c>
    </row>
    <row r="100" spans="1:11">
      <c r="A100" s="17">
        <v>97</v>
      </c>
      <c r="B100" s="18" t="s">
        <v>830</v>
      </c>
      <c r="C100" s="17" t="s">
        <v>9</v>
      </c>
      <c r="D100" s="17" t="s">
        <v>36</v>
      </c>
      <c r="E100" s="19">
        <v>2046999</v>
      </c>
      <c r="F100" s="20">
        <f t="shared" si="8"/>
        <v>1985589.03</v>
      </c>
      <c r="G100" s="21">
        <f t="shared" si="9"/>
        <v>1924179.0599999998</v>
      </c>
      <c r="H100" s="17">
        <v>822.58</v>
      </c>
      <c r="I100" s="17">
        <v>608.80999999999995</v>
      </c>
      <c r="J100" s="17">
        <v>213.77</v>
      </c>
      <c r="K100" s="17" t="s">
        <v>861</v>
      </c>
    </row>
    <row r="101" spans="1:11">
      <c r="A101" s="17">
        <v>98</v>
      </c>
      <c r="B101" s="18" t="s">
        <v>831</v>
      </c>
      <c r="C101" s="17" t="s">
        <v>10</v>
      </c>
      <c r="D101" s="17" t="s">
        <v>36</v>
      </c>
      <c r="E101" s="19">
        <v>2042999</v>
      </c>
      <c r="F101" s="20">
        <f t="shared" si="8"/>
        <v>1981709.03</v>
      </c>
      <c r="G101" s="21">
        <f t="shared" si="9"/>
        <v>1920419.0599999998</v>
      </c>
      <c r="H101" s="17">
        <v>810.63</v>
      </c>
      <c r="I101" s="17">
        <v>621.08000000000004</v>
      </c>
      <c r="J101" s="17">
        <v>189.55</v>
      </c>
      <c r="K101" s="17" t="s">
        <v>39</v>
      </c>
    </row>
    <row r="102" spans="1:11">
      <c r="A102" s="17">
        <v>99</v>
      </c>
      <c r="B102" s="18" t="s">
        <v>832</v>
      </c>
      <c r="C102" s="17" t="s">
        <v>10</v>
      </c>
      <c r="D102" s="17" t="s">
        <v>36</v>
      </c>
      <c r="E102" s="19">
        <v>2042999</v>
      </c>
      <c r="F102" s="20">
        <f t="shared" si="8"/>
        <v>1981709.03</v>
      </c>
      <c r="G102" s="21">
        <f t="shared" si="9"/>
        <v>1920419.0599999998</v>
      </c>
      <c r="H102" s="17">
        <v>810.63</v>
      </c>
      <c r="I102" s="17">
        <v>621.08000000000004</v>
      </c>
      <c r="J102" s="17">
        <v>189.55</v>
      </c>
      <c r="K102" s="17" t="s">
        <v>39</v>
      </c>
    </row>
    <row r="103" spans="1:11">
      <c r="A103" s="17">
        <v>100</v>
      </c>
      <c r="B103" s="18" t="s">
        <v>833</v>
      </c>
      <c r="C103" s="17" t="s">
        <v>10</v>
      </c>
      <c r="D103" s="17" t="s">
        <v>36</v>
      </c>
      <c r="E103" s="19">
        <v>2041999</v>
      </c>
      <c r="F103" s="20">
        <f t="shared" si="8"/>
        <v>1980739.03</v>
      </c>
      <c r="G103" s="21">
        <f t="shared" si="9"/>
        <v>1919479.0599999998</v>
      </c>
      <c r="H103" s="17">
        <v>822.58</v>
      </c>
      <c r="I103" s="17">
        <v>608.80999999999995</v>
      </c>
      <c r="J103" s="17">
        <v>213.77</v>
      </c>
      <c r="K103" s="17" t="s">
        <v>861</v>
      </c>
    </row>
    <row r="104" spans="1:11">
      <c r="A104" s="17">
        <v>101</v>
      </c>
      <c r="B104" s="18" t="s">
        <v>834</v>
      </c>
      <c r="C104" s="17" t="s">
        <v>3</v>
      </c>
      <c r="D104" s="17" t="s">
        <v>36</v>
      </c>
      <c r="E104" s="19">
        <v>2037999</v>
      </c>
      <c r="F104" s="20">
        <f t="shared" si="8"/>
        <v>1976859.03</v>
      </c>
      <c r="G104" s="21">
        <f t="shared" si="9"/>
        <v>1915719.0599999998</v>
      </c>
      <c r="H104" s="17">
        <v>810.63</v>
      </c>
      <c r="I104" s="17">
        <v>621.08000000000004</v>
      </c>
      <c r="J104" s="17">
        <v>189.55</v>
      </c>
      <c r="K104" s="17" t="s">
        <v>39</v>
      </c>
    </row>
    <row r="105" spans="1:11">
      <c r="A105" s="17">
        <v>102</v>
      </c>
      <c r="B105" s="18" t="s">
        <v>835</v>
      </c>
      <c r="C105" s="17" t="s">
        <v>3</v>
      </c>
      <c r="D105" s="17" t="s">
        <v>36</v>
      </c>
      <c r="E105" s="19">
        <v>2037999</v>
      </c>
      <c r="F105" s="20">
        <f t="shared" si="8"/>
        <v>1976859.03</v>
      </c>
      <c r="G105" s="21">
        <f t="shared" si="9"/>
        <v>1915719.0599999998</v>
      </c>
      <c r="H105" s="17">
        <v>810.63</v>
      </c>
      <c r="I105" s="17">
        <v>621.08000000000004</v>
      </c>
      <c r="J105" s="17">
        <v>189.55</v>
      </c>
      <c r="K105" s="17" t="s">
        <v>39</v>
      </c>
    </row>
    <row r="106" spans="1:11">
      <c r="A106" s="17">
        <v>103</v>
      </c>
      <c r="B106" s="18" t="s">
        <v>836</v>
      </c>
      <c r="C106" s="17" t="s">
        <v>3</v>
      </c>
      <c r="D106" s="17" t="s">
        <v>36</v>
      </c>
      <c r="E106" s="19">
        <v>2036999</v>
      </c>
      <c r="F106" s="20">
        <f t="shared" ref="F106" si="10">E106*0.97</f>
        <v>1975889.03</v>
      </c>
      <c r="G106" s="21">
        <f t="shared" ref="G106" si="11">E106*0.94</f>
        <v>1914779.0599999998</v>
      </c>
      <c r="H106" s="17">
        <v>822.58</v>
      </c>
      <c r="I106" s="17">
        <v>608.80999999999995</v>
      </c>
      <c r="J106" s="17">
        <v>213.77</v>
      </c>
      <c r="K106" s="17" t="s">
        <v>861</v>
      </c>
    </row>
    <row r="107" spans="1:11">
      <c r="A107" s="17">
        <v>104</v>
      </c>
      <c r="B107" s="18" t="s">
        <v>4819</v>
      </c>
      <c r="C107" s="1" t="s">
        <v>8</v>
      </c>
      <c r="D107" s="17" t="s">
        <v>36</v>
      </c>
      <c r="E107" s="19">
        <v>2150000</v>
      </c>
      <c r="F107" s="20">
        <f t="shared" ref="F107:F112" si="12">E107*0.97</f>
        <v>2085500</v>
      </c>
      <c r="G107" s="21">
        <f t="shared" ref="G107:G112" si="13">E107*0.94</f>
        <v>2021000</v>
      </c>
      <c r="H107" s="1">
        <v>789.21</v>
      </c>
      <c r="I107" s="1">
        <v>575.44000000000005</v>
      </c>
      <c r="J107" s="1">
        <v>213.77</v>
      </c>
      <c r="K107" s="1" t="s">
        <v>860</v>
      </c>
    </row>
    <row r="108" spans="1:11">
      <c r="A108" s="17">
        <v>105</v>
      </c>
      <c r="B108" s="18" t="s">
        <v>4820</v>
      </c>
      <c r="C108" s="1" t="s">
        <v>9</v>
      </c>
      <c r="D108" s="17" t="s">
        <v>36</v>
      </c>
      <c r="E108" s="19">
        <v>2150000</v>
      </c>
      <c r="F108" s="20">
        <f t="shared" si="12"/>
        <v>2085500</v>
      </c>
      <c r="G108" s="21">
        <f t="shared" si="13"/>
        <v>2021000</v>
      </c>
      <c r="H108" s="1">
        <v>789.1</v>
      </c>
      <c r="I108" s="1">
        <v>575.44000000000005</v>
      </c>
      <c r="J108" s="1">
        <v>213.66</v>
      </c>
      <c r="K108" s="1" t="s">
        <v>860</v>
      </c>
    </row>
    <row r="109" spans="1:11">
      <c r="A109" s="17">
        <v>106</v>
      </c>
      <c r="B109" s="18" t="s">
        <v>4911</v>
      </c>
      <c r="C109" s="1" t="s">
        <v>4459</v>
      </c>
      <c r="D109" s="17" t="s">
        <v>36</v>
      </c>
      <c r="E109" s="19">
        <v>1972999</v>
      </c>
      <c r="F109" s="20">
        <f t="shared" si="12"/>
        <v>1913809.03</v>
      </c>
      <c r="G109" s="21">
        <f t="shared" si="13"/>
        <v>1854619.0599999998</v>
      </c>
      <c r="H109" s="1">
        <v>789.1</v>
      </c>
      <c r="I109" s="1">
        <v>575.44000000000005</v>
      </c>
      <c r="J109" s="1">
        <v>213.66</v>
      </c>
      <c r="K109" s="1" t="s">
        <v>861</v>
      </c>
    </row>
    <row r="110" spans="1:11">
      <c r="A110" s="17">
        <v>107</v>
      </c>
      <c r="B110" s="18" t="s">
        <v>4912</v>
      </c>
      <c r="C110" s="1" t="s">
        <v>10</v>
      </c>
      <c r="D110" s="17" t="s">
        <v>36</v>
      </c>
      <c r="E110" s="19">
        <v>1972999</v>
      </c>
      <c r="F110" s="20">
        <f t="shared" si="12"/>
        <v>1913809.03</v>
      </c>
      <c r="G110" s="21">
        <f t="shared" si="13"/>
        <v>1854619.0599999998</v>
      </c>
      <c r="H110" s="1">
        <v>789.1</v>
      </c>
      <c r="I110" s="1">
        <v>575.44000000000005</v>
      </c>
      <c r="J110" s="1">
        <v>213.66</v>
      </c>
      <c r="K110" s="1" t="s">
        <v>860</v>
      </c>
    </row>
    <row r="111" spans="1:11">
      <c r="A111" s="17">
        <v>108</v>
      </c>
      <c r="B111" s="18" t="s">
        <v>4913</v>
      </c>
      <c r="C111" s="1" t="s">
        <v>5</v>
      </c>
      <c r="D111" s="17" t="s">
        <v>36</v>
      </c>
      <c r="E111" s="19">
        <v>1967999</v>
      </c>
      <c r="F111" s="20">
        <f t="shared" si="12"/>
        <v>1908959.03</v>
      </c>
      <c r="G111" s="21">
        <f t="shared" si="13"/>
        <v>1849919.0599999998</v>
      </c>
      <c r="H111" s="1">
        <v>789.1</v>
      </c>
      <c r="I111" s="1">
        <v>575.44000000000005</v>
      </c>
      <c r="J111" s="1">
        <v>213.66</v>
      </c>
      <c r="K111" s="1" t="s">
        <v>861</v>
      </c>
    </row>
    <row r="112" spans="1:11">
      <c r="A112" s="17">
        <v>109</v>
      </c>
      <c r="B112" s="18" t="s">
        <v>4914</v>
      </c>
      <c r="C112" s="1" t="s">
        <v>4</v>
      </c>
      <c r="D112" s="17" t="s">
        <v>36</v>
      </c>
      <c r="E112" s="19">
        <v>1963999</v>
      </c>
      <c r="F112" s="20">
        <f t="shared" si="12"/>
        <v>1905079.03</v>
      </c>
      <c r="G112" s="21">
        <f t="shared" si="13"/>
        <v>1846159.0599999998</v>
      </c>
      <c r="H112" s="1">
        <v>789.21</v>
      </c>
      <c r="I112" s="1">
        <v>575.44000000000005</v>
      </c>
      <c r="J112" s="1">
        <v>213.77</v>
      </c>
      <c r="K112" s="1" t="s">
        <v>861</v>
      </c>
    </row>
    <row r="113" spans="1:11">
      <c r="A113" s="17">
        <v>110</v>
      </c>
      <c r="B113" s="18" t="s">
        <v>4289</v>
      </c>
      <c r="C113" s="1" t="s">
        <v>7</v>
      </c>
      <c r="D113" s="1" t="s">
        <v>36</v>
      </c>
      <c r="E113" s="19">
        <v>2089999</v>
      </c>
      <c r="F113" s="20">
        <f t="shared" ref="F113:F176" si="14">E113*0.97</f>
        <v>2027299.03</v>
      </c>
      <c r="G113" s="21">
        <f t="shared" ref="G113:G176" si="15">E113*0.94</f>
        <v>1964599.0599999998</v>
      </c>
      <c r="H113" s="1">
        <v>789.21</v>
      </c>
      <c r="I113" s="1">
        <v>575.44000000000005</v>
      </c>
      <c r="J113" s="1">
        <v>213.77</v>
      </c>
      <c r="K113" s="1" t="s">
        <v>861</v>
      </c>
    </row>
    <row r="114" spans="1:11">
      <c r="A114" s="17">
        <v>111</v>
      </c>
      <c r="B114" s="18" t="s">
        <v>4915</v>
      </c>
      <c r="C114" s="1" t="s">
        <v>3</v>
      </c>
      <c r="D114" s="1" t="s">
        <v>36</v>
      </c>
      <c r="E114" s="19">
        <v>1948999</v>
      </c>
      <c r="F114" s="20">
        <f t="shared" si="14"/>
        <v>1890529.03</v>
      </c>
      <c r="G114" s="21">
        <f t="shared" si="15"/>
        <v>1832059.0599999998</v>
      </c>
      <c r="H114" s="1">
        <v>713.75</v>
      </c>
      <c r="I114" s="1">
        <v>555.63</v>
      </c>
      <c r="J114" s="1">
        <v>158.12</v>
      </c>
      <c r="K114" s="1" t="s">
        <v>4877</v>
      </c>
    </row>
    <row r="115" spans="1:11">
      <c r="A115" s="17">
        <v>112</v>
      </c>
      <c r="B115" s="18" t="s">
        <v>4290</v>
      </c>
      <c r="C115" s="1" t="s">
        <v>8</v>
      </c>
      <c r="D115" s="1" t="s">
        <v>36</v>
      </c>
      <c r="E115" s="19">
        <v>2064999</v>
      </c>
      <c r="F115" s="20">
        <f t="shared" si="14"/>
        <v>2003049.03</v>
      </c>
      <c r="G115" s="21">
        <f t="shared" si="15"/>
        <v>1941099.0599999998</v>
      </c>
      <c r="H115" s="1">
        <v>789.21</v>
      </c>
      <c r="I115" s="1">
        <v>575.44000000000005</v>
      </c>
      <c r="J115" s="1">
        <v>213.77</v>
      </c>
      <c r="K115" s="1" t="s">
        <v>861</v>
      </c>
    </row>
    <row r="116" spans="1:11">
      <c r="A116" s="17">
        <v>113</v>
      </c>
      <c r="B116" s="18" t="s">
        <v>837</v>
      </c>
      <c r="C116" s="1" t="s">
        <v>9</v>
      </c>
      <c r="D116" s="1" t="s">
        <v>36</v>
      </c>
      <c r="E116" s="19">
        <v>2059999</v>
      </c>
      <c r="F116" s="20">
        <f t="shared" si="14"/>
        <v>1998199.03</v>
      </c>
      <c r="G116" s="21">
        <f t="shared" si="15"/>
        <v>1936399.0599999998</v>
      </c>
      <c r="H116" s="1">
        <v>789.1</v>
      </c>
      <c r="I116" s="1">
        <v>575.44000000000005</v>
      </c>
      <c r="J116" s="1">
        <v>213.66</v>
      </c>
      <c r="K116" s="1" t="s">
        <v>861</v>
      </c>
    </row>
    <row r="117" spans="1:11">
      <c r="A117" s="17">
        <v>114</v>
      </c>
      <c r="B117" s="18" t="s">
        <v>838</v>
      </c>
      <c r="C117" s="1" t="s">
        <v>10</v>
      </c>
      <c r="D117" s="1" t="s">
        <v>36</v>
      </c>
      <c r="E117" s="19">
        <v>2054999</v>
      </c>
      <c r="F117" s="20">
        <f t="shared" si="14"/>
        <v>1993349.03</v>
      </c>
      <c r="G117" s="21">
        <f t="shared" si="15"/>
        <v>1931699.0599999998</v>
      </c>
      <c r="H117" s="1">
        <v>789.1</v>
      </c>
      <c r="I117" s="1">
        <v>575.44000000000005</v>
      </c>
      <c r="J117" s="1">
        <v>213.66</v>
      </c>
      <c r="K117" s="1" t="s">
        <v>861</v>
      </c>
    </row>
    <row r="118" spans="1:11">
      <c r="A118" s="17">
        <v>115</v>
      </c>
      <c r="B118" s="18" t="s">
        <v>839</v>
      </c>
      <c r="C118" s="1" t="s">
        <v>3</v>
      </c>
      <c r="D118" s="1" t="s">
        <v>36</v>
      </c>
      <c r="E118" s="19">
        <v>2034999</v>
      </c>
      <c r="F118" s="20">
        <f t="shared" si="14"/>
        <v>1973949.03</v>
      </c>
      <c r="G118" s="21">
        <f t="shared" si="15"/>
        <v>1912899.0599999998</v>
      </c>
      <c r="H118" s="1">
        <v>789.1</v>
      </c>
      <c r="I118" s="1">
        <v>575.44000000000005</v>
      </c>
      <c r="J118" s="1">
        <v>213.66</v>
      </c>
      <c r="K118" s="1" t="s">
        <v>861</v>
      </c>
    </row>
    <row r="119" spans="1:11">
      <c r="A119" s="17">
        <v>116</v>
      </c>
      <c r="B119" s="18" t="s">
        <v>4821</v>
      </c>
      <c r="C119" s="1" t="s">
        <v>4495</v>
      </c>
      <c r="D119" s="1" t="s">
        <v>36</v>
      </c>
      <c r="E119" s="19">
        <v>2307999</v>
      </c>
      <c r="F119" s="20">
        <f t="shared" si="14"/>
        <v>2238759.0299999998</v>
      </c>
      <c r="G119" s="21">
        <f t="shared" si="15"/>
        <v>2169519.06</v>
      </c>
      <c r="H119" s="1">
        <v>783.72</v>
      </c>
      <c r="I119" s="1">
        <v>639.59</v>
      </c>
      <c r="J119" s="1">
        <v>144.13</v>
      </c>
      <c r="K119" s="1" t="s">
        <v>4877</v>
      </c>
    </row>
    <row r="120" spans="1:11">
      <c r="A120" s="17">
        <v>117</v>
      </c>
      <c r="B120" s="18" t="s">
        <v>840</v>
      </c>
      <c r="C120" s="1" t="s">
        <v>32</v>
      </c>
      <c r="D120" s="1" t="s">
        <v>36</v>
      </c>
      <c r="E120" s="19">
        <v>2539999</v>
      </c>
      <c r="F120" s="20">
        <f t="shared" si="14"/>
        <v>2463799.0299999998</v>
      </c>
      <c r="G120" s="21">
        <f t="shared" si="15"/>
        <v>2387599.06</v>
      </c>
      <c r="H120" s="1">
        <v>1027.2</v>
      </c>
      <c r="I120" s="1">
        <v>647.88</v>
      </c>
      <c r="J120" s="1">
        <v>379.32</v>
      </c>
      <c r="K120" s="1" t="s">
        <v>861</v>
      </c>
    </row>
    <row r="121" spans="1:11">
      <c r="A121" s="17">
        <v>118</v>
      </c>
      <c r="B121" s="18" t="s">
        <v>4822</v>
      </c>
      <c r="C121" s="1" t="s">
        <v>9</v>
      </c>
      <c r="D121" s="1" t="s">
        <v>36</v>
      </c>
      <c r="E121" s="19">
        <v>2539999</v>
      </c>
      <c r="F121" s="20">
        <f t="shared" si="14"/>
        <v>2463799.0299999998</v>
      </c>
      <c r="G121" s="21">
        <f t="shared" si="15"/>
        <v>2387599.06</v>
      </c>
      <c r="H121" s="1">
        <v>1027.2</v>
      </c>
      <c r="I121" s="1">
        <v>647.88</v>
      </c>
      <c r="J121" s="1">
        <v>379.32</v>
      </c>
      <c r="K121" s="1" t="s">
        <v>860</v>
      </c>
    </row>
    <row r="122" spans="1:11">
      <c r="A122" s="17">
        <v>119</v>
      </c>
      <c r="B122" s="18" t="s">
        <v>4823</v>
      </c>
      <c r="C122" s="1" t="s">
        <v>10</v>
      </c>
      <c r="D122" s="1" t="s">
        <v>36</v>
      </c>
      <c r="E122" s="19">
        <v>2301999</v>
      </c>
      <c r="F122" s="20">
        <f t="shared" si="14"/>
        <v>2232939.0299999998</v>
      </c>
      <c r="G122" s="21">
        <f t="shared" si="15"/>
        <v>2163879.06</v>
      </c>
      <c r="H122" s="1">
        <v>907.83</v>
      </c>
      <c r="I122" s="1">
        <v>663.38</v>
      </c>
      <c r="J122" s="1">
        <v>244.45</v>
      </c>
      <c r="K122" s="1" t="s">
        <v>4878</v>
      </c>
    </row>
    <row r="123" spans="1:11">
      <c r="A123" s="17">
        <v>120</v>
      </c>
      <c r="B123" s="18" t="s">
        <v>4824</v>
      </c>
      <c r="C123" s="1" t="s">
        <v>10</v>
      </c>
      <c r="D123" s="1" t="s">
        <v>36</v>
      </c>
      <c r="E123" s="19">
        <v>2301999</v>
      </c>
      <c r="F123" s="20">
        <f t="shared" si="14"/>
        <v>2232939.0299999998</v>
      </c>
      <c r="G123" s="21">
        <f t="shared" si="15"/>
        <v>2163879.06</v>
      </c>
      <c r="H123" s="1">
        <v>907.83</v>
      </c>
      <c r="I123" s="1">
        <v>663.38</v>
      </c>
      <c r="J123" s="1">
        <v>244.45</v>
      </c>
      <c r="K123" s="1" t="s">
        <v>4878</v>
      </c>
    </row>
    <row r="124" spans="1:11">
      <c r="A124" s="17">
        <v>121</v>
      </c>
      <c r="B124" s="18" t="s">
        <v>4825</v>
      </c>
      <c r="C124" s="1" t="s">
        <v>4463</v>
      </c>
      <c r="D124" s="1" t="s">
        <v>36</v>
      </c>
      <c r="E124" s="19">
        <v>2301999</v>
      </c>
      <c r="F124" s="20">
        <f t="shared" si="14"/>
        <v>2232939.0299999998</v>
      </c>
      <c r="G124" s="21">
        <f t="shared" si="15"/>
        <v>2163879.06</v>
      </c>
      <c r="H124" s="1">
        <v>790.72</v>
      </c>
      <c r="I124" s="1">
        <v>632.6</v>
      </c>
      <c r="J124" s="1">
        <v>158.12</v>
      </c>
      <c r="K124" s="1" t="s">
        <v>4877</v>
      </c>
    </row>
    <row r="125" spans="1:11">
      <c r="A125" s="17">
        <v>122</v>
      </c>
      <c r="B125" s="18" t="s">
        <v>841</v>
      </c>
      <c r="C125" s="1" t="s">
        <v>4459</v>
      </c>
      <c r="D125" s="1" t="s">
        <v>36</v>
      </c>
      <c r="E125" s="19">
        <v>2529999</v>
      </c>
      <c r="F125" s="20">
        <f t="shared" si="14"/>
        <v>2454099.0299999998</v>
      </c>
      <c r="G125" s="21">
        <f t="shared" si="15"/>
        <v>2378199.06</v>
      </c>
      <c r="H125" s="1">
        <v>1027.2</v>
      </c>
      <c r="I125" s="1">
        <v>647.88</v>
      </c>
      <c r="J125" s="1">
        <v>379.32</v>
      </c>
      <c r="K125" s="1" t="s">
        <v>861</v>
      </c>
    </row>
    <row r="126" spans="1:11">
      <c r="A126" s="17">
        <v>123</v>
      </c>
      <c r="B126" s="18" t="s">
        <v>4826</v>
      </c>
      <c r="C126" s="1" t="s">
        <v>10</v>
      </c>
      <c r="D126" s="1" t="s">
        <v>36</v>
      </c>
      <c r="E126" s="19">
        <v>2529999</v>
      </c>
      <c r="F126" s="20">
        <f t="shared" si="14"/>
        <v>2454099.0299999998</v>
      </c>
      <c r="G126" s="21">
        <f t="shared" si="15"/>
        <v>2378199.06</v>
      </c>
      <c r="H126" s="1">
        <v>1027.2</v>
      </c>
      <c r="I126" s="1">
        <v>647.88</v>
      </c>
      <c r="J126" s="1">
        <v>379.32</v>
      </c>
      <c r="K126" s="1" t="s">
        <v>860</v>
      </c>
    </row>
    <row r="127" spans="1:11">
      <c r="A127" s="17">
        <v>124</v>
      </c>
      <c r="B127" s="18" t="s">
        <v>4827</v>
      </c>
      <c r="C127" s="1" t="s">
        <v>3</v>
      </c>
      <c r="D127" s="1" t="s">
        <v>36</v>
      </c>
      <c r="E127" s="19">
        <v>2296999</v>
      </c>
      <c r="F127" s="20">
        <f t="shared" si="14"/>
        <v>2228089.0299999998</v>
      </c>
      <c r="G127" s="21">
        <f t="shared" si="15"/>
        <v>2159179.06</v>
      </c>
      <c r="H127" s="1">
        <v>907.72</v>
      </c>
      <c r="I127" s="1">
        <v>663.27</v>
      </c>
      <c r="J127" s="1">
        <v>244.45</v>
      </c>
      <c r="K127" s="1" t="s">
        <v>4878</v>
      </c>
    </row>
    <row r="128" spans="1:11">
      <c r="A128" s="17">
        <v>125</v>
      </c>
      <c r="B128" s="18" t="s">
        <v>4828</v>
      </c>
      <c r="C128" s="1" t="s">
        <v>4459</v>
      </c>
      <c r="D128" s="1" t="s">
        <v>24</v>
      </c>
      <c r="E128" s="19">
        <v>3154999</v>
      </c>
      <c r="F128" s="20">
        <f t="shared" si="14"/>
        <v>3060349.03</v>
      </c>
      <c r="G128" s="21">
        <f t="shared" si="15"/>
        <v>2965699.06</v>
      </c>
      <c r="H128" s="1">
        <v>1301.47</v>
      </c>
      <c r="I128" s="1">
        <v>908.37</v>
      </c>
      <c r="J128" s="1">
        <v>393.1</v>
      </c>
      <c r="K128" s="1" t="s">
        <v>859</v>
      </c>
    </row>
    <row r="129" spans="1:11">
      <c r="A129" s="17">
        <v>126</v>
      </c>
      <c r="B129" s="18" t="s">
        <v>842</v>
      </c>
      <c r="C129" s="1" t="s">
        <v>5</v>
      </c>
      <c r="D129" s="1" t="s">
        <v>24</v>
      </c>
      <c r="E129" s="19">
        <v>3149999</v>
      </c>
      <c r="F129" s="20">
        <f t="shared" si="14"/>
        <v>3055499.03</v>
      </c>
      <c r="G129" s="21">
        <f t="shared" si="15"/>
        <v>2960999.06</v>
      </c>
      <c r="H129" s="1">
        <v>1301.47</v>
      </c>
      <c r="I129" s="1">
        <v>908.37</v>
      </c>
      <c r="J129" s="1">
        <v>393.1</v>
      </c>
      <c r="K129" s="1" t="s">
        <v>859</v>
      </c>
    </row>
    <row r="130" spans="1:11">
      <c r="A130" s="17">
        <v>127</v>
      </c>
      <c r="B130" s="18" t="s">
        <v>843</v>
      </c>
      <c r="C130" s="1" t="s">
        <v>4459</v>
      </c>
      <c r="D130" s="1" t="s">
        <v>24</v>
      </c>
      <c r="E130" s="19">
        <v>3129999</v>
      </c>
      <c r="F130" s="20">
        <f t="shared" si="14"/>
        <v>3036099.03</v>
      </c>
      <c r="G130" s="21">
        <f t="shared" si="15"/>
        <v>2942199.06</v>
      </c>
      <c r="H130" s="1">
        <v>1276.17</v>
      </c>
      <c r="I130" s="1">
        <v>908.37</v>
      </c>
      <c r="J130" s="1">
        <v>367.8</v>
      </c>
      <c r="K130" s="1" t="s">
        <v>859</v>
      </c>
    </row>
    <row r="131" spans="1:11">
      <c r="A131" s="17">
        <v>128</v>
      </c>
      <c r="B131" s="18" t="s">
        <v>844</v>
      </c>
      <c r="C131" s="1" t="s">
        <v>5</v>
      </c>
      <c r="D131" s="1" t="s">
        <v>24</v>
      </c>
      <c r="E131" s="19">
        <v>3124999</v>
      </c>
      <c r="F131" s="20">
        <f t="shared" si="14"/>
        <v>3031249.03</v>
      </c>
      <c r="G131" s="21">
        <f t="shared" si="15"/>
        <v>2937499.06</v>
      </c>
      <c r="H131" s="1">
        <v>1276.17</v>
      </c>
      <c r="I131" s="1">
        <v>908.37</v>
      </c>
      <c r="J131" s="1">
        <v>367.8</v>
      </c>
      <c r="K131" s="1" t="s">
        <v>859</v>
      </c>
    </row>
    <row r="132" spans="1:11">
      <c r="A132" s="17">
        <v>129</v>
      </c>
      <c r="B132" s="18" t="s">
        <v>845</v>
      </c>
      <c r="C132" s="1" t="s">
        <v>9</v>
      </c>
      <c r="D132" s="1" t="s">
        <v>24</v>
      </c>
      <c r="E132" s="19">
        <v>3104999</v>
      </c>
      <c r="F132" s="20">
        <f t="shared" si="14"/>
        <v>3011849.03</v>
      </c>
      <c r="G132" s="21">
        <f t="shared" si="15"/>
        <v>2918699.06</v>
      </c>
      <c r="H132" s="1">
        <v>1301.47</v>
      </c>
      <c r="I132" s="1">
        <v>908.37</v>
      </c>
      <c r="J132" s="1">
        <v>393.1</v>
      </c>
      <c r="K132" s="1" t="s">
        <v>859</v>
      </c>
    </row>
    <row r="133" spans="1:11">
      <c r="A133" s="17">
        <v>130</v>
      </c>
      <c r="B133" s="18" t="s">
        <v>846</v>
      </c>
      <c r="C133" s="1" t="s">
        <v>10</v>
      </c>
      <c r="D133" s="1" t="s">
        <v>24</v>
      </c>
      <c r="E133" s="19">
        <v>3099999</v>
      </c>
      <c r="F133" s="20">
        <f t="shared" si="14"/>
        <v>3006999.03</v>
      </c>
      <c r="G133" s="21">
        <f t="shared" si="15"/>
        <v>2913999.06</v>
      </c>
      <c r="H133" s="1">
        <v>1301.47</v>
      </c>
      <c r="I133" s="1">
        <v>908.37</v>
      </c>
      <c r="J133" s="1">
        <v>393.1</v>
      </c>
      <c r="K133" s="1" t="s">
        <v>859</v>
      </c>
    </row>
    <row r="134" spans="1:11">
      <c r="A134" s="17">
        <v>131</v>
      </c>
      <c r="B134" s="18" t="s">
        <v>847</v>
      </c>
      <c r="C134" s="1" t="s">
        <v>9</v>
      </c>
      <c r="D134" s="1" t="s">
        <v>24</v>
      </c>
      <c r="E134" s="19">
        <v>3084999</v>
      </c>
      <c r="F134" s="20">
        <f t="shared" si="14"/>
        <v>2992449.03</v>
      </c>
      <c r="G134" s="21">
        <f t="shared" si="15"/>
        <v>2899899.06</v>
      </c>
      <c r="H134" s="1">
        <v>1276.17</v>
      </c>
      <c r="I134" s="1">
        <v>908.37</v>
      </c>
      <c r="J134" s="1">
        <v>367.8</v>
      </c>
      <c r="K134" s="1" t="s">
        <v>859</v>
      </c>
    </row>
    <row r="135" spans="1:11">
      <c r="A135" s="17">
        <v>132</v>
      </c>
      <c r="B135" s="18" t="s">
        <v>848</v>
      </c>
      <c r="C135" s="1" t="s">
        <v>10</v>
      </c>
      <c r="D135" s="1" t="s">
        <v>24</v>
      </c>
      <c r="E135" s="19">
        <v>3074999</v>
      </c>
      <c r="F135" s="20">
        <f t="shared" si="14"/>
        <v>2982749.03</v>
      </c>
      <c r="G135" s="21">
        <f t="shared" si="15"/>
        <v>2890499.06</v>
      </c>
      <c r="H135" s="1">
        <v>1276.17</v>
      </c>
      <c r="I135" s="1">
        <v>908.37</v>
      </c>
      <c r="J135" s="1">
        <v>367.8</v>
      </c>
      <c r="K135" s="1" t="s">
        <v>859</v>
      </c>
    </row>
    <row r="136" spans="1:11">
      <c r="A136" s="17">
        <v>133</v>
      </c>
      <c r="B136" s="18" t="s">
        <v>849</v>
      </c>
      <c r="C136" s="1" t="s">
        <v>10</v>
      </c>
      <c r="D136" s="1" t="s">
        <v>24</v>
      </c>
      <c r="E136" s="19">
        <v>2979999</v>
      </c>
      <c r="F136" s="20">
        <f t="shared" si="14"/>
        <v>2890599.03</v>
      </c>
      <c r="G136" s="21">
        <f t="shared" si="15"/>
        <v>2801199.06</v>
      </c>
      <c r="H136" s="1">
        <v>1089.6300000000001</v>
      </c>
      <c r="I136" s="1">
        <v>904.17</v>
      </c>
      <c r="J136" s="1">
        <v>185.46</v>
      </c>
      <c r="K136" s="1" t="s">
        <v>860</v>
      </c>
    </row>
    <row r="137" spans="1:11">
      <c r="A137" s="17">
        <v>134</v>
      </c>
      <c r="B137" s="18" t="s">
        <v>4829</v>
      </c>
      <c r="C137" s="1" t="s">
        <v>33</v>
      </c>
      <c r="D137" s="1" t="s">
        <v>36</v>
      </c>
      <c r="E137" s="19">
        <v>2281999</v>
      </c>
      <c r="F137" s="20">
        <f t="shared" si="14"/>
        <v>2213539.0299999998</v>
      </c>
      <c r="G137" s="21">
        <f t="shared" si="15"/>
        <v>2145079.06</v>
      </c>
      <c r="H137" s="1">
        <v>790.72</v>
      </c>
      <c r="I137" s="1">
        <v>632.6</v>
      </c>
      <c r="J137" s="1">
        <v>158.12</v>
      </c>
      <c r="K137" s="1" t="s">
        <v>4877</v>
      </c>
    </row>
    <row r="138" spans="1:11">
      <c r="A138" s="17">
        <v>135</v>
      </c>
      <c r="B138" s="18" t="s">
        <v>850</v>
      </c>
      <c r="C138" s="1" t="s">
        <v>6</v>
      </c>
      <c r="D138" s="1" t="s">
        <v>36</v>
      </c>
      <c r="E138" s="19">
        <v>2509999</v>
      </c>
      <c r="F138" s="20">
        <f t="shared" si="14"/>
        <v>2434699.0299999998</v>
      </c>
      <c r="G138" s="21">
        <f t="shared" si="15"/>
        <v>2359399.06</v>
      </c>
      <c r="H138" s="1">
        <v>1027.2</v>
      </c>
      <c r="I138" s="1">
        <v>647.88</v>
      </c>
      <c r="J138" s="1">
        <v>379.32</v>
      </c>
      <c r="K138" s="1" t="s">
        <v>861</v>
      </c>
    </row>
    <row r="139" spans="1:11">
      <c r="A139" s="17">
        <v>136</v>
      </c>
      <c r="B139" s="18" t="s">
        <v>4830</v>
      </c>
      <c r="C139" s="1" t="s">
        <v>34</v>
      </c>
      <c r="D139" s="1" t="s">
        <v>36</v>
      </c>
      <c r="E139" s="19">
        <v>2276999</v>
      </c>
      <c r="F139" s="20">
        <f t="shared" si="14"/>
        <v>2208689.0299999998</v>
      </c>
      <c r="G139" s="21">
        <f t="shared" si="15"/>
        <v>2140379.06</v>
      </c>
      <c r="H139" s="1">
        <v>790.72</v>
      </c>
      <c r="I139" s="1">
        <v>632.6</v>
      </c>
      <c r="J139" s="1">
        <v>158.12</v>
      </c>
      <c r="K139" s="1" t="s">
        <v>4877</v>
      </c>
    </row>
    <row r="140" spans="1:11">
      <c r="A140" s="17">
        <v>137</v>
      </c>
      <c r="B140" s="18" t="s">
        <v>851</v>
      </c>
      <c r="C140" s="1" t="s">
        <v>7</v>
      </c>
      <c r="D140" s="1" t="s">
        <v>36</v>
      </c>
      <c r="E140" s="19">
        <v>2504999</v>
      </c>
      <c r="F140" s="20">
        <f t="shared" si="14"/>
        <v>2429849.0299999998</v>
      </c>
      <c r="G140" s="21">
        <f t="shared" si="15"/>
        <v>2354699.06</v>
      </c>
      <c r="H140" s="1">
        <v>1027.2</v>
      </c>
      <c r="I140" s="1">
        <v>647.88</v>
      </c>
      <c r="J140" s="1">
        <v>379.32</v>
      </c>
      <c r="K140" s="1" t="s">
        <v>861</v>
      </c>
    </row>
    <row r="141" spans="1:11">
      <c r="A141" s="17">
        <v>138</v>
      </c>
      <c r="B141" s="18" t="s">
        <v>852</v>
      </c>
      <c r="C141" s="1" t="s">
        <v>8</v>
      </c>
      <c r="D141" s="1" t="s">
        <v>36</v>
      </c>
      <c r="E141" s="19">
        <v>2494999</v>
      </c>
      <c r="F141" s="20">
        <f t="shared" si="14"/>
        <v>2420149.0299999998</v>
      </c>
      <c r="G141" s="21">
        <f t="shared" si="15"/>
        <v>2345299.06</v>
      </c>
      <c r="H141" s="1">
        <v>1027.2</v>
      </c>
      <c r="I141" s="1">
        <v>647.88</v>
      </c>
      <c r="J141" s="1">
        <v>379.32</v>
      </c>
      <c r="K141" s="1" t="s">
        <v>861</v>
      </c>
    </row>
    <row r="142" spans="1:11">
      <c r="A142" s="17">
        <v>139</v>
      </c>
      <c r="B142" s="18" t="s">
        <v>4831</v>
      </c>
      <c r="C142" s="1" t="s">
        <v>4494</v>
      </c>
      <c r="D142" s="1" t="s">
        <v>36</v>
      </c>
      <c r="E142" s="19">
        <v>2265999</v>
      </c>
      <c r="F142" s="20">
        <f t="shared" si="14"/>
        <v>2198019.0299999998</v>
      </c>
      <c r="G142" s="21">
        <f t="shared" si="15"/>
        <v>2130039.06</v>
      </c>
      <c r="H142" s="1">
        <v>784.58</v>
      </c>
      <c r="I142" s="1">
        <v>626.46</v>
      </c>
      <c r="J142" s="1">
        <v>158.12</v>
      </c>
      <c r="K142" s="1" t="s">
        <v>4877</v>
      </c>
    </row>
    <row r="143" spans="1:11">
      <c r="A143" s="17">
        <v>140</v>
      </c>
      <c r="B143" s="18" t="s">
        <v>4832</v>
      </c>
      <c r="C143" s="1" t="s">
        <v>11</v>
      </c>
      <c r="D143" s="1" t="s">
        <v>36</v>
      </c>
      <c r="E143" s="19">
        <v>2404999</v>
      </c>
      <c r="F143" s="20">
        <f t="shared" si="14"/>
        <v>2332849.0299999998</v>
      </c>
      <c r="G143" s="21">
        <f t="shared" si="15"/>
        <v>2260699.06</v>
      </c>
      <c r="H143" s="1">
        <v>958.21</v>
      </c>
      <c r="I143" s="1">
        <v>639.80999999999995</v>
      </c>
      <c r="J143" s="1">
        <v>318.39999999999998</v>
      </c>
      <c r="K143" s="1" t="s">
        <v>39</v>
      </c>
    </row>
    <row r="144" spans="1:11">
      <c r="A144" s="17">
        <v>141</v>
      </c>
      <c r="B144" s="18" t="s">
        <v>4833</v>
      </c>
      <c r="C144" s="1" t="s">
        <v>3</v>
      </c>
      <c r="D144" s="1" t="s">
        <v>36</v>
      </c>
      <c r="E144" s="19">
        <v>2241999</v>
      </c>
      <c r="F144" s="20">
        <f t="shared" si="14"/>
        <v>2174739.0299999998</v>
      </c>
      <c r="G144" s="21">
        <f t="shared" si="15"/>
        <v>2107479.06</v>
      </c>
      <c r="H144" s="1">
        <v>875.65</v>
      </c>
      <c r="I144" s="1">
        <v>650.36</v>
      </c>
      <c r="J144" s="1">
        <v>225.29</v>
      </c>
      <c r="K144" s="1" t="s">
        <v>4878</v>
      </c>
    </row>
    <row r="145" spans="1:11">
      <c r="A145" s="17">
        <v>142</v>
      </c>
      <c r="B145" s="18" t="s">
        <v>4834</v>
      </c>
      <c r="C145" s="1" t="s">
        <v>3</v>
      </c>
      <c r="D145" s="1" t="s">
        <v>36</v>
      </c>
      <c r="E145" s="19">
        <v>2241999</v>
      </c>
      <c r="F145" s="20">
        <f t="shared" si="14"/>
        <v>2174739.0299999998</v>
      </c>
      <c r="G145" s="21">
        <f t="shared" si="15"/>
        <v>2107479.06</v>
      </c>
      <c r="H145" s="1">
        <v>875.65</v>
      </c>
      <c r="I145" s="1">
        <v>650.36</v>
      </c>
      <c r="J145" s="1">
        <v>225.29</v>
      </c>
      <c r="K145" s="1" t="s">
        <v>4878</v>
      </c>
    </row>
    <row r="146" spans="1:11">
      <c r="A146" s="17">
        <v>143</v>
      </c>
      <c r="B146" s="18" t="s">
        <v>4835</v>
      </c>
      <c r="C146" s="1" t="s">
        <v>11</v>
      </c>
      <c r="D146" s="1" t="s">
        <v>36</v>
      </c>
      <c r="E146" s="19">
        <v>2241999</v>
      </c>
      <c r="F146" s="20">
        <f t="shared" si="14"/>
        <v>2174739.0299999998</v>
      </c>
      <c r="G146" s="21">
        <f t="shared" si="15"/>
        <v>2107479.06</v>
      </c>
      <c r="H146" s="1">
        <v>784.58</v>
      </c>
      <c r="I146" s="1">
        <v>626.46</v>
      </c>
      <c r="J146" s="1">
        <v>158.12</v>
      </c>
      <c r="K146" s="1" t="s">
        <v>4877</v>
      </c>
    </row>
    <row r="147" spans="1:11">
      <c r="A147" s="17">
        <v>144</v>
      </c>
      <c r="B147" s="18" t="s">
        <v>4836</v>
      </c>
      <c r="C147" s="1" t="s">
        <v>5</v>
      </c>
      <c r="D147" s="1" t="s">
        <v>36</v>
      </c>
      <c r="E147" s="19">
        <v>2241999</v>
      </c>
      <c r="F147" s="20">
        <f t="shared" si="14"/>
        <v>2174739.0299999998</v>
      </c>
      <c r="G147" s="21">
        <f t="shared" si="15"/>
        <v>2107479.06</v>
      </c>
      <c r="H147" s="1">
        <v>790.72</v>
      </c>
      <c r="I147" s="1">
        <v>632.6</v>
      </c>
      <c r="J147" s="1">
        <v>158.12</v>
      </c>
      <c r="K147" s="1" t="s">
        <v>4877</v>
      </c>
    </row>
    <row r="148" spans="1:11">
      <c r="A148" s="17">
        <v>145</v>
      </c>
      <c r="B148" s="18" t="s">
        <v>4837</v>
      </c>
      <c r="C148" s="1" t="s">
        <v>6</v>
      </c>
      <c r="D148" s="1" t="s">
        <v>36</v>
      </c>
      <c r="E148" s="19">
        <v>2241999</v>
      </c>
      <c r="F148" s="20">
        <f t="shared" si="14"/>
        <v>2174739.0299999998</v>
      </c>
      <c r="G148" s="21">
        <f t="shared" si="15"/>
        <v>2107479.06</v>
      </c>
      <c r="H148" s="1">
        <v>783.4</v>
      </c>
      <c r="I148" s="1">
        <v>639.59</v>
      </c>
      <c r="J148" s="1">
        <v>143.81</v>
      </c>
      <c r="K148" s="1" t="s">
        <v>4877</v>
      </c>
    </row>
    <row r="149" spans="1:11">
      <c r="A149" s="17">
        <v>146</v>
      </c>
      <c r="B149" s="18" t="s">
        <v>4838</v>
      </c>
      <c r="C149" s="1" t="s">
        <v>6</v>
      </c>
      <c r="D149" s="1" t="s">
        <v>36</v>
      </c>
      <c r="E149" s="19">
        <v>2241999</v>
      </c>
      <c r="F149" s="20">
        <f t="shared" si="14"/>
        <v>2174739.0299999998</v>
      </c>
      <c r="G149" s="21">
        <f t="shared" si="15"/>
        <v>2107479.06</v>
      </c>
      <c r="H149" s="1">
        <v>783.4</v>
      </c>
      <c r="I149" s="1">
        <v>639.59</v>
      </c>
      <c r="J149" s="1">
        <v>143.81</v>
      </c>
      <c r="K149" s="1" t="s">
        <v>4877</v>
      </c>
    </row>
    <row r="150" spans="1:11">
      <c r="A150" s="17">
        <v>147</v>
      </c>
      <c r="B150" s="18" t="s">
        <v>4291</v>
      </c>
      <c r="C150" s="1" t="s">
        <v>12</v>
      </c>
      <c r="D150" s="1" t="s">
        <v>36</v>
      </c>
      <c r="E150" s="19">
        <v>2394999</v>
      </c>
      <c r="F150" s="20">
        <f t="shared" si="14"/>
        <v>2323149.0299999998</v>
      </c>
      <c r="G150" s="21">
        <f t="shared" si="15"/>
        <v>2251299.06</v>
      </c>
      <c r="H150" s="1">
        <v>958.21</v>
      </c>
      <c r="I150" s="1">
        <v>639.80999999999995</v>
      </c>
      <c r="J150" s="1">
        <v>318.39999999999998</v>
      </c>
      <c r="K150" s="1" t="s">
        <v>39</v>
      </c>
    </row>
    <row r="151" spans="1:11">
      <c r="A151" s="17">
        <v>148</v>
      </c>
      <c r="B151" s="18" t="s">
        <v>4839</v>
      </c>
      <c r="C151" s="1" t="s">
        <v>4</v>
      </c>
      <c r="D151" s="1" t="s">
        <v>36</v>
      </c>
      <c r="E151" s="19">
        <v>2236999</v>
      </c>
      <c r="F151" s="20">
        <f t="shared" si="14"/>
        <v>2169889.0299999998</v>
      </c>
      <c r="G151" s="21">
        <f t="shared" si="15"/>
        <v>2102779.06</v>
      </c>
      <c r="H151" s="1">
        <v>790.72</v>
      </c>
      <c r="I151" s="1">
        <v>632.6</v>
      </c>
      <c r="J151" s="1">
        <v>158.12</v>
      </c>
      <c r="K151" s="1" t="s">
        <v>4877</v>
      </c>
    </row>
    <row r="152" spans="1:11">
      <c r="A152" s="17">
        <v>149</v>
      </c>
      <c r="B152" s="18" t="s">
        <v>4840</v>
      </c>
      <c r="C152" s="1" t="s">
        <v>7</v>
      </c>
      <c r="D152" s="1" t="s">
        <v>36</v>
      </c>
      <c r="E152" s="19">
        <v>2236999</v>
      </c>
      <c r="F152" s="20">
        <f t="shared" si="14"/>
        <v>2169889.0299999998</v>
      </c>
      <c r="G152" s="21">
        <f t="shared" si="15"/>
        <v>2102779.06</v>
      </c>
      <c r="H152" s="1">
        <v>783.4</v>
      </c>
      <c r="I152" s="1">
        <v>639.59</v>
      </c>
      <c r="J152" s="1">
        <v>143.81</v>
      </c>
      <c r="K152" s="1" t="s">
        <v>4877</v>
      </c>
    </row>
    <row r="153" spans="1:11">
      <c r="A153" s="17">
        <v>150</v>
      </c>
      <c r="B153" s="18" t="s">
        <v>4292</v>
      </c>
      <c r="C153" s="1" t="s">
        <v>3</v>
      </c>
      <c r="D153" s="1" t="s">
        <v>36</v>
      </c>
      <c r="E153" s="19">
        <v>2234999</v>
      </c>
      <c r="F153" s="20">
        <f t="shared" si="14"/>
        <v>2167949.0299999998</v>
      </c>
      <c r="G153" s="21">
        <f t="shared" si="15"/>
        <v>2100899.06</v>
      </c>
      <c r="H153" s="1">
        <v>856.92</v>
      </c>
      <c r="I153" s="1">
        <v>686.63</v>
      </c>
      <c r="J153" s="1">
        <v>170.29</v>
      </c>
      <c r="K153" s="1" t="s">
        <v>859</v>
      </c>
    </row>
    <row r="154" spans="1:11">
      <c r="A154" s="17">
        <v>151</v>
      </c>
      <c r="B154" s="18" t="s">
        <v>4841</v>
      </c>
      <c r="C154" s="1" t="s">
        <v>4458</v>
      </c>
      <c r="D154" s="1" t="s">
        <v>36</v>
      </c>
      <c r="E154" s="19">
        <v>2231999</v>
      </c>
      <c r="F154" s="20">
        <f t="shared" si="14"/>
        <v>2165039.0299999998</v>
      </c>
      <c r="G154" s="21">
        <f t="shared" si="15"/>
        <v>2098079.06</v>
      </c>
      <c r="H154" s="1">
        <v>790.72</v>
      </c>
      <c r="I154" s="1">
        <v>632.6</v>
      </c>
      <c r="J154" s="1">
        <v>158.12</v>
      </c>
      <c r="K154" s="1" t="s">
        <v>4877</v>
      </c>
    </row>
    <row r="155" spans="1:11">
      <c r="A155" s="17">
        <v>152</v>
      </c>
      <c r="B155" s="18" t="s">
        <v>4842</v>
      </c>
      <c r="C155" s="1" t="s">
        <v>8</v>
      </c>
      <c r="D155" s="1" t="s">
        <v>36</v>
      </c>
      <c r="E155" s="19">
        <v>2231999</v>
      </c>
      <c r="F155" s="20">
        <f t="shared" si="14"/>
        <v>2165039.0299999998</v>
      </c>
      <c r="G155" s="21">
        <f t="shared" si="15"/>
        <v>2098079.06</v>
      </c>
      <c r="H155" s="1">
        <v>783.61</v>
      </c>
      <c r="I155" s="1">
        <v>639.59</v>
      </c>
      <c r="J155" s="1">
        <v>144.02000000000001</v>
      </c>
      <c r="K155" s="1" t="s">
        <v>4877</v>
      </c>
    </row>
    <row r="156" spans="1:11">
      <c r="A156" s="17">
        <v>153</v>
      </c>
      <c r="B156" s="18" t="s">
        <v>4843</v>
      </c>
      <c r="C156" s="1" t="s">
        <v>8</v>
      </c>
      <c r="D156" s="1" t="s">
        <v>36</v>
      </c>
      <c r="E156" s="19">
        <v>2231999</v>
      </c>
      <c r="F156" s="20">
        <f t="shared" si="14"/>
        <v>2165039.0299999998</v>
      </c>
      <c r="G156" s="21">
        <f t="shared" si="15"/>
        <v>2098079.06</v>
      </c>
      <c r="H156" s="1">
        <v>783.61</v>
      </c>
      <c r="I156" s="1">
        <v>639.59</v>
      </c>
      <c r="J156" s="1">
        <v>144.02000000000001</v>
      </c>
      <c r="K156" s="1" t="s">
        <v>4877</v>
      </c>
    </row>
    <row r="157" spans="1:11">
      <c r="A157" s="17">
        <v>154</v>
      </c>
      <c r="B157" s="18" t="s">
        <v>4844</v>
      </c>
      <c r="C157" s="1" t="s">
        <v>4459</v>
      </c>
      <c r="D157" s="1" t="s">
        <v>36</v>
      </c>
      <c r="E157" s="19">
        <v>2226999</v>
      </c>
      <c r="F157" s="20">
        <f t="shared" si="14"/>
        <v>2160189.0299999998</v>
      </c>
      <c r="G157" s="21">
        <f t="shared" si="15"/>
        <v>2093379.0599999998</v>
      </c>
      <c r="H157" s="1">
        <v>784.58</v>
      </c>
      <c r="I157" s="1">
        <v>626.46</v>
      </c>
      <c r="J157" s="1">
        <v>158.12</v>
      </c>
      <c r="K157" s="1" t="s">
        <v>4877</v>
      </c>
    </row>
    <row r="158" spans="1:11">
      <c r="A158" s="17">
        <v>155</v>
      </c>
      <c r="B158" s="18" t="s">
        <v>4845</v>
      </c>
      <c r="C158" s="1" t="s">
        <v>9</v>
      </c>
      <c r="D158" s="1" t="s">
        <v>36</v>
      </c>
      <c r="E158" s="19">
        <v>2226999</v>
      </c>
      <c r="F158" s="20">
        <f t="shared" si="14"/>
        <v>2160189.0299999998</v>
      </c>
      <c r="G158" s="21">
        <f t="shared" si="15"/>
        <v>2093379.0599999998</v>
      </c>
      <c r="H158" s="1">
        <v>783.72</v>
      </c>
      <c r="I158" s="1">
        <v>639.59</v>
      </c>
      <c r="J158" s="1">
        <v>144.13</v>
      </c>
      <c r="K158" s="1" t="s">
        <v>4877</v>
      </c>
    </row>
    <row r="159" spans="1:11">
      <c r="A159" s="17">
        <v>156</v>
      </c>
      <c r="B159" s="18" t="s">
        <v>4846</v>
      </c>
      <c r="C159" s="1" t="s">
        <v>9</v>
      </c>
      <c r="D159" s="1" t="s">
        <v>36</v>
      </c>
      <c r="E159" s="19">
        <v>2226999</v>
      </c>
      <c r="F159" s="20">
        <f t="shared" si="14"/>
        <v>2160189.0299999998</v>
      </c>
      <c r="G159" s="21">
        <f t="shared" si="15"/>
        <v>2093379.0599999998</v>
      </c>
      <c r="H159" s="1">
        <v>783.72</v>
      </c>
      <c r="I159" s="1">
        <v>639.59</v>
      </c>
      <c r="J159" s="1">
        <v>144.13</v>
      </c>
      <c r="K159" s="1" t="s">
        <v>4877</v>
      </c>
    </row>
    <row r="160" spans="1:11">
      <c r="A160" s="17">
        <v>157</v>
      </c>
      <c r="B160" s="18" t="s">
        <v>4293</v>
      </c>
      <c r="C160" s="1" t="s">
        <v>4458</v>
      </c>
      <c r="D160" s="1" t="s">
        <v>36</v>
      </c>
      <c r="E160" s="19">
        <v>2379999</v>
      </c>
      <c r="F160" s="20">
        <f t="shared" si="14"/>
        <v>2308599.0299999998</v>
      </c>
      <c r="G160" s="21">
        <f t="shared" si="15"/>
        <v>2237199.06</v>
      </c>
      <c r="H160" s="1">
        <v>975.43</v>
      </c>
      <c r="I160" s="1">
        <v>639.80999999999995</v>
      </c>
      <c r="J160" s="1">
        <v>335.62</v>
      </c>
      <c r="K160" s="1" t="s">
        <v>39</v>
      </c>
    </row>
    <row r="161" spans="1:11">
      <c r="A161" s="17">
        <v>158</v>
      </c>
      <c r="B161" s="18" t="s">
        <v>4847</v>
      </c>
      <c r="C161" s="1" t="s">
        <v>10</v>
      </c>
      <c r="D161" s="1" t="s">
        <v>36</v>
      </c>
      <c r="E161" s="19">
        <v>2221999</v>
      </c>
      <c r="F161" s="20">
        <f t="shared" si="14"/>
        <v>2155339.0299999998</v>
      </c>
      <c r="G161" s="21">
        <f t="shared" si="15"/>
        <v>2088679.0599999998</v>
      </c>
      <c r="H161" s="1">
        <v>783.72</v>
      </c>
      <c r="I161" s="1">
        <v>639.59</v>
      </c>
      <c r="J161" s="1">
        <v>144.13</v>
      </c>
      <c r="K161" s="1" t="s">
        <v>4877</v>
      </c>
    </row>
    <row r="162" spans="1:11">
      <c r="A162" s="17">
        <v>159</v>
      </c>
      <c r="B162" s="18" t="s">
        <v>4848</v>
      </c>
      <c r="C162" s="1" t="s">
        <v>10</v>
      </c>
      <c r="D162" s="1" t="s">
        <v>36</v>
      </c>
      <c r="E162" s="19">
        <v>2221999</v>
      </c>
      <c r="F162" s="20">
        <f t="shared" si="14"/>
        <v>2155339.0299999998</v>
      </c>
      <c r="G162" s="21">
        <f t="shared" si="15"/>
        <v>2088679.0599999998</v>
      </c>
      <c r="H162" s="1">
        <v>783.72</v>
      </c>
      <c r="I162" s="1">
        <v>639.59</v>
      </c>
      <c r="J162" s="1">
        <v>144.13</v>
      </c>
      <c r="K162" s="1" t="s">
        <v>4877</v>
      </c>
    </row>
    <row r="163" spans="1:11">
      <c r="A163" s="17">
        <v>160</v>
      </c>
      <c r="B163" s="18" t="s">
        <v>4849</v>
      </c>
      <c r="C163" s="1" t="s">
        <v>4467</v>
      </c>
      <c r="D163" s="1" t="s">
        <v>36</v>
      </c>
      <c r="E163" s="19">
        <v>2220999</v>
      </c>
      <c r="F163" s="20">
        <f t="shared" si="14"/>
        <v>2154369.0299999998</v>
      </c>
      <c r="G163" s="21">
        <f t="shared" si="15"/>
        <v>2087739.0599999998</v>
      </c>
      <c r="H163" s="1">
        <v>831.94</v>
      </c>
      <c r="I163" s="1">
        <v>618.28</v>
      </c>
      <c r="J163" s="1">
        <v>213.66</v>
      </c>
      <c r="K163" s="1" t="s">
        <v>860</v>
      </c>
    </row>
    <row r="164" spans="1:11">
      <c r="A164" s="17">
        <v>161</v>
      </c>
      <c r="B164" s="18" t="s">
        <v>4294</v>
      </c>
      <c r="C164" s="1" t="s">
        <v>6</v>
      </c>
      <c r="D164" s="1" t="s">
        <v>36</v>
      </c>
      <c r="E164" s="19">
        <v>2374999</v>
      </c>
      <c r="F164" s="20">
        <f t="shared" si="14"/>
        <v>2303749.0299999998</v>
      </c>
      <c r="G164" s="21">
        <f t="shared" si="15"/>
        <v>2232499.06</v>
      </c>
      <c r="H164" s="1">
        <v>975.43</v>
      </c>
      <c r="I164" s="1">
        <v>639.80999999999995</v>
      </c>
      <c r="J164" s="1">
        <v>335.62</v>
      </c>
      <c r="K164" s="1" t="s">
        <v>39</v>
      </c>
    </row>
    <row r="165" spans="1:11">
      <c r="A165" s="17">
        <v>162</v>
      </c>
      <c r="B165" s="18" t="s">
        <v>4850</v>
      </c>
      <c r="C165" s="1" t="s">
        <v>4</v>
      </c>
      <c r="D165" s="1" t="s">
        <v>36</v>
      </c>
      <c r="E165" s="19">
        <v>2216999</v>
      </c>
      <c r="F165" s="20">
        <f t="shared" si="14"/>
        <v>2150489.0299999998</v>
      </c>
      <c r="G165" s="21">
        <f t="shared" si="15"/>
        <v>2083979.0599999998</v>
      </c>
      <c r="H165" s="1">
        <v>784.58</v>
      </c>
      <c r="I165" s="1">
        <v>626.46</v>
      </c>
      <c r="J165" s="1">
        <v>158.12</v>
      </c>
      <c r="K165" s="1" t="s">
        <v>4877</v>
      </c>
    </row>
    <row r="166" spans="1:11">
      <c r="A166" s="17">
        <v>163</v>
      </c>
      <c r="B166" s="18" t="s">
        <v>4851</v>
      </c>
      <c r="C166" s="1" t="s">
        <v>4</v>
      </c>
      <c r="D166" s="1" t="s">
        <v>36</v>
      </c>
      <c r="E166" s="19">
        <v>2216999</v>
      </c>
      <c r="F166" s="20">
        <f t="shared" si="14"/>
        <v>2150489.0299999998</v>
      </c>
      <c r="G166" s="21">
        <f t="shared" si="15"/>
        <v>2083979.0599999998</v>
      </c>
      <c r="H166" s="1">
        <v>784.58</v>
      </c>
      <c r="I166" s="1">
        <v>626.46</v>
      </c>
      <c r="J166" s="1">
        <v>158.12</v>
      </c>
      <c r="K166" s="1" t="s">
        <v>4877</v>
      </c>
    </row>
    <row r="167" spans="1:11">
      <c r="A167" s="17">
        <v>164</v>
      </c>
      <c r="B167" s="18" t="s">
        <v>4852</v>
      </c>
      <c r="C167" s="1" t="s">
        <v>8</v>
      </c>
      <c r="D167" s="1" t="s">
        <v>36</v>
      </c>
      <c r="E167" s="19">
        <v>2216999</v>
      </c>
      <c r="F167" s="20">
        <f t="shared" si="14"/>
        <v>2150489.0299999998</v>
      </c>
      <c r="G167" s="21">
        <f t="shared" si="15"/>
        <v>2083979.0599999998</v>
      </c>
      <c r="H167" s="1">
        <v>790.72</v>
      </c>
      <c r="I167" s="1">
        <v>632.6</v>
      </c>
      <c r="J167" s="1">
        <v>158.12</v>
      </c>
      <c r="K167" s="1" t="s">
        <v>4877</v>
      </c>
    </row>
    <row r="168" spans="1:11">
      <c r="A168" s="17">
        <v>165</v>
      </c>
      <c r="B168" s="18" t="s">
        <v>4853</v>
      </c>
      <c r="C168" s="1" t="s">
        <v>4464</v>
      </c>
      <c r="D168" s="1" t="s">
        <v>36</v>
      </c>
      <c r="E168" s="19">
        <v>2179999</v>
      </c>
      <c r="F168" s="20">
        <f t="shared" si="14"/>
        <v>2114599.0299999998</v>
      </c>
      <c r="G168" s="21">
        <f t="shared" si="15"/>
        <v>2049199.0599999998</v>
      </c>
      <c r="H168" s="1">
        <v>823.76</v>
      </c>
      <c r="I168" s="1">
        <v>609.99</v>
      </c>
      <c r="J168" s="1">
        <v>213.77</v>
      </c>
      <c r="K168" s="1" t="s">
        <v>860</v>
      </c>
    </row>
    <row r="169" spans="1:11">
      <c r="A169" s="17">
        <v>166</v>
      </c>
      <c r="B169" s="18" t="s">
        <v>4916</v>
      </c>
      <c r="C169" s="1" t="s">
        <v>33</v>
      </c>
      <c r="D169" s="1" t="s">
        <v>36</v>
      </c>
      <c r="E169" s="19">
        <v>2179999</v>
      </c>
      <c r="F169" s="20">
        <f t="shared" si="14"/>
        <v>2114599.0299999998</v>
      </c>
      <c r="G169" s="21">
        <f t="shared" si="15"/>
        <v>2049199.0599999998</v>
      </c>
      <c r="H169" s="1">
        <v>835.17</v>
      </c>
      <c r="I169" s="1">
        <v>639.80999999999995</v>
      </c>
      <c r="J169" s="1">
        <v>195.36</v>
      </c>
      <c r="K169" s="1" t="s">
        <v>39</v>
      </c>
    </row>
    <row r="170" spans="1:11">
      <c r="A170" s="17">
        <v>167</v>
      </c>
      <c r="B170" s="18" t="s">
        <v>4917</v>
      </c>
      <c r="C170" s="1" t="s">
        <v>33</v>
      </c>
      <c r="D170" s="1" t="s">
        <v>36</v>
      </c>
      <c r="E170" s="19">
        <v>2179999</v>
      </c>
      <c r="F170" s="20">
        <f t="shared" si="14"/>
        <v>2114599.0299999998</v>
      </c>
      <c r="G170" s="21">
        <f t="shared" si="15"/>
        <v>2049199.0599999998</v>
      </c>
      <c r="H170" s="1">
        <v>835.17</v>
      </c>
      <c r="I170" s="1">
        <v>639.80999999999995</v>
      </c>
      <c r="J170" s="1">
        <v>195.36</v>
      </c>
      <c r="K170" s="1" t="s">
        <v>39</v>
      </c>
    </row>
    <row r="171" spans="1:11">
      <c r="A171" s="17">
        <v>168</v>
      </c>
      <c r="B171" s="18" t="s">
        <v>4854</v>
      </c>
      <c r="C171" s="1" t="s">
        <v>34</v>
      </c>
      <c r="D171" s="1" t="s">
        <v>36</v>
      </c>
      <c r="E171" s="19">
        <v>2175999</v>
      </c>
      <c r="F171" s="20">
        <f t="shared" si="14"/>
        <v>2110719.0299999998</v>
      </c>
      <c r="G171" s="21">
        <f t="shared" si="15"/>
        <v>2045439.0599999998</v>
      </c>
      <c r="H171" s="1">
        <v>831.83</v>
      </c>
      <c r="I171" s="1">
        <v>618.05999999999995</v>
      </c>
      <c r="J171" s="1">
        <v>213.77</v>
      </c>
      <c r="K171" s="1" t="s">
        <v>860</v>
      </c>
    </row>
    <row r="172" spans="1:11">
      <c r="A172" s="17">
        <v>169</v>
      </c>
      <c r="B172" s="18" t="s">
        <v>4855</v>
      </c>
      <c r="C172" s="1" t="s">
        <v>4463</v>
      </c>
      <c r="D172" s="1" t="s">
        <v>36</v>
      </c>
      <c r="E172" s="19">
        <v>2174999</v>
      </c>
      <c r="F172" s="20">
        <f t="shared" si="14"/>
        <v>2109749.0299999998</v>
      </c>
      <c r="G172" s="21">
        <f t="shared" si="15"/>
        <v>2044499.0599999998</v>
      </c>
      <c r="H172" s="1">
        <v>823.76</v>
      </c>
      <c r="I172" s="1">
        <v>609.99</v>
      </c>
      <c r="J172" s="1">
        <v>213.77</v>
      </c>
      <c r="K172" s="1" t="s">
        <v>860</v>
      </c>
    </row>
    <row r="173" spans="1:11">
      <c r="A173" s="17">
        <v>170</v>
      </c>
      <c r="B173" s="18" t="s">
        <v>4918</v>
      </c>
      <c r="C173" s="1" t="s">
        <v>34</v>
      </c>
      <c r="D173" s="1" t="s">
        <v>36</v>
      </c>
      <c r="E173" s="19">
        <v>2174999</v>
      </c>
      <c r="F173" s="20">
        <f t="shared" si="14"/>
        <v>2109749.0299999998</v>
      </c>
      <c r="G173" s="21">
        <f t="shared" si="15"/>
        <v>2044499.0599999998</v>
      </c>
      <c r="H173" s="1">
        <v>835.17</v>
      </c>
      <c r="I173" s="1">
        <v>639.80999999999995</v>
      </c>
      <c r="J173" s="1">
        <v>195.36</v>
      </c>
      <c r="K173" s="1" t="s">
        <v>39</v>
      </c>
    </row>
    <row r="174" spans="1:11">
      <c r="A174" s="17">
        <v>171</v>
      </c>
      <c r="B174" s="18" t="s">
        <v>4919</v>
      </c>
      <c r="C174" s="1" t="s">
        <v>34</v>
      </c>
      <c r="D174" s="1" t="s">
        <v>36</v>
      </c>
      <c r="E174" s="19">
        <v>2174999</v>
      </c>
      <c r="F174" s="20">
        <f t="shared" si="14"/>
        <v>2109749.0299999998</v>
      </c>
      <c r="G174" s="21">
        <f t="shared" si="15"/>
        <v>2044499.0599999998</v>
      </c>
      <c r="H174" s="1">
        <v>835.17</v>
      </c>
      <c r="I174" s="1">
        <v>639.80999999999995</v>
      </c>
      <c r="J174" s="1">
        <v>195.36</v>
      </c>
      <c r="K174" s="1" t="s">
        <v>39</v>
      </c>
    </row>
    <row r="175" spans="1:11">
      <c r="A175" s="17">
        <v>172</v>
      </c>
      <c r="B175" s="18" t="s">
        <v>4856</v>
      </c>
      <c r="C175" s="1" t="s">
        <v>4461</v>
      </c>
      <c r="D175" s="1" t="s">
        <v>36</v>
      </c>
      <c r="E175" s="19">
        <v>2170999</v>
      </c>
      <c r="F175" s="20">
        <f t="shared" si="14"/>
        <v>2105869.0299999998</v>
      </c>
      <c r="G175" s="21">
        <f t="shared" si="15"/>
        <v>2040739.0599999998</v>
      </c>
      <c r="H175" s="1">
        <v>831.72</v>
      </c>
      <c r="I175" s="1">
        <v>618.05999999999995</v>
      </c>
      <c r="J175" s="1">
        <v>213.66</v>
      </c>
      <c r="K175" s="1" t="s">
        <v>860</v>
      </c>
    </row>
    <row r="176" spans="1:11">
      <c r="A176" s="17">
        <v>173</v>
      </c>
      <c r="B176" s="18" t="s">
        <v>4857</v>
      </c>
      <c r="C176" s="1" t="s">
        <v>4462</v>
      </c>
      <c r="D176" s="1" t="s">
        <v>36</v>
      </c>
      <c r="E176" s="19">
        <v>2169999</v>
      </c>
      <c r="F176" s="20">
        <f t="shared" si="14"/>
        <v>2104899.0299999998</v>
      </c>
      <c r="G176" s="21">
        <f t="shared" si="15"/>
        <v>2039799.0599999998</v>
      </c>
      <c r="H176" s="1">
        <v>823.76</v>
      </c>
      <c r="I176" s="1">
        <v>609.99</v>
      </c>
      <c r="J176" s="1">
        <v>213.77</v>
      </c>
      <c r="K176" s="1" t="s">
        <v>860</v>
      </c>
    </row>
    <row r="177" spans="1:11">
      <c r="A177" s="17">
        <v>174</v>
      </c>
      <c r="B177" s="18" t="s">
        <v>4858</v>
      </c>
      <c r="C177" s="1" t="s">
        <v>4460</v>
      </c>
      <c r="D177" s="1" t="s">
        <v>36</v>
      </c>
      <c r="E177" s="19">
        <v>2165999</v>
      </c>
      <c r="F177" s="20">
        <f t="shared" ref="F177:F214" si="16">E177*0.97</f>
        <v>2101019.0299999998</v>
      </c>
      <c r="G177" s="21">
        <f t="shared" ref="G177:G214" si="17">E177*0.94</f>
        <v>2036039.0599999998</v>
      </c>
      <c r="H177" s="1">
        <v>831.72</v>
      </c>
      <c r="I177" s="1">
        <v>618.05999999999995</v>
      </c>
      <c r="J177" s="1">
        <v>213.66</v>
      </c>
      <c r="K177" s="1" t="s">
        <v>860</v>
      </c>
    </row>
    <row r="178" spans="1:11">
      <c r="A178" s="17">
        <v>175</v>
      </c>
      <c r="B178" s="18" t="s">
        <v>4859</v>
      </c>
      <c r="C178" s="1" t="s">
        <v>4495</v>
      </c>
      <c r="D178" s="1" t="s">
        <v>36</v>
      </c>
      <c r="E178" s="19">
        <v>2164999</v>
      </c>
      <c r="F178" s="20">
        <f t="shared" si="16"/>
        <v>2100049.0299999998</v>
      </c>
      <c r="G178" s="21">
        <f t="shared" si="17"/>
        <v>2035099.0599999998</v>
      </c>
      <c r="H178" s="1">
        <v>823.76</v>
      </c>
      <c r="I178" s="1">
        <v>609.99</v>
      </c>
      <c r="J178" s="1">
        <v>213.77</v>
      </c>
      <c r="K178" s="1" t="s">
        <v>860</v>
      </c>
    </row>
    <row r="179" spans="1:11">
      <c r="A179" s="17">
        <v>176</v>
      </c>
      <c r="B179" s="18" t="s">
        <v>4295</v>
      </c>
      <c r="C179" s="1" t="s">
        <v>4463</v>
      </c>
      <c r="D179" s="1" t="s">
        <v>36</v>
      </c>
      <c r="E179" s="19">
        <v>2160999</v>
      </c>
      <c r="F179" s="20">
        <f t="shared" si="16"/>
        <v>2096169.03</v>
      </c>
      <c r="G179" s="21">
        <f t="shared" si="17"/>
        <v>2031339.0599999998</v>
      </c>
      <c r="H179" s="1">
        <v>831.72</v>
      </c>
      <c r="I179" s="1">
        <v>618.05999999999995</v>
      </c>
      <c r="J179" s="1">
        <v>213.66</v>
      </c>
      <c r="K179" s="1" t="s">
        <v>861</v>
      </c>
    </row>
    <row r="180" spans="1:11">
      <c r="A180" s="17">
        <v>177</v>
      </c>
      <c r="B180" s="18" t="s">
        <v>4860</v>
      </c>
      <c r="C180" s="1" t="s">
        <v>11</v>
      </c>
      <c r="D180" s="1" t="s">
        <v>36</v>
      </c>
      <c r="E180" s="19">
        <v>2160999</v>
      </c>
      <c r="F180" s="20">
        <f t="shared" si="16"/>
        <v>2096169.03</v>
      </c>
      <c r="G180" s="21">
        <f t="shared" si="17"/>
        <v>2031339.0599999998</v>
      </c>
      <c r="H180" s="1">
        <v>831.72</v>
      </c>
      <c r="I180" s="1">
        <v>618.05999999999995</v>
      </c>
      <c r="J180" s="1">
        <v>213.66</v>
      </c>
      <c r="K180" s="1" t="s">
        <v>860</v>
      </c>
    </row>
    <row r="181" spans="1:11">
      <c r="A181" s="17">
        <v>178</v>
      </c>
      <c r="B181" s="18" t="s">
        <v>4861</v>
      </c>
      <c r="C181" s="1" t="s">
        <v>4494</v>
      </c>
      <c r="D181" s="1" t="s">
        <v>36</v>
      </c>
      <c r="E181" s="19">
        <v>2159999</v>
      </c>
      <c r="F181" s="20">
        <f t="shared" si="16"/>
        <v>2095199.03</v>
      </c>
      <c r="G181" s="21">
        <f t="shared" si="17"/>
        <v>2030399.0599999998</v>
      </c>
      <c r="H181" s="1">
        <v>823.76</v>
      </c>
      <c r="I181" s="1">
        <v>609.99</v>
      </c>
      <c r="J181" s="1">
        <v>213.77</v>
      </c>
      <c r="K181" s="1" t="s">
        <v>860</v>
      </c>
    </row>
    <row r="182" spans="1:11">
      <c r="A182" s="17">
        <v>179</v>
      </c>
      <c r="B182" s="18" t="s">
        <v>4920</v>
      </c>
      <c r="C182" s="1" t="s">
        <v>4462</v>
      </c>
      <c r="D182" s="1" t="s">
        <v>36</v>
      </c>
      <c r="E182" s="19">
        <v>2155999</v>
      </c>
      <c r="F182" s="20">
        <f t="shared" si="16"/>
        <v>2091319.03</v>
      </c>
      <c r="G182" s="21">
        <f t="shared" si="17"/>
        <v>2026639.0599999998</v>
      </c>
      <c r="H182" s="1">
        <v>831.72</v>
      </c>
      <c r="I182" s="1">
        <v>618.05999999999995</v>
      </c>
      <c r="J182" s="1">
        <v>213.66</v>
      </c>
      <c r="K182" s="1" t="s">
        <v>861</v>
      </c>
    </row>
    <row r="183" spans="1:11">
      <c r="A183" s="17">
        <v>180</v>
      </c>
      <c r="B183" s="18" t="s">
        <v>4862</v>
      </c>
      <c r="C183" s="1" t="s">
        <v>12</v>
      </c>
      <c r="D183" s="1" t="s">
        <v>36</v>
      </c>
      <c r="E183" s="19">
        <v>2155999</v>
      </c>
      <c r="F183" s="20">
        <f t="shared" si="16"/>
        <v>2091319.03</v>
      </c>
      <c r="G183" s="21">
        <f t="shared" si="17"/>
        <v>2026639.0599999998</v>
      </c>
      <c r="H183" s="1">
        <v>831.72</v>
      </c>
      <c r="I183" s="1">
        <v>618.05999999999995</v>
      </c>
      <c r="J183" s="1">
        <v>213.66</v>
      </c>
      <c r="K183" s="1" t="s">
        <v>860</v>
      </c>
    </row>
    <row r="184" spans="1:11">
      <c r="A184" s="17">
        <v>181</v>
      </c>
      <c r="B184" s="18" t="s">
        <v>4863</v>
      </c>
      <c r="C184" s="1" t="s">
        <v>33</v>
      </c>
      <c r="D184" s="1" t="s">
        <v>36</v>
      </c>
      <c r="E184" s="19">
        <v>2154999</v>
      </c>
      <c r="F184" s="20">
        <f t="shared" si="16"/>
        <v>2090349.03</v>
      </c>
      <c r="G184" s="21">
        <f t="shared" si="17"/>
        <v>2025699.0599999998</v>
      </c>
      <c r="H184" s="1">
        <v>823.76</v>
      </c>
      <c r="I184" s="1">
        <v>609.99</v>
      </c>
      <c r="J184" s="1">
        <v>213.77</v>
      </c>
      <c r="K184" s="1" t="s">
        <v>860</v>
      </c>
    </row>
    <row r="185" spans="1:11">
      <c r="A185" s="17">
        <v>182</v>
      </c>
      <c r="B185" s="18" t="s">
        <v>4921</v>
      </c>
      <c r="C185" s="1" t="s">
        <v>4495</v>
      </c>
      <c r="D185" s="1" t="s">
        <v>36</v>
      </c>
      <c r="E185" s="19">
        <v>2150999</v>
      </c>
      <c r="F185" s="20">
        <f t="shared" si="16"/>
        <v>2086469.03</v>
      </c>
      <c r="G185" s="21">
        <f t="shared" si="17"/>
        <v>2021939.0599999998</v>
      </c>
      <c r="H185" s="1">
        <v>831.83</v>
      </c>
      <c r="I185" s="1">
        <v>618.05999999999995</v>
      </c>
      <c r="J185" s="1">
        <v>213.77</v>
      </c>
      <c r="K185" s="1" t="s">
        <v>861</v>
      </c>
    </row>
    <row r="186" spans="1:11">
      <c r="A186" s="17">
        <v>183</v>
      </c>
      <c r="B186" s="18" t="s">
        <v>4864</v>
      </c>
      <c r="C186" s="1" t="s">
        <v>32</v>
      </c>
      <c r="D186" s="1" t="s">
        <v>36</v>
      </c>
      <c r="E186" s="19">
        <v>2150999</v>
      </c>
      <c r="F186" s="20">
        <f t="shared" si="16"/>
        <v>2086469.03</v>
      </c>
      <c r="G186" s="21">
        <f t="shared" si="17"/>
        <v>2021939.0599999998</v>
      </c>
      <c r="H186" s="1">
        <v>831.83</v>
      </c>
      <c r="I186" s="1">
        <v>618.05999999999995</v>
      </c>
      <c r="J186" s="1">
        <v>213.77</v>
      </c>
      <c r="K186" s="1" t="s">
        <v>860</v>
      </c>
    </row>
    <row r="187" spans="1:11">
      <c r="A187" s="17">
        <v>184</v>
      </c>
      <c r="B187" s="18" t="s">
        <v>4296</v>
      </c>
      <c r="C187" s="1" t="s">
        <v>32</v>
      </c>
      <c r="D187" s="1" t="s">
        <v>36</v>
      </c>
      <c r="E187" s="19">
        <v>2149999</v>
      </c>
      <c r="F187" s="20">
        <f t="shared" si="16"/>
        <v>2085499.03</v>
      </c>
      <c r="G187" s="21">
        <f t="shared" si="17"/>
        <v>2020999.0599999998</v>
      </c>
      <c r="H187" s="1">
        <v>835.17</v>
      </c>
      <c r="I187" s="1">
        <v>639.80999999999995</v>
      </c>
      <c r="J187" s="1">
        <v>195.36</v>
      </c>
      <c r="K187" s="1" t="s">
        <v>39</v>
      </c>
    </row>
    <row r="188" spans="1:11">
      <c r="A188" s="17">
        <v>185</v>
      </c>
      <c r="B188" s="18" t="s">
        <v>4297</v>
      </c>
      <c r="C188" s="1" t="s">
        <v>32</v>
      </c>
      <c r="D188" s="1" t="s">
        <v>36</v>
      </c>
      <c r="E188" s="19">
        <v>2149999</v>
      </c>
      <c r="F188" s="20">
        <f t="shared" si="16"/>
        <v>2085499.03</v>
      </c>
      <c r="G188" s="21">
        <f t="shared" si="17"/>
        <v>2020999.0599999998</v>
      </c>
      <c r="H188" s="1">
        <v>835.17</v>
      </c>
      <c r="I188" s="1">
        <v>639.80999999999995</v>
      </c>
      <c r="J188" s="1">
        <v>195.36</v>
      </c>
      <c r="K188" s="1" t="s">
        <v>39</v>
      </c>
    </row>
    <row r="189" spans="1:11">
      <c r="A189" s="17">
        <v>186</v>
      </c>
      <c r="B189" s="18" t="s">
        <v>4922</v>
      </c>
      <c r="C189" s="1" t="s">
        <v>4494</v>
      </c>
      <c r="D189" s="1" t="s">
        <v>36</v>
      </c>
      <c r="E189" s="19">
        <v>2145999</v>
      </c>
      <c r="F189" s="20">
        <f t="shared" si="16"/>
        <v>2081619.03</v>
      </c>
      <c r="G189" s="21">
        <f t="shared" si="17"/>
        <v>2017239.0599999998</v>
      </c>
      <c r="H189" s="1">
        <v>831.83</v>
      </c>
      <c r="I189" s="1">
        <v>618.05999999999995</v>
      </c>
      <c r="J189" s="1">
        <v>213.77</v>
      </c>
      <c r="K189" s="1" t="s">
        <v>861</v>
      </c>
    </row>
    <row r="190" spans="1:11">
      <c r="A190" s="17">
        <v>187</v>
      </c>
      <c r="B190" s="18" t="s">
        <v>4865</v>
      </c>
      <c r="C190" s="1" t="s">
        <v>4459</v>
      </c>
      <c r="D190" s="1" t="s">
        <v>36</v>
      </c>
      <c r="E190" s="19">
        <v>2150000</v>
      </c>
      <c r="F190" s="20">
        <f t="shared" si="16"/>
        <v>2085500</v>
      </c>
      <c r="G190" s="21">
        <f t="shared" si="17"/>
        <v>2021000</v>
      </c>
      <c r="H190" s="1">
        <v>831.83</v>
      </c>
      <c r="I190" s="1">
        <v>618.05999999999995</v>
      </c>
      <c r="J190" s="1">
        <v>213.77</v>
      </c>
      <c r="K190" s="1" t="s">
        <v>860</v>
      </c>
    </row>
    <row r="191" spans="1:11">
      <c r="A191" s="17">
        <v>188</v>
      </c>
      <c r="B191" s="18" t="s">
        <v>4866</v>
      </c>
      <c r="C191" s="1" t="s">
        <v>4461</v>
      </c>
      <c r="D191" s="1" t="s">
        <v>36</v>
      </c>
      <c r="E191" s="19">
        <v>2150000</v>
      </c>
      <c r="F191" s="20">
        <f t="shared" si="16"/>
        <v>2085500</v>
      </c>
      <c r="G191" s="21">
        <f t="shared" si="17"/>
        <v>2021000</v>
      </c>
      <c r="H191" s="1">
        <v>823.76</v>
      </c>
      <c r="I191" s="1">
        <v>609.99</v>
      </c>
      <c r="J191" s="1">
        <v>213.77</v>
      </c>
      <c r="K191" s="1" t="s">
        <v>860</v>
      </c>
    </row>
    <row r="192" spans="1:11">
      <c r="A192" s="17">
        <v>189</v>
      </c>
      <c r="B192" s="18" t="s">
        <v>4298</v>
      </c>
      <c r="C192" s="1" t="s">
        <v>4459</v>
      </c>
      <c r="D192" s="1" t="s">
        <v>36</v>
      </c>
      <c r="E192" s="19">
        <v>2144999</v>
      </c>
      <c r="F192" s="20">
        <f t="shared" si="16"/>
        <v>2080649.03</v>
      </c>
      <c r="G192" s="21">
        <f t="shared" si="17"/>
        <v>2016299.0599999998</v>
      </c>
      <c r="H192" s="1">
        <v>835.17</v>
      </c>
      <c r="I192" s="1">
        <v>639.80999999999995</v>
      </c>
      <c r="J192" s="1">
        <v>195.36</v>
      </c>
      <c r="K192" s="1" t="s">
        <v>39</v>
      </c>
    </row>
    <row r="193" spans="1:11">
      <c r="A193" s="17">
        <v>190</v>
      </c>
      <c r="B193" s="18" t="s">
        <v>4299</v>
      </c>
      <c r="C193" s="1" t="s">
        <v>4459</v>
      </c>
      <c r="D193" s="1" t="s">
        <v>36</v>
      </c>
      <c r="E193" s="19">
        <v>2144999</v>
      </c>
      <c r="F193" s="20">
        <f t="shared" si="16"/>
        <v>2080649.03</v>
      </c>
      <c r="G193" s="21">
        <f t="shared" si="17"/>
        <v>2016299.0599999998</v>
      </c>
      <c r="H193" s="1">
        <v>835.17</v>
      </c>
      <c r="I193" s="1">
        <v>639.80999999999995</v>
      </c>
      <c r="J193" s="1">
        <v>195.36</v>
      </c>
      <c r="K193" s="1" t="s">
        <v>39</v>
      </c>
    </row>
    <row r="194" spans="1:11">
      <c r="A194" s="17">
        <v>191</v>
      </c>
      <c r="B194" s="18" t="s">
        <v>4923</v>
      </c>
      <c r="C194" s="1" t="s">
        <v>33</v>
      </c>
      <c r="D194" s="1" t="s">
        <v>36</v>
      </c>
      <c r="E194" s="19">
        <v>2140999</v>
      </c>
      <c r="F194" s="20">
        <f t="shared" si="16"/>
        <v>2076769.03</v>
      </c>
      <c r="G194" s="21">
        <f t="shared" si="17"/>
        <v>2012539.0599999998</v>
      </c>
      <c r="H194" s="1">
        <v>831.83</v>
      </c>
      <c r="I194" s="1">
        <v>618.05999999999995</v>
      </c>
      <c r="J194" s="1">
        <v>213.77</v>
      </c>
      <c r="K194" s="1" t="s">
        <v>861</v>
      </c>
    </row>
    <row r="195" spans="1:11">
      <c r="A195" s="17">
        <v>192</v>
      </c>
      <c r="B195" s="18" t="s">
        <v>4867</v>
      </c>
      <c r="C195" s="1" t="s">
        <v>4460</v>
      </c>
      <c r="D195" s="1" t="s">
        <v>36</v>
      </c>
      <c r="E195" s="19">
        <v>2150000</v>
      </c>
      <c r="F195" s="20">
        <f t="shared" si="16"/>
        <v>2085500</v>
      </c>
      <c r="G195" s="21">
        <f t="shared" si="17"/>
        <v>2021000</v>
      </c>
      <c r="H195" s="1">
        <v>823.76</v>
      </c>
      <c r="I195" s="1">
        <v>609.99</v>
      </c>
      <c r="J195" s="1">
        <v>213.77</v>
      </c>
      <c r="K195" s="1" t="s">
        <v>860</v>
      </c>
    </row>
    <row r="196" spans="1:11">
      <c r="A196" s="17">
        <v>193</v>
      </c>
      <c r="B196" s="18" t="s">
        <v>4868</v>
      </c>
      <c r="C196" s="1" t="s">
        <v>5</v>
      </c>
      <c r="D196" s="1" t="s">
        <v>36</v>
      </c>
      <c r="E196" s="19">
        <v>2150000</v>
      </c>
      <c r="F196" s="20">
        <f t="shared" si="16"/>
        <v>2085500</v>
      </c>
      <c r="G196" s="21">
        <f t="shared" si="17"/>
        <v>2021000</v>
      </c>
      <c r="H196" s="1">
        <v>831.83</v>
      </c>
      <c r="I196" s="1">
        <v>618.05999999999995</v>
      </c>
      <c r="J196" s="1">
        <v>213.77</v>
      </c>
      <c r="K196" s="1" t="s">
        <v>860</v>
      </c>
    </row>
    <row r="197" spans="1:11">
      <c r="A197" s="17">
        <v>194</v>
      </c>
      <c r="B197" s="18" t="s">
        <v>4300</v>
      </c>
      <c r="C197" s="1" t="s">
        <v>5</v>
      </c>
      <c r="D197" s="1" t="s">
        <v>36</v>
      </c>
      <c r="E197" s="19">
        <v>2139999</v>
      </c>
      <c r="F197" s="20">
        <f t="shared" si="16"/>
        <v>2075799.03</v>
      </c>
      <c r="G197" s="21">
        <f t="shared" si="17"/>
        <v>2011599.0599999998</v>
      </c>
      <c r="H197" s="1">
        <v>835.17</v>
      </c>
      <c r="I197" s="1">
        <v>639.80999999999995</v>
      </c>
      <c r="J197" s="1">
        <v>195.36</v>
      </c>
      <c r="K197" s="1" t="s">
        <v>39</v>
      </c>
    </row>
    <row r="198" spans="1:11">
      <c r="A198" s="17">
        <v>195</v>
      </c>
      <c r="B198" s="18" t="s">
        <v>4301</v>
      </c>
      <c r="C198" s="1" t="s">
        <v>5</v>
      </c>
      <c r="D198" s="1" t="s">
        <v>36</v>
      </c>
      <c r="E198" s="19">
        <v>2139999</v>
      </c>
      <c r="F198" s="20">
        <f t="shared" si="16"/>
        <v>2075799.03</v>
      </c>
      <c r="G198" s="21">
        <f t="shared" si="17"/>
        <v>2011599.0599999998</v>
      </c>
      <c r="H198" s="1">
        <v>835.17</v>
      </c>
      <c r="I198" s="1">
        <v>639.80999999999995</v>
      </c>
      <c r="J198" s="1">
        <v>195.36</v>
      </c>
      <c r="K198" s="1" t="s">
        <v>39</v>
      </c>
    </row>
    <row r="199" spans="1:11">
      <c r="A199" s="17">
        <v>196</v>
      </c>
      <c r="B199" s="18" t="s">
        <v>4302</v>
      </c>
      <c r="C199" s="1" t="s">
        <v>4463</v>
      </c>
      <c r="D199" s="1" t="s">
        <v>36</v>
      </c>
      <c r="E199" s="19">
        <v>2135999</v>
      </c>
      <c r="F199" s="20">
        <f t="shared" si="16"/>
        <v>2071919.03</v>
      </c>
      <c r="G199" s="21">
        <f t="shared" si="17"/>
        <v>2007839.0599999998</v>
      </c>
      <c r="H199" s="1">
        <v>823.76</v>
      </c>
      <c r="I199" s="1">
        <v>609.99</v>
      </c>
      <c r="J199" s="1">
        <v>213.77</v>
      </c>
      <c r="K199" s="1" t="s">
        <v>861</v>
      </c>
    </row>
    <row r="200" spans="1:11">
      <c r="A200" s="17">
        <v>197</v>
      </c>
      <c r="B200" s="18" t="s">
        <v>4924</v>
      </c>
      <c r="C200" s="1" t="s">
        <v>34</v>
      </c>
      <c r="D200" s="1" t="s">
        <v>36</v>
      </c>
      <c r="E200" s="19">
        <v>2135999</v>
      </c>
      <c r="F200" s="20">
        <f t="shared" si="16"/>
        <v>2071919.03</v>
      </c>
      <c r="G200" s="21">
        <f t="shared" si="17"/>
        <v>2007839.0599999998</v>
      </c>
      <c r="H200" s="1">
        <v>831.83</v>
      </c>
      <c r="I200" s="1">
        <v>618.05999999999995</v>
      </c>
      <c r="J200" s="1">
        <v>213.77</v>
      </c>
      <c r="K200" s="1" t="s">
        <v>861</v>
      </c>
    </row>
    <row r="201" spans="1:11">
      <c r="A201" s="17">
        <v>198</v>
      </c>
      <c r="B201" s="18" t="s">
        <v>4869</v>
      </c>
      <c r="C201" s="1" t="s">
        <v>6</v>
      </c>
      <c r="D201" s="1" t="s">
        <v>36</v>
      </c>
      <c r="E201" s="19">
        <v>2150000</v>
      </c>
      <c r="F201" s="20">
        <f t="shared" si="16"/>
        <v>2085500</v>
      </c>
      <c r="G201" s="21">
        <f t="shared" si="17"/>
        <v>2021000</v>
      </c>
      <c r="H201" s="1">
        <v>823.76</v>
      </c>
      <c r="I201" s="1">
        <v>609.99</v>
      </c>
      <c r="J201" s="1">
        <v>213.77</v>
      </c>
      <c r="K201" s="1" t="s">
        <v>860</v>
      </c>
    </row>
    <row r="202" spans="1:11">
      <c r="A202" s="17">
        <v>199</v>
      </c>
      <c r="B202" s="18" t="s">
        <v>4303</v>
      </c>
      <c r="C202" s="1" t="s">
        <v>5</v>
      </c>
      <c r="D202" s="1" t="s">
        <v>36</v>
      </c>
      <c r="E202" s="19">
        <v>2100999</v>
      </c>
      <c r="F202" s="20">
        <f t="shared" si="16"/>
        <v>2037969.03</v>
      </c>
      <c r="G202" s="21">
        <f t="shared" si="17"/>
        <v>1974939.0599999998</v>
      </c>
      <c r="H202" s="1">
        <v>831.83</v>
      </c>
      <c r="I202" s="1">
        <v>618.05999999999995</v>
      </c>
      <c r="J202" s="1">
        <v>213.77</v>
      </c>
      <c r="K202" s="1" t="s">
        <v>861</v>
      </c>
    </row>
    <row r="203" spans="1:11">
      <c r="A203" s="17">
        <v>200</v>
      </c>
      <c r="B203" s="18" t="s">
        <v>4870</v>
      </c>
      <c r="C203" s="1" t="s">
        <v>3</v>
      </c>
      <c r="D203" s="1" t="s">
        <v>36</v>
      </c>
      <c r="E203" s="19">
        <v>2150000</v>
      </c>
      <c r="F203" s="20">
        <f t="shared" si="16"/>
        <v>2085500</v>
      </c>
      <c r="G203" s="21">
        <f t="shared" si="17"/>
        <v>2021000</v>
      </c>
      <c r="H203" s="1">
        <v>831.83</v>
      </c>
      <c r="I203" s="1">
        <v>618.05999999999995</v>
      </c>
      <c r="J203" s="1">
        <v>213.77</v>
      </c>
      <c r="K203" s="1" t="s">
        <v>860</v>
      </c>
    </row>
    <row r="204" spans="1:11">
      <c r="A204" s="17">
        <v>201</v>
      </c>
      <c r="B204" s="18" t="s">
        <v>4304</v>
      </c>
      <c r="C204" s="1" t="s">
        <v>3</v>
      </c>
      <c r="D204" s="1" t="s">
        <v>36</v>
      </c>
      <c r="E204" s="19">
        <v>2098999</v>
      </c>
      <c r="F204" s="20">
        <f t="shared" si="16"/>
        <v>2036029.03</v>
      </c>
      <c r="G204" s="21">
        <f t="shared" si="17"/>
        <v>1973059.0599999998</v>
      </c>
      <c r="H204" s="1">
        <v>835.27</v>
      </c>
      <c r="I204" s="1">
        <v>639.91</v>
      </c>
      <c r="J204" s="1">
        <v>195.36</v>
      </c>
      <c r="K204" s="1" t="s">
        <v>39</v>
      </c>
    </row>
    <row r="205" spans="1:11">
      <c r="A205" s="17">
        <v>202</v>
      </c>
      <c r="B205" s="18" t="s">
        <v>4305</v>
      </c>
      <c r="C205" s="1" t="s">
        <v>3</v>
      </c>
      <c r="D205" s="1" t="s">
        <v>36</v>
      </c>
      <c r="E205" s="19">
        <v>2098999</v>
      </c>
      <c r="F205" s="20">
        <f t="shared" si="16"/>
        <v>2036029.03</v>
      </c>
      <c r="G205" s="21">
        <f t="shared" si="17"/>
        <v>1973059.0599999998</v>
      </c>
      <c r="H205" s="1">
        <v>835.27</v>
      </c>
      <c r="I205" s="1">
        <v>639.91</v>
      </c>
      <c r="J205" s="1">
        <v>195.36</v>
      </c>
      <c r="K205" s="1" t="s">
        <v>39</v>
      </c>
    </row>
    <row r="206" spans="1:11">
      <c r="A206" s="17">
        <v>203</v>
      </c>
      <c r="B206" s="18" t="s">
        <v>4306</v>
      </c>
      <c r="C206" s="1" t="s">
        <v>11</v>
      </c>
      <c r="D206" s="1" t="s">
        <v>36</v>
      </c>
      <c r="E206" s="19">
        <v>2095999</v>
      </c>
      <c r="F206" s="20">
        <f t="shared" si="16"/>
        <v>2033119.03</v>
      </c>
      <c r="G206" s="21">
        <f t="shared" si="17"/>
        <v>1970239.0599999998</v>
      </c>
      <c r="H206" s="1">
        <v>823.76</v>
      </c>
      <c r="I206" s="1">
        <v>609.99</v>
      </c>
      <c r="J206" s="1">
        <v>213.77</v>
      </c>
      <c r="K206" s="1" t="s">
        <v>861</v>
      </c>
    </row>
    <row r="207" spans="1:11">
      <c r="A207" s="17">
        <v>204</v>
      </c>
      <c r="B207" s="18" t="s">
        <v>4871</v>
      </c>
      <c r="C207" s="1" t="s">
        <v>7</v>
      </c>
      <c r="D207" s="1" t="s">
        <v>36</v>
      </c>
      <c r="E207" s="19">
        <v>2150000</v>
      </c>
      <c r="F207" s="20">
        <f t="shared" si="16"/>
        <v>2085500</v>
      </c>
      <c r="G207" s="21">
        <f t="shared" si="17"/>
        <v>2021000</v>
      </c>
      <c r="H207" s="1">
        <v>823.76</v>
      </c>
      <c r="I207" s="1">
        <v>609.99</v>
      </c>
      <c r="J207" s="1">
        <v>213.77</v>
      </c>
      <c r="K207" s="1" t="s">
        <v>860</v>
      </c>
    </row>
    <row r="208" spans="1:11">
      <c r="A208" s="17">
        <v>205</v>
      </c>
      <c r="B208" s="18" t="s">
        <v>4307</v>
      </c>
      <c r="C208" s="1" t="s">
        <v>4</v>
      </c>
      <c r="D208" s="1" t="s">
        <v>36</v>
      </c>
      <c r="E208" s="19">
        <v>2095999</v>
      </c>
      <c r="F208" s="20">
        <f t="shared" si="16"/>
        <v>2033119.03</v>
      </c>
      <c r="G208" s="21">
        <f t="shared" si="17"/>
        <v>1970239.0599999998</v>
      </c>
      <c r="H208" s="1">
        <v>831.83</v>
      </c>
      <c r="I208" s="1">
        <v>618.05999999999995</v>
      </c>
      <c r="J208" s="1">
        <v>213.77</v>
      </c>
      <c r="K208" s="1" t="s">
        <v>861</v>
      </c>
    </row>
    <row r="209" spans="1:11">
      <c r="A209" s="17">
        <v>206</v>
      </c>
      <c r="B209" s="18" t="s">
        <v>4649</v>
      </c>
      <c r="C209" s="1" t="s">
        <v>12</v>
      </c>
      <c r="D209" s="1" t="s">
        <v>36</v>
      </c>
      <c r="E209" s="19">
        <v>2090999</v>
      </c>
      <c r="F209" s="20">
        <f t="shared" si="16"/>
        <v>2028269.03</v>
      </c>
      <c r="G209" s="21">
        <f t="shared" si="17"/>
        <v>1965539.0599999998</v>
      </c>
      <c r="H209" s="1">
        <v>823.76</v>
      </c>
      <c r="I209" s="1">
        <v>609.99</v>
      </c>
      <c r="J209" s="1">
        <v>213.77</v>
      </c>
      <c r="K209" s="1" t="s">
        <v>861</v>
      </c>
    </row>
    <row r="210" spans="1:11">
      <c r="A210" s="17">
        <v>207</v>
      </c>
      <c r="B210" s="18" t="s">
        <v>4872</v>
      </c>
      <c r="C210" s="1" t="s">
        <v>8</v>
      </c>
      <c r="D210" s="1" t="s">
        <v>36</v>
      </c>
      <c r="E210" s="19">
        <v>2150000</v>
      </c>
      <c r="F210" s="20">
        <f t="shared" si="16"/>
        <v>2085500</v>
      </c>
      <c r="G210" s="21">
        <f t="shared" si="17"/>
        <v>2021000</v>
      </c>
      <c r="H210" s="1">
        <v>823.76</v>
      </c>
      <c r="I210" s="1">
        <v>609.99</v>
      </c>
      <c r="J210" s="1">
        <v>213.77</v>
      </c>
      <c r="K210" s="1" t="s">
        <v>860</v>
      </c>
    </row>
    <row r="211" spans="1:11">
      <c r="A211" s="17">
        <v>208</v>
      </c>
      <c r="B211" s="18" t="s">
        <v>4308</v>
      </c>
      <c r="C211" s="1" t="s">
        <v>4458</v>
      </c>
      <c r="D211" s="1" t="s">
        <v>36</v>
      </c>
      <c r="E211" s="19">
        <v>2090999</v>
      </c>
      <c r="F211" s="20">
        <f t="shared" si="16"/>
        <v>2028269.03</v>
      </c>
      <c r="G211" s="21">
        <f t="shared" si="17"/>
        <v>1965539.0599999998</v>
      </c>
      <c r="H211" s="1">
        <v>831.72</v>
      </c>
      <c r="I211" s="1">
        <v>618.05999999999995</v>
      </c>
      <c r="J211" s="1">
        <v>213.66</v>
      </c>
      <c r="K211" s="1" t="s">
        <v>861</v>
      </c>
    </row>
    <row r="212" spans="1:11">
      <c r="A212" s="17">
        <v>209</v>
      </c>
      <c r="B212" s="18" t="s">
        <v>4309</v>
      </c>
      <c r="C212" s="1" t="s">
        <v>32</v>
      </c>
      <c r="D212" s="1" t="s">
        <v>36</v>
      </c>
      <c r="E212" s="19">
        <v>2085999</v>
      </c>
      <c r="F212" s="20">
        <f t="shared" si="16"/>
        <v>2023419.03</v>
      </c>
      <c r="G212" s="21">
        <f t="shared" si="17"/>
        <v>1960839.0599999998</v>
      </c>
      <c r="H212" s="1">
        <v>823.76</v>
      </c>
      <c r="I212" s="1">
        <v>609.99</v>
      </c>
      <c r="J212" s="1">
        <v>213.77</v>
      </c>
      <c r="K212" s="1" t="s">
        <v>861</v>
      </c>
    </row>
    <row r="213" spans="1:11">
      <c r="A213" s="17">
        <v>210</v>
      </c>
      <c r="B213" s="18" t="s">
        <v>4873</v>
      </c>
      <c r="C213" s="1" t="s">
        <v>9</v>
      </c>
      <c r="D213" s="1" t="s">
        <v>36</v>
      </c>
      <c r="E213" s="19">
        <v>2150000</v>
      </c>
      <c r="F213" s="20">
        <f t="shared" si="16"/>
        <v>2085500</v>
      </c>
      <c r="G213" s="21">
        <f t="shared" si="17"/>
        <v>2021000</v>
      </c>
      <c r="H213" s="1">
        <v>823.76</v>
      </c>
      <c r="I213" s="1">
        <v>609.99</v>
      </c>
      <c r="J213" s="1">
        <v>213.77</v>
      </c>
      <c r="K213" s="1" t="s">
        <v>860</v>
      </c>
    </row>
    <row r="214" spans="1:11">
      <c r="A214" s="17">
        <v>211</v>
      </c>
      <c r="B214" s="18" t="s">
        <v>4310</v>
      </c>
      <c r="C214" s="1" t="s">
        <v>6</v>
      </c>
      <c r="D214" s="1" t="s">
        <v>36</v>
      </c>
      <c r="E214" s="19">
        <v>2085999</v>
      </c>
      <c r="F214" s="20">
        <f t="shared" si="16"/>
        <v>2023419.03</v>
      </c>
      <c r="G214" s="21">
        <f t="shared" si="17"/>
        <v>1960839.0599999998</v>
      </c>
      <c r="H214" s="1">
        <v>831.72</v>
      </c>
      <c r="I214" s="1">
        <v>618.05999999999995</v>
      </c>
      <c r="J214" s="1">
        <v>213.66</v>
      </c>
      <c r="K214" s="1" t="s">
        <v>861</v>
      </c>
    </row>
    <row r="215" spans="1:11">
      <c r="A215" s="17">
        <v>212</v>
      </c>
      <c r="B215" s="18" t="s">
        <v>4311</v>
      </c>
      <c r="C215" s="1" t="s">
        <v>4459</v>
      </c>
      <c r="D215" s="1" t="s">
        <v>36</v>
      </c>
      <c r="E215" s="19">
        <v>2081999</v>
      </c>
      <c r="F215" s="20">
        <f t="shared" ref="F215:F241" si="18">E215*0.97</f>
        <v>2019539.03</v>
      </c>
      <c r="G215" s="21">
        <f t="shared" ref="G215:G241" si="19">E215*0.94</f>
        <v>1957079.0599999998</v>
      </c>
      <c r="H215" s="1">
        <v>823.76</v>
      </c>
      <c r="I215" s="1">
        <v>609.99</v>
      </c>
      <c r="J215" s="1">
        <v>213.77</v>
      </c>
      <c r="K215" s="1" t="s">
        <v>861</v>
      </c>
    </row>
    <row r="216" spans="1:11">
      <c r="A216" s="17">
        <v>213</v>
      </c>
      <c r="B216" s="18" t="s">
        <v>4874</v>
      </c>
      <c r="C216" s="1" t="s">
        <v>10</v>
      </c>
      <c r="D216" s="1" t="s">
        <v>36</v>
      </c>
      <c r="E216" s="19">
        <v>2150000</v>
      </c>
      <c r="F216" s="20">
        <f t="shared" si="18"/>
        <v>2085500</v>
      </c>
      <c r="G216" s="21">
        <f t="shared" si="19"/>
        <v>2021000</v>
      </c>
      <c r="H216" s="1">
        <v>823.76</v>
      </c>
      <c r="I216" s="1">
        <v>609.99</v>
      </c>
      <c r="J216" s="1">
        <v>213.77</v>
      </c>
      <c r="K216" s="1" t="s">
        <v>860</v>
      </c>
    </row>
    <row r="217" spans="1:11">
      <c r="A217" s="17">
        <v>214</v>
      </c>
      <c r="B217" s="18" t="s">
        <v>4312</v>
      </c>
      <c r="C217" s="1" t="s">
        <v>7</v>
      </c>
      <c r="D217" s="1" t="s">
        <v>36</v>
      </c>
      <c r="E217" s="19">
        <v>2080999</v>
      </c>
      <c r="F217" s="20">
        <f t="shared" si="18"/>
        <v>2018569.03</v>
      </c>
      <c r="G217" s="21">
        <f t="shared" si="19"/>
        <v>1956139.0599999998</v>
      </c>
      <c r="H217" s="1">
        <v>831.72</v>
      </c>
      <c r="I217" s="1">
        <v>618.05999999999995</v>
      </c>
      <c r="J217" s="1">
        <v>213.66</v>
      </c>
      <c r="K217" s="1" t="s">
        <v>861</v>
      </c>
    </row>
    <row r="218" spans="1:11">
      <c r="A218" s="17">
        <v>215</v>
      </c>
      <c r="B218" s="18" t="s">
        <v>4313</v>
      </c>
      <c r="C218" s="1" t="s">
        <v>5</v>
      </c>
      <c r="D218" s="1" t="s">
        <v>36</v>
      </c>
      <c r="E218" s="19">
        <v>2076999</v>
      </c>
      <c r="F218" s="20">
        <f t="shared" si="18"/>
        <v>2014689.03</v>
      </c>
      <c r="G218" s="21">
        <f t="shared" si="19"/>
        <v>1952379.0599999998</v>
      </c>
      <c r="H218" s="1">
        <v>823.76</v>
      </c>
      <c r="I218" s="1">
        <v>609.99</v>
      </c>
      <c r="J218" s="1">
        <v>213.77</v>
      </c>
      <c r="K218" s="1" t="s">
        <v>861</v>
      </c>
    </row>
    <row r="219" spans="1:11">
      <c r="A219" s="17">
        <v>216</v>
      </c>
      <c r="B219" s="18" t="s">
        <v>4505</v>
      </c>
      <c r="C219" s="1" t="s">
        <v>3</v>
      </c>
      <c r="D219" s="1" t="s">
        <v>36</v>
      </c>
      <c r="E219" s="19">
        <v>2076999</v>
      </c>
      <c r="F219" s="20">
        <f t="shared" si="18"/>
        <v>2014689.03</v>
      </c>
      <c r="G219" s="21">
        <f t="shared" si="19"/>
        <v>1952379.0599999998</v>
      </c>
      <c r="H219" s="1">
        <v>823.76</v>
      </c>
      <c r="I219" s="1">
        <v>609.99</v>
      </c>
      <c r="J219" s="1">
        <v>213.77</v>
      </c>
      <c r="K219" s="1" t="s">
        <v>860</v>
      </c>
    </row>
    <row r="220" spans="1:11">
      <c r="A220" s="17">
        <v>217</v>
      </c>
      <c r="B220" s="18" t="s">
        <v>4925</v>
      </c>
      <c r="C220" s="1" t="s">
        <v>4461</v>
      </c>
      <c r="D220" s="1" t="s">
        <v>36</v>
      </c>
      <c r="E220" s="19">
        <v>2076999</v>
      </c>
      <c r="F220" s="20">
        <f t="shared" si="18"/>
        <v>2014689.03</v>
      </c>
      <c r="G220" s="21">
        <f t="shared" si="19"/>
        <v>1952379.0599999998</v>
      </c>
      <c r="H220" s="1">
        <v>790.5</v>
      </c>
      <c r="I220" s="1">
        <v>614.62</v>
      </c>
      <c r="J220" s="1">
        <v>175.88</v>
      </c>
      <c r="K220" s="1" t="s">
        <v>39</v>
      </c>
    </row>
    <row r="221" spans="1:11">
      <c r="A221" s="17">
        <v>218</v>
      </c>
      <c r="B221" s="18" t="s">
        <v>4926</v>
      </c>
      <c r="C221" s="1" t="s">
        <v>4461</v>
      </c>
      <c r="D221" s="1" t="s">
        <v>36</v>
      </c>
      <c r="E221" s="19">
        <v>2076999</v>
      </c>
      <c r="F221" s="20">
        <f t="shared" si="18"/>
        <v>2014689.03</v>
      </c>
      <c r="G221" s="21">
        <f t="shared" si="19"/>
        <v>1952379.0599999998</v>
      </c>
      <c r="H221" s="1">
        <v>790.5</v>
      </c>
      <c r="I221" s="1">
        <v>614.62</v>
      </c>
      <c r="J221" s="1">
        <v>175.88</v>
      </c>
      <c r="K221" s="1" t="s">
        <v>39</v>
      </c>
    </row>
    <row r="222" spans="1:11">
      <c r="A222" s="17">
        <v>219</v>
      </c>
      <c r="B222" s="18" t="s">
        <v>4314</v>
      </c>
      <c r="C222" s="1" t="s">
        <v>8</v>
      </c>
      <c r="D222" s="1" t="s">
        <v>36</v>
      </c>
      <c r="E222" s="19">
        <v>2075999</v>
      </c>
      <c r="F222" s="20">
        <f t="shared" si="18"/>
        <v>2013719.03</v>
      </c>
      <c r="G222" s="21">
        <f t="shared" si="19"/>
        <v>1951439.0599999998</v>
      </c>
      <c r="H222" s="1">
        <v>831.72</v>
      </c>
      <c r="I222" s="1">
        <v>618.05999999999995</v>
      </c>
      <c r="J222" s="1">
        <v>213.66</v>
      </c>
      <c r="K222" s="1" t="s">
        <v>861</v>
      </c>
    </row>
    <row r="223" spans="1:11">
      <c r="A223" s="17">
        <v>220</v>
      </c>
      <c r="B223" s="18" t="s">
        <v>4315</v>
      </c>
      <c r="C223" s="1" t="s">
        <v>4</v>
      </c>
      <c r="D223" s="1" t="s">
        <v>36</v>
      </c>
      <c r="E223" s="19">
        <v>2071999</v>
      </c>
      <c r="F223" s="20">
        <f t="shared" si="18"/>
        <v>2009839.03</v>
      </c>
      <c r="G223" s="21">
        <f t="shared" si="19"/>
        <v>1947679.0599999998</v>
      </c>
      <c r="H223" s="1">
        <v>823.76</v>
      </c>
      <c r="I223" s="1">
        <v>609.99</v>
      </c>
      <c r="J223" s="1">
        <v>213.77</v>
      </c>
      <c r="K223" s="1" t="s">
        <v>861</v>
      </c>
    </row>
    <row r="224" spans="1:11">
      <c r="A224" s="17">
        <v>221</v>
      </c>
      <c r="B224" s="18" t="s">
        <v>4316</v>
      </c>
      <c r="C224" s="1" t="s">
        <v>4460</v>
      </c>
      <c r="D224" s="1" t="s">
        <v>36</v>
      </c>
      <c r="E224" s="19">
        <v>2071999</v>
      </c>
      <c r="F224" s="20">
        <f t="shared" si="18"/>
        <v>2009839.03</v>
      </c>
      <c r="G224" s="21">
        <f t="shared" si="19"/>
        <v>1947679.0599999998</v>
      </c>
      <c r="H224" s="1">
        <v>790.5</v>
      </c>
      <c r="I224" s="1">
        <v>614.62</v>
      </c>
      <c r="J224" s="1">
        <v>175.88</v>
      </c>
      <c r="K224" s="1" t="s">
        <v>39</v>
      </c>
    </row>
    <row r="225" spans="1:11">
      <c r="A225" s="17">
        <v>222</v>
      </c>
      <c r="B225" s="18" t="s">
        <v>4875</v>
      </c>
      <c r="C225" s="1" t="s">
        <v>4465</v>
      </c>
      <c r="D225" s="1" t="s">
        <v>36</v>
      </c>
      <c r="E225" s="19">
        <v>2150000</v>
      </c>
      <c r="F225" s="20">
        <f t="shared" si="18"/>
        <v>2085500</v>
      </c>
      <c r="G225" s="21">
        <f t="shared" si="19"/>
        <v>2021000</v>
      </c>
      <c r="H225" s="1">
        <v>789.21</v>
      </c>
      <c r="I225" s="1">
        <v>575.44000000000005</v>
      </c>
      <c r="J225" s="1">
        <v>213.77</v>
      </c>
      <c r="K225" s="1" t="s">
        <v>860</v>
      </c>
    </row>
    <row r="226" spans="1:11">
      <c r="A226" s="17">
        <v>223</v>
      </c>
      <c r="B226" s="18" t="s">
        <v>4317</v>
      </c>
      <c r="C226" s="1" t="s">
        <v>9</v>
      </c>
      <c r="D226" s="1" t="s">
        <v>36</v>
      </c>
      <c r="E226" s="19">
        <v>2070999</v>
      </c>
      <c r="F226" s="20">
        <f t="shared" si="18"/>
        <v>2008869.03</v>
      </c>
      <c r="G226" s="21">
        <f t="shared" si="19"/>
        <v>1946739.0599999998</v>
      </c>
      <c r="H226" s="1">
        <v>831.83</v>
      </c>
      <c r="I226" s="1">
        <v>618.05999999999995</v>
      </c>
      <c r="J226" s="1">
        <v>213.77</v>
      </c>
      <c r="K226" s="1" t="s">
        <v>861</v>
      </c>
    </row>
    <row r="227" spans="1:11">
      <c r="A227" s="17">
        <v>224</v>
      </c>
      <c r="B227" s="18" t="s">
        <v>4318</v>
      </c>
      <c r="C227" s="1" t="s">
        <v>4458</v>
      </c>
      <c r="D227" s="1" t="s">
        <v>36</v>
      </c>
      <c r="E227" s="19">
        <v>2066999</v>
      </c>
      <c r="F227" s="20">
        <f t="shared" si="18"/>
        <v>2004989.03</v>
      </c>
      <c r="G227" s="21">
        <f t="shared" si="19"/>
        <v>1942979.0599999998</v>
      </c>
      <c r="H227" s="1">
        <v>823.76</v>
      </c>
      <c r="I227" s="1">
        <v>609.99</v>
      </c>
      <c r="J227" s="1">
        <v>213.77</v>
      </c>
      <c r="K227" s="1" t="s">
        <v>861</v>
      </c>
    </row>
    <row r="228" spans="1:11">
      <c r="A228" s="17">
        <v>225</v>
      </c>
      <c r="B228" s="18" t="s">
        <v>4319</v>
      </c>
      <c r="C228" s="1" t="s">
        <v>11</v>
      </c>
      <c r="D228" s="1" t="s">
        <v>36</v>
      </c>
      <c r="E228" s="19">
        <v>2066999</v>
      </c>
      <c r="F228" s="20">
        <f t="shared" si="18"/>
        <v>2004989.03</v>
      </c>
      <c r="G228" s="21">
        <f t="shared" si="19"/>
        <v>1942979.0599999998</v>
      </c>
      <c r="H228" s="1">
        <v>790.5</v>
      </c>
      <c r="I228" s="1">
        <v>614.62</v>
      </c>
      <c r="J228" s="1">
        <v>175.88</v>
      </c>
      <c r="K228" s="1" t="s">
        <v>39</v>
      </c>
    </row>
    <row r="229" spans="1:11">
      <c r="A229" s="17">
        <v>226</v>
      </c>
      <c r="B229" s="18" t="s">
        <v>4320</v>
      </c>
      <c r="C229" s="1" t="s">
        <v>11</v>
      </c>
      <c r="D229" s="1" t="s">
        <v>36</v>
      </c>
      <c r="E229" s="19">
        <v>2066999</v>
      </c>
      <c r="F229" s="20">
        <f t="shared" si="18"/>
        <v>2004989.03</v>
      </c>
      <c r="G229" s="21">
        <f t="shared" si="19"/>
        <v>1942979.0599999998</v>
      </c>
      <c r="H229" s="1">
        <v>790.5</v>
      </c>
      <c r="I229" s="1">
        <v>614.62</v>
      </c>
      <c r="J229" s="1">
        <v>175.88</v>
      </c>
      <c r="K229" s="1" t="s">
        <v>39</v>
      </c>
    </row>
    <row r="230" spans="1:11">
      <c r="A230" s="17">
        <v>227</v>
      </c>
      <c r="B230" s="18" t="s">
        <v>4876</v>
      </c>
      <c r="C230" s="1" t="s">
        <v>4464</v>
      </c>
      <c r="D230" s="1" t="s">
        <v>36</v>
      </c>
      <c r="E230" s="19">
        <v>2150000</v>
      </c>
      <c r="F230" s="20">
        <f t="shared" si="18"/>
        <v>2085500</v>
      </c>
      <c r="G230" s="21">
        <f t="shared" si="19"/>
        <v>2021000</v>
      </c>
      <c r="H230" s="1">
        <v>789.21</v>
      </c>
      <c r="I230" s="1">
        <v>575.44000000000005</v>
      </c>
      <c r="J230" s="1">
        <v>213.77</v>
      </c>
      <c r="K230" s="1" t="s">
        <v>860</v>
      </c>
    </row>
    <row r="231" spans="1:11">
      <c r="A231" s="17">
        <v>228</v>
      </c>
      <c r="B231" s="18" t="s">
        <v>4321</v>
      </c>
      <c r="C231" s="1" t="s">
        <v>10</v>
      </c>
      <c r="D231" s="1" t="s">
        <v>36</v>
      </c>
      <c r="E231" s="19">
        <v>2065999</v>
      </c>
      <c r="F231" s="20">
        <f t="shared" si="18"/>
        <v>2004019.03</v>
      </c>
      <c r="G231" s="21">
        <f t="shared" si="19"/>
        <v>1942039.0599999998</v>
      </c>
      <c r="H231" s="1">
        <v>831.83</v>
      </c>
      <c r="I231" s="1">
        <v>618.05999999999995</v>
      </c>
      <c r="J231" s="1">
        <v>213.77</v>
      </c>
      <c r="K231" s="1" t="s">
        <v>861</v>
      </c>
    </row>
    <row r="232" spans="1:11">
      <c r="A232" s="17">
        <v>229</v>
      </c>
      <c r="B232" s="18" t="s">
        <v>4322</v>
      </c>
      <c r="C232" s="1" t="s">
        <v>6</v>
      </c>
      <c r="D232" s="1" t="s">
        <v>36</v>
      </c>
      <c r="E232" s="19">
        <v>2061999</v>
      </c>
      <c r="F232" s="20">
        <f t="shared" si="18"/>
        <v>2000139.03</v>
      </c>
      <c r="G232" s="21">
        <f t="shared" si="19"/>
        <v>1938279.0599999998</v>
      </c>
      <c r="H232" s="1">
        <v>823.76</v>
      </c>
      <c r="I232" s="1">
        <v>609.99</v>
      </c>
      <c r="J232" s="1">
        <v>213.77</v>
      </c>
      <c r="K232" s="1" t="s">
        <v>861</v>
      </c>
    </row>
    <row r="233" spans="1:11">
      <c r="A233" s="17">
        <v>230</v>
      </c>
      <c r="B233" s="18" t="s">
        <v>853</v>
      </c>
      <c r="C233" s="1" t="s">
        <v>3</v>
      </c>
      <c r="D233" s="1" t="s">
        <v>36</v>
      </c>
      <c r="E233" s="19">
        <v>2060999</v>
      </c>
      <c r="F233" s="20">
        <f t="shared" si="18"/>
        <v>1999169.03</v>
      </c>
      <c r="G233" s="21">
        <f t="shared" si="19"/>
        <v>1937339.0599999998</v>
      </c>
      <c r="H233" s="1">
        <v>831.83</v>
      </c>
      <c r="I233" s="1">
        <v>618.05999999999995</v>
      </c>
      <c r="J233" s="1">
        <v>213.77</v>
      </c>
      <c r="K233" s="1" t="s">
        <v>861</v>
      </c>
    </row>
    <row r="234" spans="1:11">
      <c r="A234" s="17">
        <v>231</v>
      </c>
      <c r="B234" s="18" t="s">
        <v>854</v>
      </c>
      <c r="C234" s="1" t="s">
        <v>7</v>
      </c>
      <c r="D234" s="1" t="s">
        <v>36</v>
      </c>
      <c r="E234" s="19">
        <v>2056999</v>
      </c>
      <c r="F234" s="20">
        <f t="shared" si="18"/>
        <v>1995289.03</v>
      </c>
      <c r="G234" s="21">
        <f t="shared" si="19"/>
        <v>1933579.0599999998</v>
      </c>
      <c r="H234" s="1">
        <v>822.47</v>
      </c>
      <c r="I234" s="1">
        <v>608.70000000000005</v>
      </c>
      <c r="J234" s="1">
        <v>213.77</v>
      </c>
      <c r="K234" s="1" t="s">
        <v>861</v>
      </c>
    </row>
    <row r="235" spans="1:11">
      <c r="A235" s="17">
        <v>232</v>
      </c>
      <c r="B235" s="18" t="s">
        <v>855</v>
      </c>
      <c r="C235" s="1" t="s">
        <v>6</v>
      </c>
      <c r="D235" s="1" t="s">
        <v>36</v>
      </c>
      <c r="E235" s="19">
        <v>2032999</v>
      </c>
      <c r="F235" s="20">
        <f t="shared" si="18"/>
        <v>1972009.03</v>
      </c>
      <c r="G235" s="21">
        <f t="shared" si="19"/>
        <v>1911019.0599999998</v>
      </c>
      <c r="H235" s="1">
        <v>790.5</v>
      </c>
      <c r="I235" s="1">
        <v>614.62</v>
      </c>
      <c r="J235" s="1">
        <v>175.88</v>
      </c>
      <c r="K235" s="1" t="s">
        <v>39</v>
      </c>
    </row>
    <row r="236" spans="1:11">
      <c r="A236" s="17">
        <v>233</v>
      </c>
      <c r="B236" s="18" t="s">
        <v>856</v>
      </c>
      <c r="C236" s="1" t="s">
        <v>6</v>
      </c>
      <c r="D236" s="1" t="s">
        <v>36</v>
      </c>
      <c r="E236" s="19">
        <v>2032999</v>
      </c>
      <c r="F236" s="20">
        <f t="shared" si="18"/>
        <v>1972009.03</v>
      </c>
      <c r="G236" s="21">
        <f t="shared" si="19"/>
        <v>1911019.0599999998</v>
      </c>
      <c r="H236" s="1">
        <v>790.5</v>
      </c>
      <c r="I236" s="1">
        <v>614.62</v>
      </c>
      <c r="J236" s="1">
        <v>175.88</v>
      </c>
      <c r="K236" s="1" t="s">
        <v>39</v>
      </c>
    </row>
    <row r="237" spans="1:11">
      <c r="A237" s="17">
        <v>234</v>
      </c>
      <c r="B237" s="18" t="s">
        <v>4535</v>
      </c>
      <c r="C237" s="1" t="s">
        <v>7</v>
      </c>
      <c r="D237" s="1" t="s">
        <v>36</v>
      </c>
      <c r="E237" s="19">
        <v>2027999</v>
      </c>
      <c r="F237" s="20">
        <f t="shared" si="18"/>
        <v>1967159.03</v>
      </c>
      <c r="G237" s="21">
        <f t="shared" si="19"/>
        <v>1906319.0599999998</v>
      </c>
      <c r="H237" s="1">
        <v>790.5</v>
      </c>
      <c r="I237" s="1">
        <v>614.62</v>
      </c>
      <c r="J237" s="1">
        <v>175.88</v>
      </c>
      <c r="K237" s="1" t="s">
        <v>39</v>
      </c>
    </row>
    <row r="238" spans="1:11">
      <c r="A238" s="17">
        <v>235</v>
      </c>
      <c r="B238" s="18" t="s">
        <v>4506</v>
      </c>
      <c r="C238" s="1" t="s">
        <v>3</v>
      </c>
      <c r="D238" s="1" t="s">
        <v>36</v>
      </c>
      <c r="E238" s="19">
        <v>2524999</v>
      </c>
      <c r="F238" s="20">
        <f t="shared" si="18"/>
        <v>2449249.0299999998</v>
      </c>
      <c r="G238" s="21">
        <f t="shared" si="19"/>
        <v>2373499.06</v>
      </c>
      <c r="H238" s="1">
        <v>1027.95</v>
      </c>
      <c r="I238" s="1">
        <v>647.88</v>
      </c>
      <c r="J238" s="1">
        <v>380.07</v>
      </c>
      <c r="K238" s="1" t="s">
        <v>860</v>
      </c>
    </row>
    <row r="239" spans="1:11">
      <c r="A239" s="17">
        <v>236</v>
      </c>
      <c r="B239" s="18" t="s">
        <v>857</v>
      </c>
      <c r="C239" s="1" t="s">
        <v>5</v>
      </c>
      <c r="D239" s="1" t="s">
        <v>36</v>
      </c>
      <c r="E239" s="19">
        <v>2524999</v>
      </c>
      <c r="F239" s="20">
        <f t="shared" si="18"/>
        <v>2449249.0299999998</v>
      </c>
      <c r="G239" s="21">
        <f t="shared" si="19"/>
        <v>2373499.06</v>
      </c>
      <c r="H239" s="1">
        <v>1027.2</v>
      </c>
      <c r="I239" s="1">
        <v>647.88</v>
      </c>
      <c r="J239" s="1">
        <v>379.32</v>
      </c>
      <c r="K239" s="1" t="s">
        <v>861</v>
      </c>
    </row>
    <row r="240" spans="1:11">
      <c r="A240" s="17">
        <v>237</v>
      </c>
      <c r="B240" s="18" t="s">
        <v>858</v>
      </c>
      <c r="C240" s="1" t="s">
        <v>4</v>
      </c>
      <c r="D240" s="1" t="s">
        <v>36</v>
      </c>
      <c r="E240" s="19">
        <v>2519999</v>
      </c>
      <c r="F240" s="20">
        <f t="shared" si="18"/>
        <v>2444399.0299999998</v>
      </c>
      <c r="G240" s="21">
        <f t="shared" si="19"/>
        <v>2368799.06</v>
      </c>
      <c r="H240" s="1">
        <v>1027.2</v>
      </c>
      <c r="I240" s="1">
        <v>647.88</v>
      </c>
      <c r="J240" s="1">
        <v>379.32</v>
      </c>
      <c r="K240" s="1" t="s">
        <v>861</v>
      </c>
    </row>
    <row r="241" spans="1:11">
      <c r="A241" s="17">
        <v>238</v>
      </c>
      <c r="B241" s="18" t="s">
        <v>4507</v>
      </c>
      <c r="C241" s="1" t="s">
        <v>3</v>
      </c>
      <c r="D241" s="1" t="s">
        <v>36</v>
      </c>
      <c r="E241" s="19">
        <v>2288999</v>
      </c>
      <c r="F241" s="20">
        <f t="shared" si="18"/>
        <v>2220329.0299999998</v>
      </c>
      <c r="G241" s="21">
        <f t="shared" si="19"/>
        <v>2151659.06</v>
      </c>
      <c r="H241" s="1">
        <v>856.92</v>
      </c>
      <c r="I241" s="1">
        <v>686.63</v>
      </c>
      <c r="J241" s="1">
        <v>170.29</v>
      </c>
      <c r="K241" s="1" t="s">
        <v>860</v>
      </c>
    </row>
  </sheetData>
  <autoFilter ref="A3:K106" xr:uid="{ED722C2D-7CAC-4A94-A10D-A8E2B9465D07}"/>
  <mergeCells count="2">
    <mergeCell ref="A1:K1"/>
    <mergeCell ref="A2:K2"/>
  </mergeCells>
  <conditionalFormatting sqref="B1:B22">
    <cfRule type="duplicateValues" dxfId="14169" priority="233433"/>
    <cfRule type="duplicateValues" dxfId="14168" priority="233434"/>
    <cfRule type="duplicateValues" dxfId="14167" priority="233435"/>
    <cfRule type="duplicateValues" dxfId="14166" priority="233436"/>
    <cfRule type="duplicateValues" dxfId="14165" priority="233437"/>
    <cfRule type="duplicateValues" dxfId="14164" priority="233438"/>
    <cfRule type="duplicateValues" dxfId="14163" priority="233439"/>
    <cfRule type="duplicateValues" dxfId="14162" priority="233440"/>
    <cfRule type="duplicateValues" dxfId="14161" priority="233441"/>
    <cfRule type="duplicateValues" dxfId="14160" priority="233442"/>
    <cfRule type="duplicateValues" dxfId="14159" priority="233443"/>
    <cfRule type="duplicateValues" dxfId="14158" priority="233444"/>
    <cfRule type="duplicateValues" dxfId="14157" priority="233445"/>
    <cfRule type="duplicateValues" dxfId="14156" priority="233446"/>
    <cfRule type="duplicateValues" dxfId="14155" priority="233447"/>
    <cfRule type="duplicateValues" dxfId="14154" priority="233448"/>
    <cfRule type="duplicateValues" dxfId="14153" priority="233449"/>
    <cfRule type="duplicateValues" dxfId="14152" priority="233450"/>
    <cfRule type="duplicateValues" dxfId="14151" priority="233451"/>
    <cfRule type="duplicateValues" dxfId="14150" priority="233452"/>
    <cfRule type="duplicateValues" dxfId="14149" priority="233826"/>
    <cfRule type="duplicateValues" dxfId="14148" priority="233827"/>
    <cfRule type="duplicateValues" dxfId="14147" priority="233828"/>
    <cfRule type="duplicateValues" dxfId="14146" priority="233829"/>
    <cfRule type="duplicateValues" dxfId="14145" priority="233830"/>
    <cfRule type="duplicateValues" dxfId="14144" priority="233831"/>
    <cfRule type="duplicateValues" dxfId="14143" priority="233832"/>
    <cfRule type="duplicateValues" dxfId="14142" priority="233833"/>
    <cfRule type="duplicateValues" dxfId="14141" priority="233834"/>
    <cfRule type="duplicateValues" dxfId="14140" priority="233835"/>
    <cfRule type="duplicateValues" dxfId="14139" priority="233836"/>
    <cfRule type="duplicateValues" dxfId="14138" priority="233837"/>
    <cfRule type="duplicateValues" dxfId="14137" priority="233838"/>
    <cfRule type="duplicateValues" dxfId="14136" priority="233839"/>
    <cfRule type="duplicateValues" dxfId="14135" priority="233840"/>
    <cfRule type="duplicateValues" dxfId="14134" priority="233841"/>
    <cfRule type="duplicateValues" dxfId="14133" priority="233842"/>
    <cfRule type="duplicateValues" dxfId="14132" priority="233843"/>
    <cfRule type="duplicateValues" dxfId="14131" priority="233844"/>
    <cfRule type="duplicateValues" dxfId="14130" priority="233845"/>
    <cfRule type="duplicateValues" dxfId="14129" priority="233846"/>
    <cfRule type="duplicateValues" dxfId="14128" priority="233847"/>
    <cfRule type="duplicateValues" dxfId="14127" priority="233848"/>
    <cfRule type="duplicateValues" dxfId="14126" priority="233849"/>
    <cfRule type="duplicateValues" dxfId="14125" priority="233850"/>
    <cfRule type="duplicateValues" dxfId="14124" priority="233851"/>
    <cfRule type="duplicateValues" dxfId="14123" priority="233852"/>
    <cfRule type="duplicateValues" dxfId="14122" priority="233853"/>
    <cfRule type="duplicateValues" dxfId="14121" priority="233854"/>
    <cfRule type="duplicateValues" dxfId="14120" priority="233855"/>
    <cfRule type="duplicateValues" dxfId="14119" priority="233856"/>
    <cfRule type="duplicateValues" dxfId="14118" priority="233857"/>
    <cfRule type="duplicateValues" dxfId="14117" priority="233858"/>
    <cfRule type="duplicateValues" dxfId="14116" priority="233859"/>
    <cfRule type="duplicateValues" dxfId="14115" priority="233860"/>
    <cfRule type="duplicateValues" dxfId="14114" priority="233861"/>
    <cfRule type="duplicateValues" dxfId="14113" priority="233862"/>
    <cfRule type="duplicateValues" dxfId="14112" priority="233863"/>
    <cfRule type="duplicateValues" dxfId="14111" priority="233864"/>
    <cfRule type="duplicateValues" dxfId="14110" priority="233865"/>
    <cfRule type="duplicateValues" dxfId="14109" priority="233866"/>
    <cfRule type="duplicateValues" dxfId="14108" priority="233867"/>
  </conditionalFormatting>
  <conditionalFormatting sqref="B1:B241">
    <cfRule type="duplicateValues" dxfId="14107" priority="250318"/>
  </conditionalFormatting>
  <conditionalFormatting sqref="B23:B65">
    <cfRule type="duplicateValues" dxfId="14106" priority="233930"/>
    <cfRule type="duplicateValues" dxfId="14105" priority="233931"/>
    <cfRule type="duplicateValues" dxfId="14104" priority="233932"/>
    <cfRule type="duplicateValues" dxfId="14103" priority="233933"/>
    <cfRule type="duplicateValues" dxfId="14102" priority="233934"/>
    <cfRule type="duplicateValues" dxfId="14101" priority="233935"/>
    <cfRule type="duplicateValues" dxfId="14100" priority="233936"/>
    <cfRule type="duplicateValues" dxfId="14099" priority="233937"/>
    <cfRule type="duplicateValues" dxfId="14098" priority="233938"/>
    <cfRule type="duplicateValues" dxfId="14097" priority="233939"/>
    <cfRule type="duplicateValues" dxfId="14096" priority="233940"/>
    <cfRule type="duplicateValues" dxfId="14095" priority="233941"/>
    <cfRule type="duplicateValues" dxfId="14094" priority="233942"/>
    <cfRule type="duplicateValues" dxfId="14093" priority="233943"/>
    <cfRule type="duplicateValues" dxfId="14092" priority="233944"/>
    <cfRule type="duplicateValues" dxfId="14091" priority="233945"/>
    <cfRule type="duplicateValues" dxfId="14090" priority="233946"/>
    <cfRule type="duplicateValues" dxfId="14089" priority="233947"/>
    <cfRule type="duplicateValues" dxfId="14088" priority="233948"/>
    <cfRule type="duplicateValues" dxfId="14087" priority="233949"/>
    <cfRule type="duplicateValues" dxfId="14086" priority="233955"/>
    <cfRule type="duplicateValues" dxfId="14085" priority="233956"/>
    <cfRule type="duplicateValues" dxfId="14084" priority="233957"/>
    <cfRule type="duplicateValues" dxfId="14083" priority="233958"/>
    <cfRule type="duplicateValues" dxfId="14082" priority="233959"/>
    <cfRule type="duplicateValues" dxfId="14081" priority="233960"/>
    <cfRule type="duplicateValues" dxfId="14080" priority="233961"/>
    <cfRule type="duplicateValues" dxfId="14079" priority="233962"/>
    <cfRule type="duplicateValues" dxfId="14078" priority="233963"/>
    <cfRule type="duplicateValues" dxfId="14077" priority="233964"/>
    <cfRule type="duplicateValues" dxfId="14076" priority="233965"/>
    <cfRule type="duplicateValues" dxfId="14075" priority="233966"/>
    <cfRule type="duplicateValues" dxfId="14074" priority="233967"/>
    <cfRule type="duplicateValues" dxfId="14073" priority="233968"/>
    <cfRule type="duplicateValues" dxfId="14072" priority="233969"/>
    <cfRule type="duplicateValues" dxfId="14071" priority="233970"/>
    <cfRule type="duplicateValues" dxfId="14070" priority="233971"/>
    <cfRule type="duplicateValues" dxfId="14069" priority="233972"/>
    <cfRule type="duplicateValues" dxfId="14068" priority="233973"/>
    <cfRule type="duplicateValues" dxfId="14067" priority="233974"/>
    <cfRule type="duplicateValues" dxfId="14066" priority="233975"/>
    <cfRule type="duplicateValues" dxfId="14065" priority="233976"/>
    <cfRule type="duplicateValues" dxfId="14064" priority="233977"/>
    <cfRule type="duplicateValues" dxfId="14063" priority="233978"/>
    <cfRule type="duplicateValues" dxfId="14062" priority="233979"/>
    <cfRule type="duplicateValues" dxfId="14061" priority="233980"/>
    <cfRule type="duplicateValues" dxfId="14060" priority="233981"/>
    <cfRule type="duplicateValues" dxfId="14059" priority="233982"/>
    <cfRule type="duplicateValues" dxfId="14058" priority="233983"/>
    <cfRule type="duplicateValues" dxfId="14057" priority="233984"/>
    <cfRule type="duplicateValues" dxfId="14056" priority="233985"/>
    <cfRule type="duplicateValues" dxfId="14055" priority="233986"/>
    <cfRule type="duplicateValues" dxfId="14054" priority="233987"/>
    <cfRule type="duplicateValues" dxfId="14053" priority="233988"/>
    <cfRule type="duplicateValues" dxfId="14052" priority="233989"/>
    <cfRule type="duplicateValues" dxfId="14051" priority="233990"/>
    <cfRule type="duplicateValues" dxfId="14050" priority="233991"/>
    <cfRule type="duplicateValues" dxfId="14049" priority="233992"/>
    <cfRule type="duplicateValues" dxfId="14048" priority="233993"/>
    <cfRule type="duplicateValues" dxfId="14047" priority="233994"/>
    <cfRule type="duplicateValues" dxfId="14046" priority="233995"/>
    <cfRule type="duplicateValues" dxfId="14045" priority="233996"/>
  </conditionalFormatting>
  <conditionalFormatting sqref="B66:B241">
    <cfRule type="duplicateValues" dxfId="14044" priority="250322"/>
    <cfRule type="duplicateValues" dxfId="14043" priority="250323"/>
    <cfRule type="duplicateValues" dxfId="14042" priority="250324"/>
    <cfRule type="duplicateValues" dxfId="14041" priority="250325"/>
    <cfRule type="duplicateValues" dxfId="14040" priority="250326"/>
    <cfRule type="duplicateValues" dxfId="14039" priority="250327"/>
    <cfRule type="duplicateValues" dxfId="14038" priority="250328"/>
    <cfRule type="duplicateValues" dxfId="14037" priority="250329"/>
    <cfRule type="duplicateValues" dxfId="14036" priority="250330"/>
    <cfRule type="duplicateValues" dxfId="14035" priority="250331"/>
    <cfRule type="duplicateValues" dxfId="14034" priority="250332"/>
    <cfRule type="duplicateValues" dxfId="14033" priority="250333"/>
    <cfRule type="duplicateValues" dxfId="14032" priority="250334"/>
    <cfRule type="duplicateValues" dxfId="14031" priority="250335"/>
    <cfRule type="duplicateValues" dxfId="14030" priority="250336"/>
    <cfRule type="duplicateValues" dxfId="14029" priority="250337"/>
    <cfRule type="duplicateValues" dxfId="14028" priority="250338"/>
    <cfRule type="duplicateValues" dxfId="14027" priority="250339"/>
    <cfRule type="duplicateValues" dxfId="14026" priority="250340"/>
    <cfRule type="duplicateValues" dxfId="14025" priority="250341"/>
    <cfRule type="duplicateValues" dxfId="14024" priority="250342"/>
    <cfRule type="duplicateValues" dxfId="14023" priority="250343"/>
    <cfRule type="duplicateValues" dxfId="14022" priority="250344"/>
    <cfRule type="duplicateValues" dxfId="14021" priority="250345"/>
    <cfRule type="duplicateValues" dxfId="14020" priority="250346"/>
    <cfRule type="duplicateValues" dxfId="14019" priority="250347"/>
    <cfRule type="duplicateValues" dxfId="14018" priority="250348"/>
    <cfRule type="duplicateValues" dxfId="14017" priority="250349"/>
    <cfRule type="duplicateValues" dxfId="14016" priority="250350"/>
    <cfRule type="duplicateValues" dxfId="14015" priority="250351"/>
    <cfRule type="duplicateValues" dxfId="14014" priority="250352"/>
    <cfRule type="duplicateValues" dxfId="14013" priority="250353"/>
    <cfRule type="duplicateValues" dxfId="14012" priority="250354"/>
    <cfRule type="duplicateValues" dxfId="14011" priority="250355"/>
    <cfRule type="duplicateValues" dxfId="14010" priority="250356"/>
    <cfRule type="duplicateValues" dxfId="14009" priority="250357"/>
    <cfRule type="duplicateValues" dxfId="14008" priority="250358"/>
    <cfRule type="duplicateValues" dxfId="14007" priority="250359"/>
    <cfRule type="duplicateValues" dxfId="14006" priority="250360"/>
    <cfRule type="duplicateValues" dxfId="14005" priority="250361"/>
    <cfRule type="duplicateValues" dxfId="14004" priority="250362"/>
    <cfRule type="duplicateValues" dxfId="14003" priority="250363"/>
    <cfRule type="duplicateValues" dxfId="14002" priority="250364"/>
    <cfRule type="duplicateValues" dxfId="14001" priority="250365"/>
    <cfRule type="duplicateValues" dxfId="14000" priority="250366"/>
    <cfRule type="duplicateValues" dxfId="13999" priority="250367"/>
    <cfRule type="duplicateValues" dxfId="13998" priority="250368"/>
    <cfRule type="duplicateValues" dxfId="13997" priority="250369"/>
    <cfRule type="duplicateValues" dxfId="13996" priority="250370"/>
    <cfRule type="duplicateValues" dxfId="13995" priority="250371"/>
    <cfRule type="duplicateValues" dxfId="13994" priority="250372"/>
    <cfRule type="duplicateValues" dxfId="13993" priority="250373"/>
    <cfRule type="duplicateValues" dxfId="13992" priority="250374"/>
    <cfRule type="duplicateValues" dxfId="13991" priority="250375"/>
    <cfRule type="duplicateValues" dxfId="13990" priority="250376"/>
    <cfRule type="duplicateValues" dxfId="13989" priority="250377"/>
    <cfRule type="duplicateValues" dxfId="13988" priority="250378"/>
    <cfRule type="duplicateValues" dxfId="13987" priority="250379"/>
    <cfRule type="duplicateValues" dxfId="13986" priority="250380"/>
    <cfRule type="duplicateValues" dxfId="13985" priority="250381"/>
    <cfRule type="duplicateValues" dxfId="13984" priority="250382"/>
    <cfRule type="duplicateValues" dxfId="13983" priority="250383"/>
  </conditionalFormatting>
  <conditionalFormatting sqref="B1:B1048576">
    <cfRule type="duplicateValues" dxfId="13982" priority="1"/>
  </conditionalFormatting>
  <conditionalFormatting sqref="B1:B242">
    <cfRule type="duplicateValues" dxfId="13981" priority="251148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BE55-9817-4B3B-B082-5EBA4D3AF5DD}">
  <dimension ref="A1:I17"/>
  <sheetViews>
    <sheetView zoomScaleNormal="100" workbookViewId="0">
      <selection sqref="A1:I1"/>
    </sheetView>
  </sheetViews>
  <sheetFormatPr defaultColWidth="8.6640625" defaultRowHeight="13.8"/>
  <cols>
    <col min="1" max="1" width="8" style="185" bestFit="1" customWidth="1"/>
    <col min="2" max="2" width="12.88671875" style="185" bestFit="1" customWidth="1"/>
    <col min="3" max="3" width="9.109375" style="185" bestFit="1" customWidth="1"/>
    <col min="4" max="4" width="12.33203125" style="185" bestFit="1" customWidth="1"/>
    <col min="5" max="5" width="15.6640625" style="188" bestFit="1" customWidth="1"/>
    <col min="6" max="6" width="13.33203125" style="185" bestFit="1" customWidth="1"/>
    <col min="7" max="7" width="12.109375" style="185" bestFit="1" customWidth="1"/>
    <col min="8" max="8" width="15.109375" style="185" bestFit="1" customWidth="1"/>
    <col min="9" max="9" width="64.5546875" style="185" customWidth="1"/>
    <col min="10" max="16384" width="8.6640625" style="185"/>
  </cols>
  <sheetData>
    <row r="1" spans="1:9" ht="25.8">
      <c r="A1" s="280" t="s">
        <v>670</v>
      </c>
      <c r="B1" s="280"/>
      <c r="C1" s="280"/>
      <c r="D1" s="280"/>
      <c r="E1" s="281"/>
      <c r="F1" s="280"/>
      <c r="G1" s="280"/>
      <c r="H1" s="280"/>
      <c r="I1" s="280"/>
    </row>
    <row r="2" spans="1:9">
      <c r="A2" s="282" t="s">
        <v>4255</v>
      </c>
      <c r="B2" s="282"/>
      <c r="C2" s="282"/>
      <c r="D2" s="282"/>
      <c r="E2" s="283"/>
      <c r="F2" s="282"/>
      <c r="G2" s="282"/>
      <c r="H2" s="282"/>
      <c r="I2" s="282"/>
    </row>
    <row r="3" spans="1:9">
      <c r="A3" s="186" t="s">
        <v>22</v>
      </c>
      <c r="B3" s="186" t="s">
        <v>13</v>
      </c>
      <c r="C3" s="186" t="s">
        <v>26</v>
      </c>
      <c r="D3" s="186" t="s">
        <v>14</v>
      </c>
      <c r="E3" s="187" t="s">
        <v>15</v>
      </c>
      <c r="F3" s="186" t="s">
        <v>16</v>
      </c>
      <c r="G3" s="186" t="s">
        <v>17</v>
      </c>
      <c r="H3" s="186" t="s">
        <v>18</v>
      </c>
      <c r="I3" s="186" t="s">
        <v>19</v>
      </c>
    </row>
    <row r="4" spans="1:9">
      <c r="A4" s="155">
        <v>1</v>
      </c>
      <c r="B4" s="156" t="s">
        <v>883</v>
      </c>
      <c r="C4" s="155" t="s">
        <v>4494</v>
      </c>
      <c r="D4" s="155" t="s">
        <v>36</v>
      </c>
      <c r="E4" s="157">
        <v>1224999</v>
      </c>
      <c r="F4" s="254">
        <v>821.29</v>
      </c>
      <c r="G4" s="254">
        <v>560.79999999999995</v>
      </c>
      <c r="H4" s="254">
        <v>260.49</v>
      </c>
      <c r="I4" s="155" t="s">
        <v>39</v>
      </c>
    </row>
    <row r="5" spans="1:9">
      <c r="A5" s="155">
        <v>2</v>
      </c>
      <c r="B5" s="156" t="s">
        <v>688</v>
      </c>
      <c r="C5" s="155" t="s">
        <v>3</v>
      </c>
      <c r="D5" s="155" t="s">
        <v>36</v>
      </c>
      <c r="E5" s="157">
        <v>1249999</v>
      </c>
      <c r="F5" s="254">
        <v>1061.75</v>
      </c>
      <c r="G5" s="254">
        <v>545.51</v>
      </c>
      <c r="H5" s="254">
        <v>516.24</v>
      </c>
      <c r="I5" s="155" t="s">
        <v>671</v>
      </c>
    </row>
    <row r="6" spans="1:9">
      <c r="A6" s="155">
        <v>3</v>
      </c>
      <c r="B6" s="156" t="s">
        <v>4927</v>
      </c>
      <c r="C6" s="155" t="s">
        <v>5</v>
      </c>
      <c r="D6" s="155" t="s">
        <v>36</v>
      </c>
      <c r="E6" s="157">
        <v>1499999</v>
      </c>
      <c r="F6" s="254">
        <v>1042.05</v>
      </c>
      <c r="G6" s="254">
        <v>597.72</v>
      </c>
      <c r="H6" s="254">
        <v>444.33</v>
      </c>
      <c r="I6" s="155" t="s">
        <v>4929</v>
      </c>
    </row>
    <row r="7" spans="1:9">
      <c r="A7" s="155">
        <v>4</v>
      </c>
      <c r="B7" s="156" t="s">
        <v>689</v>
      </c>
      <c r="C7" s="155" t="s">
        <v>5</v>
      </c>
      <c r="D7" s="155" t="s">
        <v>36</v>
      </c>
      <c r="E7" s="157">
        <v>1162499</v>
      </c>
      <c r="F7" s="254">
        <v>713.76</v>
      </c>
      <c r="G7" s="254">
        <v>543.58000000000004</v>
      </c>
      <c r="H7" s="254">
        <v>170.18</v>
      </c>
      <c r="I7" s="155" t="s">
        <v>690</v>
      </c>
    </row>
    <row r="8" spans="1:9">
      <c r="A8" s="155">
        <v>5</v>
      </c>
      <c r="B8" s="156" t="s">
        <v>691</v>
      </c>
      <c r="C8" s="155" t="s">
        <v>4</v>
      </c>
      <c r="D8" s="155" t="s">
        <v>36</v>
      </c>
      <c r="E8" s="157">
        <v>1162499</v>
      </c>
      <c r="F8" s="254">
        <v>713.76</v>
      </c>
      <c r="G8" s="254">
        <v>543.58000000000004</v>
      </c>
      <c r="H8" s="254">
        <v>170.18</v>
      </c>
      <c r="I8" s="155" t="s">
        <v>690</v>
      </c>
    </row>
    <row r="9" spans="1:9">
      <c r="A9" s="155">
        <v>6</v>
      </c>
      <c r="B9" s="156" t="s">
        <v>692</v>
      </c>
      <c r="C9" s="155" t="s">
        <v>4458</v>
      </c>
      <c r="D9" s="155" t="s">
        <v>36</v>
      </c>
      <c r="E9" s="157">
        <v>1149999</v>
      </c>
      <c r="F9" s="254">
        <v>646.70000000000005</v>
      </c>
      <c r="G9" s="254">
        <v>510.64</v>
      </c>
      <c r="H9" s="254">
        <v>136.06</v>
      </c>
      <c r="I9" s="155" t="s">
        <v>671</v>
      </c>
    </row>
    <row r="10" spans="1:9">
      <c r="A10" s="155">
        <v>7</v>
      </c>
      <c r="B10" s="156" t="s">
        <v>693</v>
      </c>
      <c r="C10" s="155" t="s">
        <v>4458</v>
      </c>
      <c r="D10" s="155" t="s">
        <v>36</v>
      </c>
      <c r="E10" s="157">
        <v>1212499</v>
      </c>
      <c r="F10" s="254">
        <v>757.34</v>
      </c>
      <c r="G10" s="254">
        <v>516.34</v>
      </c>
      <c r="H10" s="254">
        <v>241</v>
      </c>
      <c r="I10" s="155" t="s">
        <v>39</v>
      </c>
    </row>
    <row r="11" spans="1:9">
      <c r="A11" s="155">
        <v>8</v>
      </c>
      <c r="B11" s="156" t="s">
        <v>694</v>
      </c>
      <c r="C11" s="155" t="s">
        <v>7</v>
      </c>
      <c r="D11" s="155" t="s">
        <v>36</v>
      </c>
      <c r="E11" s="157">
        <v>1212499</v>
      </c>
      <c r="F11" s="254">
        <v>757.34</v>
      </c>
      <c r="G11" s="254">
        <v>516.34</v>
      </c>
      <c r="H11" s="254">
        <v>241</v>
      </c>
      <c r="I11" s="155" t="s">
        <v>39</v>
      </c>
    </row>
    <row r="12" spans="1:9">
      <c r="A12" s="155">
        <v>9</v>
      </c>
      <c r="B12" s="156" t="s">
        <v>4928</v>
      </c>
      <c r="C12" s="155" t="s">
        <v>7</v>
      </c>
      <c r="D12" s="155" t="s">
        <v>36</v>
      </c>
      <c r="E12" s="157">
        <v>1499999</v>
      </c>
      <c r="F12" s="254">
        <v>1042.05</v>
      </c>
      <c r="G12" s="254">
        <v>597.72</v>
      </c>
      <c r="H12" s="254">
        <v>444.33</v>
      </c>
      <c r="I12" s="155" t="s">
        <v>4929</v>
      </c>
    </row>
    <row r="13" spans="1:9">
      <c r="A13" s="155">
        <v>10</v>
      </c>
      <c r="B13" s="156" t="s">
        <v>695</v>
      </c>
      <c r="C13" s="155" t="s">
        <v>9</v>
      </c>
      <c r="D13" s="155" t="s">
        <v>36</v>
      </c>
      <c r="E13" s="157">
        <v>1149999</v>
      </c>
      <c r="F13" s="254">
        <v>646.70000000000005</v>
      </c>
      <c r="G13" s="254">
        <v>510.64</v>
      </c>
      <c r="H13" s="254">
        <v>136.06</v>
      </c>
      <c r="I13" s="155" t="s">
        <v>671</v>
      </c>
    </row>
    <row r="14" spans="1:9">
      <c r="A14" s="155">
        <v>11</v>
      </c>
      <c r="B14" s="156" t="s">
        <v>696</v>
      </c>
      <c r="C14" s="155" t="s">
        <v>4463</v>
      </c>
      <c r="D14" s="155" t="s">
        <v>36</v>
      </c>
      <c r="E14" s="157">
        <v>1181249</v>
      </c>
      <c r="F14" s="254">
        <v>713.76</v>
      </c>
      <c r="G14" s="254">
        <v>543.58000000000004</v>
      </c>
      <c r="H14" s="254">
        <v>170.18</v>
      </c>
      <c r="I14" s="155" t="s">
        <v>690</v>
      </c>
    </row>
    <row r="15" spans="1:9">
      <c r="A15" s="155">
        <v>12</v>
      </c>
      <c r="B15" s="156" t="s">
        <v>697</v>
      </c>
      <c r="C15" s="155" t="s">
        <v>4462</v>
      </c>
      <c r="D15" s="155" t="s">
        <v>36</v>
      </c>
      <c r="E15" s="157">
        <v>1181249</v>
      </c>
      <c r="F15" s="254">
        <v>713.76</v>
      </c>
      <c r="G15" s="254">
        <v>543.58000000000004</v>
      </c>
      <c r="H15" s="254">
        <v>170.18</v>
      </c>
      <c r="I15" s="155" t="s">
        <v>690</v>
      </c>
    </row>
    <row r="16" spans="1:9">
      <c r="A16" s="155">
        <v>13</v>
      </c>
      <c r="B16" s="156" t="s">
        <v>698</v>
      </c>
      <c r="C16" s="253" t="s">
        <v>33</v>
      </c>
      <c r="D16" s="253" t="s">
        <v>36</v>
      </c>
      <c r="E16" s="157">
        <v>1181249</v>
      </c>
      <c r="F16" s="255">
        <v>713.76</v>
      </c>
      <c r="G16" s="255">
        <v>543.58000000000004</v>
      </c>
      <c r="H16" s="255">
        <v>170.18</v>
      </c>
      <c r="I16" s="253" t="s">
        <v>690</v>
      </c>
    </row>
    <row r="17" spans="1:9">
      <c r="A17" s="155">
        <v>14</v>
      </c>
      <c r="B17" s="156" t="s">
        <v>699</v>
      </c>
      <c r="C17" s="253" t="s">
        <v>3</v>
      </c>
      <c r="D17" s="253" t="s">
        <v>36</v>
      </c>
      <c r="E17" s="157">
        <v>1224999</v>
      </c>
      <c r="F17" s="255">
        <v>867.36</v>
      </c>
      <c r="G17" s="255">
        <v>551.44000000000005</v>
      </c>
      <c r="H17" s="255">
        <v>315.92</v>
      </c>
      <c r="I17" s="253" t="s">
        <v>39</v>
      </c>
    </row>
  </sheetData>
  <autoFilter ref="A3:I3" xr:uid="{CB7DB5AE-35BD-40A0-96CD-8366B3EC638F}">
    <sortState xmlns:xlrd2="http://schemas.microsoft.com/office/spreadsheetml/2017/richdata2" ref="A3:I3">
      <sortCondition sortBy="cellColor" ref="B3" dxfId="16095"/>
    </sortState>
  </autoFilter>
  <mergeCells count="2">
    <mergeCell ref="A1:I1"/>
    <mergeCell ref="A2:I2"/>
  </mergeCells>
  <conditionalFormatting sqref="B1:B3">
    <cfRule type="duplicateValues" dxfId="13980" priority="193976"/>
    <cfRule type="duplicateValues" dxfId="13979" priority="193977"/>
    <cfRule type="duplicateValues" dxfId="13978" priority="193978"/>
    <cfRule type="duplicateValues" dxfId="13977" priority="193979"/>
    <cfRule type="duplicateValues" dxfId="13976" priority="193980"/>
    <cfRule type="duplicateValues" dxfId="13975" priority="193981"/>
    <cfRule type="duplicateValues" dxfId="13974" priority="193982"/>
    <cfRule type="duplicateValues" dxfId="13973" priority="193983"/>
    <cfRule type="duplicateValues" dxfId="13972" priority="193984"/>
    <cfRule type="duplicateValues" dxfId="13971" priority="193985"/>
    <cfRule type="duplicateValues" dxfId="13970" priority="193986"/>
    <cfRule type="duplicateValues" dxfId="13969" priority="193987"/>
    <cfRule type="duplicateValues" dxfId="13968" priority="193988"/>
    <cfRule type="duplicateValues" dxfId="13967" priority="193990"/>
    <cfRule type="duplicateValues" dxfId="13966" priority="193991"/>
    <cfRule type="duplicateValues" dxfId="13965" priority="193992"/>
    <cfRule type="duplicateValues" dxfId="13964" priority="193993"/>
    <cfRule type="duplicateValues" dxfId="13963" priority="193994"/>
    <cfRule type="duplicateValues" dxfId="13962" priority="193995"/>
    <cfRule type="duplicateValues" dxfId="13961" priority="193996"/>
    <cfRule type="duplicateValues" dxfId="13960" priority="193997"/>
    <cfRule type="duplicateValues" dxfId="13959" priority="193998"/>
    <cfRule type="duplicateValues" dxfId="13958" priority="193999"/>
    <cfRule type="duplicateValues" dxfId="13957" priority="194000"/>
    <cfRule type="duplicateValues" dxfId="13956" priority="194001"/>
    <cfRule type="duplicateValues" dxfId="13955" priority="194002"/>
    <cfRule type="duplicateValues" dxfId="13954" priority="194003"/>
    <cfRule type="duplicateValues" dxfId="13953" priority="194004"/>
    <cfRule type="duplicateValues" dxfId="13952" priority="194005"/>
    <cfRule type="duplicateValues" dxfId="13951" priority="194006"/>
    <cfRule type="duplicateValues" dxfId="13950" priority="194007"/>
    <cfRule type="duplicateValues" dxfId="13949" priority="194008"/>
    <cfRule type="duplicateValues" dxfId="13948" priority="194009"/>
    <cfRule type="duplicateValues" dxfId="13947" priority="194010"/>
    <cfRule type="duplicateValues" dxfId="13946" priority="194011"/>
    <cfRule type="duplicateValues" dxfId="13945" priority="194012"/>
    <cfRule type="duplicateValues" dxfId="13944" priority="194013"/>
    <cfRule type="duplicateValues" dxfId="13943" priority="194014"/>
    <cfRule type="duplicateValues" dxfId="13942" priority="194015"/>
    <cfRule type="duplicateValues" dxfId="13941" priority="194016"/>
    <cfRule type="duplicateValues" dxfId="13940" priority="194017"/>
    <cfRule type="duplicateValues" dxfId="13939" priority="194018"/>
    <cfRule type="duplicateValues" dxfId="13938" priority="194019"/>
    <cfRule type="duplicateValues" dxfId="13937" priority="194020"/>
    <cfRule type="duplicateValues" dxfId="13936" priority="194021"/>
    <cfRule type="duplicateValues" dxfId="13935" priority="194022"/>
    <cfRule type="duplicateValues" dxfId="13934" priority="194023"/>
  </conditionalFormatting>
  <conditionalFormatting sqref="B4:B17">
    <cfRule type="duplicateValues" dxfId="13933" priority="249608"/>
    <cfRule type="duplicateValues" dxfId="13932" priority="249609"/>
    <cfRule type="duplicateValues" dxfId="13931" priority="249610"/>
    <cfRule type="duplicateValues" dxfId="13930" priority="249611"/>
    <cfRule type="duplicateValues" dxfId="13929" priority="249612"/>
    <cfRule type="duplicateValues" dxfId="13928" priority="249613"/>
    <cfRule type="duplicateValues" dxfId="13927" priority="249614"/>
    <cfRule type="duplicateValues" dxfId="13926" priority="249615"/>
  </conditionalFormatting>
  <conditionalFormatting sqref="B1:B1048576">
    <cfRule type="duplicateValues" dxfId="13925" priority="1"/>
  </conditionalFormatting>
  <conditionalFormatting sqref="B1:B1048576">
    <cfRule type="duplicateValues" dxfId="13924" priority="251149"/>
    <cfRule type="duplicateValues" dxfId="13923" priority="251150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9595-5B0C-43C7-A6E6-F9E431C0E0A9}">
  <dimension ref="A1:K19"/>
  <sheetViews>
    <sheetView zoomScale="85" zoomScaleNormal="85" workbookViewId="0">
      <selection sqref="A1:K1"/>
    </sheetView>
  </sheetViews>
  <sheetFormatPr defaultColWidth="9" defaultRowHeight="14.4"/>
  <cols>
    <col min="1" max="1" width="4.109375" customWidth="1"/>
    <col min="2" max="2" width="17" customWidth="1"/>
    <col min="3" max="3" width="5.44140625" bestFit="1" customWidth="1"/>
    <col min="4" max="4" width="13.44140625" customWidth="1"/>
    <col min="5" max="7" width="19.6640625" style="7" customWidth="1"/>
    <col min="8" max="8" width="10.33203125" customWidth="1"/>
    <col min="9" max="9" width="10.109375" customWidth="1"/>
    <col min="10" max="10" width="11.6640625" bestFit="1" customWidth="1"/>
    <col min="11" max="11" width="60.6640625" bestFit="1" customWidth="1"/>
  </cols>
  <sheetData>
    <row r="1" spans="1:11" ht="25.8">
      <c r="A1" s="274" t="s">
        <v>339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1" ht="19.5" customHeight="1">
      <c r="A2" s="284" t="s">
        <v>340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 s="22" customFormat="1" ht="27.75" customHeight="1">
      <c r="A3" s="37" t="s">
        <v>22</v>
      </c>
      <c r="B3" s="35" t="s">
        <v>13</v>
      </c>
      <c r="C3" s="35" t="s">
        <v>26</v>
      </c>
      <c r="D3" s="35" t="s">
        <v>44</v>
      </c>
      <c r="E3" s="36" t="s">
        <v>28</v>
      </c>
      <c r="F3" s="36" t="s">
        <v>29</v>
      </c>
      <c r="G3" s="36" t="s">
        <v>43</v>
      </c>
      <c r="H3" s="35" t="s">
        <v>0</v>
      </c>
      <c r="I3" s="35" t="s">
        <v>1</v>
      </c>
      <c r="J3" s="35" t="s">
        <v>2</v>
      </c>
      <c r="K3" s="35" t="s">
        <v>19</v>
      </c>
    </row>
    <row r="4" spans="1:11">
      <c r="A4" s="1">
        <v>1</v>
      </c>
      <c r="B4" s="13" t="s">
        <v>4930</v>
      </c>
      <c r="C4" s="8" t="s">
        <v>8</v>
      </c>
      <c r="D4" s="12" t="s">
        <v>36</v>
      </c>
      <c r="E4" s="11">
        <v>1561999</v>
      </c>
      <c r="F4" s="10">
        <f t="shared" ref="F4:F12" si="0">E4*0.97</f>
        <v>1515139.03</v>
      </c>
      <c r="G4" s="9">
        <f t="shared" ref="G4:G12" si="1">E4*0.94</f>
        <v>1468279.0599999998</v>
      </c>
      <c r="H4" s="8">
        <v>702.45</v>
      </c>
      <c r="I4" s="8">
        <v>635.61</v>
      </c>
      <c r="J4" s="8">
        <v>66.84</v>
      </c>
      <c r="K4" s="8" t="s">
        <v>4946</v>
      </c>
    </row>
    <row r="5" spans="1:11">
      <c r="A5" s="1">
        <v>2</v>
      </c>
      <c r="B5" s="13" t="s">
        <v>4931</v>
      </c>
      <c r="C5" s="8" t="s">
        <v>8</v>
      </c>
      <c r="D5" s="12" t="s">
        <v>36</v>
      </c>
      <c r="E5" s="11">
        <v>1560999</v>
      </c>
      <c r="F5" s="10">
        <f t="shared" si="0"/>
        <v>1514169.03</v>
      </c>
      <c r="G5" s="9">
        <f t="shared" si="1"/>
        <v>1467339.0599999998</v>
      </c>
      <c r="H5" s="8">
        <v>702.24</v>
      </c>
      <c r="I5" s="8">
        <v>635.39</v>
      </c>
      <c r="J5" s="8">
        <v>66.84</v>
      </c>
      <c r="K5" s="8" t="s">
        <v>4946</v>
      </c>
    </row>
    <row r="6" spans="1:11">
      <c r="A6" s="1">
        <v>3</v>
      </c>
      <c r="B6" s="13" t="s">
        <v>4932</v>
      </c>
      <c r="C6" s="8" t="s">
        <v>8</v>
      </c>
      <c r="D6" s="12" t="s">
        <v>36</v>
      </c>
      <c r="E6" s="11">
        <v>1559999</v>
      </c>
      <c r="F6" s="10">
        <f t="shared" si="0"/>
        <v>1513199.03</v>
      </c>
      <c r="G6" s="9">
        <f t="shared" si="1"/>
        <v>1466399.0599999998</v>
      </c>
      <c r="H6" s="8">
        <v>701.81</v>
      </c>
      <c r="I6" s="8">
        <v>634.96</v>
      </c>
      <c r="J6" s="8">
        <v>66.84</v>
      </c>
      <c r="K6" s="8" t="s">
        <v>4946</v>
      </c>
    </row>
    <row r="7" spans="1:11">
      <c r="A7" s="1">
        <v>4</v>
      </c>
      <c r="B7" s="13" t="s">
        <v>4933</v>
      </c>
      <c r="C7" s="8" t="s">
        <v>3</v>
      </c>
      <c r="D7" s="12" t="s">
        <v>36</v>
      </c>
      <c r="E7" s="11">
        <v>1559999</v>
      </c>
      <c r="F7" s="10">
        <f t="shared" si="0"/>
        <v>1513199.03</v>
      </c>
      <c r="G7" s="9">
        <f t="shared" si="1"/>
        <v>1466399.0599999998</v>
      </c>
      <c r="H7" s="8">
        <v>703.53</v>
      </c>
      <c r="I7" s="8">
        <v>636.69000000000005</v>
      </c>
      <c r="J7" s="8">
        <v>66.84</v>
      </c>
      <c r="K7" s="8" t="s">
        <v>4946</v>
      </c>
    </row>
    <row r="8" spans="1:11">
      <c r="A8" s="1">
        <v>5</v>
      </c>
      <c r="B8" s="13" t="s">
        <v>4934</v>
      </c>
      <c r="C8" s="8" t="s">
        <v>3</v>
      </c>
      <c r="D8" s="12" t="s">
        <v>36</v>
      </c>
      <c r="E8" s="11">
        <v>1556999</v>
      </c>
      <c r="F8" s="10">
        <f t="shared" si="0"/>
        <v>1510289.03</v>
      </c>
      <c r="G8" s="9">
        <f t="shared" si="1"/>
        <v>1463579.0599999998</v>
      </c>
      <c r="H8" s="8">
        <v>702.45</v>
      </c>
      <c r="I8" s="8">
        <v>635.61</v>
      </c>
      <c r="J8" s="8">
        <v>66.84</v>
      </c>
      <c r="K8" s="8" t="s">
        <v>4946</v>
      </c>
    </row>
    <row r="9" spans="1:11">
      <c r="A9" s="1">
        <v>6</v>
      </c>
      <c r="B9" s="13" t="s">
        <v>4935</v>
      </c>
      <c r="C9" s="8" t="s">
        <v>3</v>
      </c>
      <c r="D9" s="12" t="s">
        <v>36</v>
      </c>
      <c r="E9" s="11">
        <v>1556999</v>
      </c>
      <c r="F9" s="10">
        <f t="shared" si="0"/>
        <v>1510289.03</v>
      </c>
      <c r="G9" s="9">
        <f t="shared" si="1"/>
        <v>1463579.0599999998</v>
      </c>
      <c r="H9" s="8">
        <v>702.45</v>
      </c>
      <c r="I9" s="8">
        <v>635.61</v>
      </c>
      <c r="J9" s="8">
        <v>66.84</v>
      </c>
      <c r="K9" s="8" t="s">
        <v>4946</v>
      </c>
    </row>
    <row r="10" spans="1:11">
      <c r="A10" s="1">
        <v>7</v>
      </c>
      <c r="B10" s="13" t="s">
        <v>4936</v>
      </c>
      <c r="C10" s="8" t="s">
        <v>3</v>
      </c>
      <c r="D10" s="12" t="s">
        <v>36</v>
      </c>
      <c r="E10" s="11">
        <v>1556999</v>
      </c>
      <c r="F10" s="10">
        <f t="shared" si="0"/>
        <v>1510289.03</v>
      </c>
      <c r="G10" s="9">
        <f t="shared" si="1"/>
        <v>1463579.0599999998</v>
      </c>
      <c r="H10" s="8">
        <v>702.24</v>
      </c>
      <c r="I10" s="8">
        <v>635.39</v>
      </c>
      <c r="J10" s="8">
        <v>66.84</v>
      </c>
      <c r="K10" s="8" t="s">
        <v>4946</v>
      </c>
    </row>
    <row r="11" spans="1:11">
      <c r="A11" s="1">
        <v>8</v>
      </c>
      <c r="B11" s="13" t="s">
        <v>4937</v>
      </c>
      <c r="C11" s="8" t="s">
        <v>3</v>
      </c>
      <c r="D11" s="12" t="s">
        <v>36</v>
      </c>
      <c r="E11" s="11">
        <v>1556999</v>
      </c>
      <c r="F11" s="10">
        <f t="shared" si="0"/>
        <v>1510289.03</v>
      </c>
      <c r="G11" s="9">
        <f t="shared" si="1"/>
        <v>1463579.0599999998</v>
      </c>
      <c r="H11" s="8">
        <v>702.24</v>
      </c>
      <c r="I11" s="8">
        <v>635.39</v>
      </c>
      <c r="J11" s="8">
        <v>66.84</v>
      </c>
      <c r="K11" s="8" t="s">
        <v>4946</v>
      </c>
    </row>
    <row r="12" spans="1:11">
      <c r="A12" s="1">
        <v>9</v>
      </c>
      <c r="B12" s="13" t="s">
        <v>4938</v>
      </c>
      <c r="C12" s="8" t="s">
        <v>8</v>
      </c>
      <c r="D12" s="12" t="s">
        <v>36</v>
      </c>
      <c r="E12" s="11">
        <v>1539999</v>
      </c>
      <c r="F12" s="10">
        <f t="shared" si="0"/>
        <v>1493799.03</v>
      </c>
      <c r="G12" s="9">
        <f t="shared" si="1"/>
        <v>1447599.0599999998</v>
      </c>
      <c r="H12" s="8">
        <v>693.41</v>
      </c>
      <c r="I12" s="8">
        <v>626.57000000000005</v>
      </c>
      <c r="J12" s="8">
        <v>66.84</v>
      </c>
      <c r="K12" s="8" t="s">
        <v>4946</v>
      </c>
    </row>
    <row r="13" spans="1:11">
      <c r="A13" s="1">
        <v>10</v>
      </c>
      <c r="B13" s="13" t="s">
        <v>4939</v>
      </c>
      <c r="C13" s="8" t="s">
        <v>10</v>
      </c>
      <c r="D13" s="12" t="s">
        <v>36</v>
      </c>
      <c r="E13" s="11">
        <v>1536999</v>
      </c>
      <c r="F13" s="10">
        <f t="shared" ref="F13" si="2">E13*0.97</f>
        <v>1490889.03</v>
      </c>
      <c r="G13" s="9">
        <f t="shared" ref="G13" si="3">E13*0.94</f>
        <v>1444779.0599999998</v>
      </c>
      <c r="H13" s="8">
        <v>693.41</v>
      </c>
      <c r="I13" s="8">
        <v>626.57000000000005</v>
      </c>
      <c r="J13" s="8">
        <v>66.84</v>
      </c>
      <c r="K13" s="8" t="s">
        <v>4946</v>
      </c>
    </row>
    <row r="14" spans="1:11">
      <c r="A14" s="1">
        <v>11</v>
      </c>
      <c r="B14" s="13" t="s">
        <v>4940</v>
      </c>
      <c r="C14" s="1" t="s">
        <v>3</v>
      </c>
      <c r="D14" s="1" t="s">
        <v>36</v>
      </c>
      <c r="E14" s="11">
        <v>1535999</v>
      </c>
      <c r="F14" s="10">
        <f t="shared" ref="F14:F19" si="4">E14*0.97</f>
        <v>1489919.03</v>
      </c>
      <c r="G14" s="9">
        <f t="shared" ref="G14:G19" si="5">E14*0.94</f>
        <v>1443839.0599999998</v>
      </c>
      <c r="H14" s="1">
        <v>693.41</v>
      </c>
      <c r="I14" s="1">
        <v>626.57000000000005</v>
      </c>
      <c r="J14" s="1">
        <v>66.84</v>
      </c>
      <c r="K14" s="1" t="s">
        <v>4946</v>
      </c>
    </row>
    <row r="15" spans="1:11">
      <c r="A15" s="1">
        <v>12</v>
      </c>
      <c r="B15" s="13" t="s">
        <v>4941</v>
      </c>
      <c r="C15" s="1" t="s">
        <v>9</v>
      </c>
      <c r="D15" s="1" t="s">
        <v>36</v>
      </c>
      <c r="E15" s="11">
        <v>1529999</v>
      </c>
      <c r="F15" s="10">
        <f t="shared" si="4"/>
        <v>1484099.03</v>
      </c>
      <c r="G15" s="9">
        <f t="shared" si="5"/>
        <v>1438199.0599999998</v>
      </c>
      <c r="H15" s="1">
        <v>690.5</v>
      </c>
      <c r="I15" s="1">
        <v>623.66</v>
      </c>
      <c r="J15" s="1">
        <v>66.84</v>
      </c>
      <c r="K15" s="1" t="s">
        <v>4946</v>
      </c>
    </row>
    <row r="16" spans="1:11">
      <c r="A16" s="1">
        <v>13</v>
      </c>
      <c r="B16" s="13" t="s">
        <v>4942</v>
      </c>
      <c r="C16" s="1" t="s">
        <v>10</v>
      </c>
      <c r="D16" s="1" t="s">
        <v>36</v>
      </c>
      <c r="E16" s="11">
        <v>1529999</v>
      </c>
      <c r="F16" s="10">
        <f t="shared" si="4"/>
        <v>1484099.03</v>
      </c>
      <c r="G16" s="9">
        <f t="shared" si="5"/>
        <v>1438199.0599999998</v>
      </c>
      <c r="H16" s="1">
        <v>690.5</v>
      </c>
      <c r="I16" s="1">
        <v>623.66</v>
      </c>
      <c r="J16" s="1">
        <v>66.84</v>
      </c>
      <c r="K16" s="1" t="s">
        <v>4946</v>
      </c>
    </row>
    <row r="17" spans="1:11">
      <c r="A17" s="1">
        <v>14</v>
      </c>
      <c r="B17" s="13" t="s">
        <v>4943</v>
      </c>
      <c r="C17" s="1" t="s">
        <v>3</v>
      </c>
      <c r="D17" s="1" t="s">
        <v>36</v>
      </c>
      <c r="E17" s="11">
        <v>1529999</v>
      </c>
      <c r="F17" s="10">
        <f t="shared" si="4"/>
        <v>1484099.03</v>
      </c>
      <c r="G17" s="9">
        <f t="shared" si="5"/>
        <v>1438199.0599999998</v>
      </c>
      <c r="H17" s="1">
        <v>689.75</v>
      </c>
      <c r="I17" s="1">
        <v>622.91</v>
      </c>
      <c r="J17" s="1">
        <v>66.84</v>
      </c>
      <c r="K17" s="1" t="s">
        <v>4946</v>
      </c>
    </row>
    <row r="18" spans="1:11">
      <c r="A18" s="1">
        <v>15</v>
      </c>
      <c r="B18" s="13" t="s">
        <v>4944</v>
      </c>
      <c r="C18" s="1" t="s">
        <v>7</v>
      </c>
      <c r="D18" s="1" t="s">
        <v>36</v>
      </c>
      <c r="E18" s="11">
        <v>1475999</v>
      </c>
      <c r="F18" s="10">
        <f t="shared" si="4"/>
        <v>1431719.03</v>
      </c>
      <c r="G18" s="9">
        <f t="shared" si="5"/>
        <v>1387439.0599999998</v>
      </c>
      <c r="H18" s="1">
        <v>876.83</v>
      </c>
      <c r="I18" s="1">
        <v>550.25</v>
      </c>
      <c r="J18" s="1">
        <v>326.58</v>
      </c>
      <c r="K18" s="1" t="s">
        <v>341</v>
      </c>
    </row>
    <row r="19" spans="1:11">
      <c r="A19" s="1">
        <v>16</v>
      </c>
      <c r="B19" s="13" t="s">
        <v>4945</v>
      </c>
      <c r="C19" s="1" t="s">
        <v>8</v>
      </c>
      <c r="D19" s="1" t="s">
        <v>36</v>
      </c>
      <c r="E19" s="11">
        <v>1474999</v>
      </c>
      <c r="F19" s="10">
        <f t="shared" si="4"/>
        <v>1430749.03</v>
      </c>
      <c r="G19" s="9">
        <f t="shared" si="5"/>
        <v>1386499.0599999998</v>
      </c>
      <c r="H19" s="1">
        <v>875.32</v>
      </c>
      <c r="I19" s="1">
        <v>550.25</v>
      </c>
      <c r="J19" s="1">
        <v>325.07</v>
      </c>
      <c r="K19" s="1" t="s">
        <v>341</v>
      </c>
    </row>
  </sheetData>
  <autoFilter ref="A1:K13" xr:uid="{35719595-5B0C-43C7-A6E6-F9E431C0E0A9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2">
    <mergeCell ref="A1:K1"/>
    <mergeCell ref="A2:K2"/>
  </mergeCells>
  <conditionalFormatting sqref="B1">
    <cfRule type="duplicateValues" dxfId="13922" priority="6741"/>
    <cfRule type="duplicateValues" dxfId="13921" priority="6742"/>
    <cfRule type="duplicateValues" dxfId="13920" priority="6743"/>
    <cfRule type="duplicateValues" dxfId="13919" priority="6744"/>
    <cfRule type="duplicateValues" dxfId="13918" priority="6745"/>
    <cfRule type="duplicateValues" dxfId="13917" priority="6746"/>
    <cfRule type="duplicateValues" dxfId="13916" priority="6747"/>
    <cfRule type="duplicateValues" dxfId="13915" priority="6748"/>
    <cfRule type="duplicateValues" dxfId="13914" priority="6749"/>
    <cfRule type="duplicateValues" dxfId="13913" priority="6750"/>
    <cfRule type="duplicateValues" dxfId="13912" priority="6751"/>
    <cfRule type="duplicateValues" dxfId="13911" priority="6752"/>
    <cfRule type="duplicateValues" dxfId="13910" priority="6753"/>
    <cfRule type="duplicateValues" dxfId="13909" priority="6754"/>
  </conditionalFormatting>
  <conditionalFormatting sqref="B1:B3">
    <cfRule type="duplicateValues" dxfId="13908" priority="6697"/>
    <cfRule type="duplicateValues" dxfId="13907" priority="6698"/>
    <cfRule type="duplicateValues" dxfId="13906" priority="6699"/>
    <cfRule type="duplicateValues" dxfId="13905" priority="6700"/>
    <cfRule type="duplicateValues" dxfId="13904" priority="6701"/>
    <cfRule type="duplicateValues" dxfId="13903" priority="6702"/>
    <cfRule type="duplicateValues" dxfId="13902" priority="6703"/>
    <cfRule type="duplicateValues" dxfId="13901" priority="6704"/>
    <cfRule type="duplicateValues" dxfId="13900" priority="6705"/>
    <cfRule type="duplicateValues" dxfId="13899" priority="6706"/>
    <cfRule type="duplicateValues" dxfId="13898" priority="6707"/>
    <cfRule type="duplicateValues" dxfId="13897" priority="6708"/>
    <cfRule type="duplicateValues" dxfId="13896" priority="6709"/>
    <cfRule type="duplicateValues" dxfId="13895" priority="6710"/>
    <cfRule type="duplicateValues" dxfId="13894" priority="6711"/>
    <cfRule type="duplicateValues" dxfId="13893" priority="6712"/>
    <cfRule type="duplicateValues" dxfId="13892" priority="6713"/>
    <cfRule type="duplicateValues" dxfId="13891" priority="6714"/>
    <cfRule type="duplicateValues" dxfId="13890" priority="6715"/>
    <cfRule type="duplicateValues" dxfId="13889" priority="6716"/>
    <cfRule type="duplicateValues" dxfId="13888" priority="6717"/>
    <cfRule type="duplicateValues" dxfId="13887" priority="6718"/>
    <cfRule type="duplicateValues" dxfId="13886" priority="6719"/>
    <cfRule type="duplicateValues" dxfId="13885" priority="6720"/>
    <cfRule type="duplicateValues" dxfId="13884" priority="6721"/>
    <cfRule type="duplicateValues" dxfId="13883" priority="6722"/>
    <cfRule type="duplicateValues" dxfId="13882" priority="6723"/>
    <cfRule type="duplicateValues" dxfId="13881" priority="6724"/>
    <cfRule type="duplicateValues" dxfId="13880" priority="6725"/>
    <cfRule type="duplicateValues" dxfId="13879" priority="6726"/>
    <cfRule type="duplicateValues" dxfId="13878" priority="6727"/>
    <cfRule type="duplicateValues" dxfId="13877" priority="6728"/>
    <cfRule type="duplicateValues" dxfId="13876" priority="6729"/>
    <cfRule type="duplicateValues" dxfId="13875" priority="6730"/>
    <cfRule type="duplicateValues" dxfId="13874" priority="6731"/>
    <cfRule type="duplicateValues" dxfId="13873" priority="6732"/>
    <cfRule type="duplicateValues" dxfId="13872" priority="6733"/>
    <cfRule type="duplicateValues" dxfId="13871" priority="6734"/>
    <cfRule type="duplicateValues" dxfId="13870" priority="6735"/>
    <cfRule type="duplicateValues" dxfId="13869" priority="6736"/>
    <cfRule type="duplicateValues" dxfId="13868" priority="6737"/>
    <cfRule type="duplicateValues" dxfId="13867" priority="6738"/>
    <cfRule type="duplicateValues" dxfId="13866" priority="6739"/>
    <cfRule type="duplicateValues" dxfId="13865" priority="6740"/>
  </conditionalFormatting>
  <conditionalFormatting sqref="B3">
    <cfRule type="duplicateValues" dxfId="13864" priority="6669"/>
  </conditionalFormatting>
  <conditionalFormatting sqref="B4:B6">
    <cfRule type="duplicateValues" dxfId="13863" priority="6580"/>
    <cfRule type="duplicateValues" dxfId="13862" priority="6581"/>
    <cfRule type="duplicateValues" dxfId="13861" priority="6582"/>
    <cfRule type="duplicateValues" dxfId="13860" priority="6583"/>
    <cfRule type="duplicateValues" dxfId="13859" priority="6584"/>
    <cfRule type="duplicateValues" dxfId="13858" priority="6585"/>
    <cfRule type="duplicateValues" dxfId="13857" priority="6586"/>
    <cfRule type="duplicateValues" dxfId="13856" priority="6587"/>
    <cfRule type="duplicateValues" dxfId="13855" priority="6588"/>
    <cfRule type="duplicateValues" dxfId="13854" priority="6589"/>
    <cfRule type="duplicateValues" dxfId="13853" priority="6590"/>
    <cfRule type="duplicateValues" dxfId="13852" priority="6591"/>
    <cfRule type="duplicateValues" dxfId="13851" priority="6592"/>
    <cfRule type="duplicateValues" dxfId="13850" priority="6593"/>
    <cfRule type="duplicateValues" dxfId="13849" priority="6594"/>
    <cfRule type="duplicateValues" dxfId="13848" priority="6595"/>
    <cfRule type="duplicateValues" dxfId="13847" priority="6596"/>
    <cfRule type="duplicateValues" dxfId="13846" priority="6597"/>
    <cfRule type="duplicateValues" dxfId="13845" priority="6598"/>
    <cfRule type="duplicateValues" dxfId="13844" priority="6599"/>
    <cfRule type="duplicateValues" dxfId="13843" priority="6600"/>
    <cfRule type="duplicateValues" dxfId="13842" priority="6601"/>
    <cfRule type="duplicateValues" dxfId="13841" priority="6602"/>
    <cfRule type="duplicateValues" dxfId="13840" priority="6603"/>
    <cfRule type="duplicateValues" dxfId="13839" priority="6604"/>
    <cfRule type="duplicateValues" dxfId="13838" priority="6605"/>
    <cfRule type="duplicateValues" dxfId="13837" priority="6606"/>
    <cfRule type="duplicateValues" dxfId="13836" priority="6607"/>
    <cfRule type="duplicateValues" dxfId="13835" priority="6608"/>
    <cfRule type="duplicateValues" dxfId="13834" priority="6609"/>
    <cfRule type="duplicateValues" dxfId="13833" priority="6610"/>
    <cfRule type="duplicateValues" dxfId="13832" priority="6611"/>
    <cfRule type="duplicateValues" dxfId="13831" priority="6612"/>
    <cfRule type="duplicateValues" dxfId="13830" priority="6613"/>
    <cfRule type="duplicateValues" dxfId="13829" priority="6614"/>
    <cfRule type="duplicateValues" dxfId="13828" priority="6615"/>
    <cfRule type="duplicateValues" dxfId="13827" priority="6616"/>
    <cfRule type="duplicateValues" dxfId="13826" priority="6617"/>
    <cfRule type="duplicateValues" dxfId="13825" priority="6618"/>
    <cfRule type="duplicateValues" dxfId="13824" priority="6619"/>
    <cfRule type="duplicateValues" dxfId="13823" priority="6620"/>
    <cfRule type="duplicateValues" dxfId="13822" priority="6621"/>
    <cfRule type="duplicateValues" dxfId="13821" priority="6622"/>
    <cfRule type="duplicateValues" dxfId="13820" priority="6623"/>
  </conditionalFormatting>
  <conditionalFormatting sqref="B1:B1048576">
    <cfRule type="duplicateValues" dxfId="13819" priority="1"/>
  </conditionalFormatting>
  <conditionalFormatting sqref="B4:B6">
    <cfRule type="duplicateValues" dxfId="13818" priority="251231"/>
    <cfRule type="duplicateValues" dxfId="13817" priority="251232"/>
    <cfRule type="duplicateValues" dxfId="13816" priority="251233"/>
    <cfRule type="duplicateValues" dxfId="13815" priority="251234"/>
    <cfRule type="duplicateValues" dxfId="13814" priority="251235"/>
    <cfRule type="duplicateValues" dxfId="13813" priority="251236"/>
    <cfRule type="duplicateValues" dxfId="13812" priority="251237"/>
    <cfRule type="duplicateValues" dxfId="13811" priority="251238"/>
    <cfRule type="duplicateValues" dxfId="13810" priority="251239"/>
    <cfRule type="duplicateValues" dxfId="13809" priority="251240"/>
    <cfRule type="duplicateValues" dxfId="13808" priority="251241"/>
    <cfRule type="duplicateValues" dxfId="13807" priority="251242"/>
    <cfRule type="duplicateValues" dxfId="13806" priority="251243"/>
    <cfRule type="duplicateValues" dxfId="13805" priority="251244"/>
    <cfRule type="duplicateValues" dxfId="13804" priority="251245"/>
    <cfRule type="duplicateValues" dxfId="13803" priority="251246"/>
    <cfRule type="duplicateValues" dxfId="13802" priority="251247"/>
    <cfRule type="duplicateValues" dxfId="13801" priority="251248"/>
    <cfRule type="duplicateValues" dxfId="13800" priority="251249"/>
    <cfRule type="duplicateValues" dxfId="13799" priority="251250"/>
    <cfRule type="duplicateValues" dxfId="13798" priority="251251"/>
    <cfRule type="duplicateValues" dxfId="13797" priority="251252"/>
    <cfRule type="duplicateValues" dxfId="13796" priority="251253"/>
    <cfRule type="duplicateValues" dxfId="13795" priority="251254"/>
    <cfRule type="duplicateValues" dxfId="13794" priority="251255"/>
    <cfRule type="duplicateValues" dxfId="13793" priority="251256"/>
    <cfRule type="duplicateValues" dxfId="13792" priority="251257"/>
    <cfRule type="duplicateValues" dxfId="13791" priority="251258"/>
    <cfRule type="duplicateValues" dxfId="13790" priority="251259"/>
    <cfRule type="duplicateValues" dxfId="13789" priority="251260"/>
    <cfRule type="duplicateValues" dxfId="13788" priority="251261"/>
    <cfRule type="duplicateValues" dxfId="13787" priority="251262"/>
    <cfRule type="duplicateValues" dxfId="13786" priority="251263"/>
    <cfRule type="duplicateValues" dxfId="13785" priority="251264"/>
    <cfRule type="duplicateValues" dxfId="13784" priority="251265"/>
    <cfRule type="duplicateValues" dxfId="13783" priority="251266"/>
    <cfRule type="duplicateValues" dxfId="13782" priority="251267"/>
    <cfRule type="duplicateValues" dxfId="13781" priority="251268"/>
    <cfRule type="duplicateValues" dxfId="13780" priority="251269"/>
    <cfRule type="duplicateValues" dxfId="13779" priority="251270"/>
    <cfRule type="duplicateValues" dxfId="13778" priority="251271"/>
    <cfRule type="duplicateValues" dxfId="13777" priority="251272"/>
    <cfRule type="duplicateValues" dxfId="13776" priority="251273"/>
    <cfRule type="duplicateValues" dxfId="13775" priority="251274"/>
    <cfRule type="duplicateValues" dxfId="13774" priority="251275"/>
  </conditionalFormatting>
  <conditionalFormatting sqref="B7:B17">
    <cfRule type="duplicateValues" dxfId="13773" priority="250488"/>
    <cfRule type="duplicateValues" dxfId="13772" priority="250489"/>
    <cfRule type="duplicateValues" dxfId="13771" priority="250490"/>
    <cfRule type="duplicateValues" dxfId="13770" priority="250491"/>
    <cfRule type="duplicateValues" dxfId="13769" priority="250492"/>
    <cfRule type="duplicateValues" dxfId="13768" priority="250493"/>
    <cfRule type="duplicateValues" dxfId="13767" priority="250494"/>
    <cfRule type="duplicateValues" dxfId="13766" priority="250495"/>
    <cfRule type="duplicateValues" dxfId="13765" priority="250496"/>
    <cfRule type="duplicateValues" dxfId="13764" priority="250497"/>
    <cfRule type="duplicateValues" dxfId="13763" priority="250498"/>
    <cfRule type="duplicateValues" dxfId="13762" priority="250499"/>
    <cfRule type="duplicateValues" dxfId="13761" priority="250500"/>
    <cfRule type="duplicateValues" dxfId="13760" priority="250501"/>
    <cfRule type="duplicateValues" dxfId="13759" priority="250502"/>
    <cfRule type="duplicateValues" dxfId="13758" priority="250503"/>
    <cfRule type="duplicateValues" dxfId="13757" priority="250504"/>
    <cfRule type="duplicateValues" dxfId="13756" priority="250505"/>
    <cfRule type="duplicateValues" dxfId="13755" priority="250506"/>
    <cfRule type="duplicateValues" dxfId="13754" priority="250507"/>
    <cfRule type="duplicateValues" dxfId="13753" priority="250508"/>
    <cfRule type="duplicateValues" dxfId="13752" priority="250509"/>
    <cfRule type="duplicateValues" dxfId="13751" priority="250510"/>
    <cfRule type="duplicateValues" dxfId="13750" priority="250511"/>
    <cfRule type="duplicateValues" dxfId="13749" priority="250512"/>
    <cfRule type="duplicateValues" dxfId="13748" priority="250513"/>
    <cfRule type="duplicateValues" dxfId="13747" priority="250514"/>
    <cfRule type="duplicateValues" dxfId="13746" priority="250515"/>
    <cfRule type="duplicateValues" dxfId="13745" priority="250516"/>
    <cfRule type="duplicateValues" dxfId="13744" priority="250517"/>
    <cfRule type="duplicateValues" dxfId="13743" priority="250518"/>
    <cfRule type="duplicateValues" dxfId="13742" priority="250519"/>
    <cfRule type="duplicateValues" dxfId="13741" priority="250520"/>
    <cfRule type="duplicateValues" dxfId="13740" priority="250521"/>
    <cfRule type="duplicateValues" dxfId="13739" priority="250522"/>
    <cfRule type="duplicateValues" dxfId="13738" priority="250523"/>
    <cfRule type="duplicateValues" dxfId="13737" priority="250524"/>
    <cfRule type="duplicateValues" dxfId="13736" priority="250525"/>
    <cfRule type="duplicateValues" dxfId="13735" priority="250526"/>
    <cfRule type="duplicateValues" dxfId="13734" priority="250527"/>
    <cfRule type="duplicateValues" dxfId="13733" priority="250528"/>
    <cfRule type="duplicateValues" dxfId="13732" priority="250529"/>
    <cfRule type="duplicateValues" dxfId="13731" priority="250530"/>
    <cfRule type="duplicateValues" dxfId="13730" priority="250531"/>
    <cfRule type="duplicateValues" dxfId="13729" priority="250532"/>
    <cfRule type="duplicateValues" dxfId="13728" priority="250533"/>
    <cfRule type="duplicateValues" dxfId="13727" priority="250534"/>
    <cfRule type="duplicateValues" dxfId="13726" priority="251298"/>
    <cfRule type="duplicateValues" dxfId="13725" priority="251299"/>
    <cfRule type="duplicateValues" dxfId="13724" priority="251300"/>
    <cfRule type="duplicateValues" dxfId="13723" priority="251301"/>
    <cfRule type="duplicateValues" dxfId="13722" priority="251302"/>
    <cfRule type="duplicateValues" dxfId="13721" priority="251303"/>
    <cfRule type="duplicateValues" dxfId="13720" priority="251304"/>
    <cfRule type="duplicateValues" dxfId="13719" priority="251305"/>
    <cfRule type="duplicateValues" dxfId="13718" priority="251306"/>
    <cfRule type="duplicateValues" dxfId="13717" priority="251307"/>
    <cfRule type="duplicateValues" dxfId="13716" priority="251308"/>
    <cfRule type="duplicateValues" dxfId="13715" priority="251309"/>
    <cfRule type="duplicateValues" dxfId="13714" priority="251310"/>
    <cfRule type="duplicateValues" dxfId="13713" priority="251311"/>
    <cfRule type="duplicateValues" dxfId="13712" priority="251312"/>
    <cfRule type="duplicateValues" dxfId="13711" priority="251313"/>
    <cfRule type="duplicateValues" dxfId="13710" priority="251314"/>
    <cfRule type="duplicateValues" dxfId="13709" priority="251315"/>
    <cfRule type="duplicateValues" dxfId="13708" priority="251316"/>
    <cfRule type="duplicateValues" dxfId="13707" priority="251317"/>
    <cfRule type="duplicateValues" dxfId="13706" priority="251318"/>
    <cfRule type="duplicateValues" dxfId="13705" priority="251319"/>
    <cfRule type="duplicateValues" dxfId="13704" priority="251320"/>
    <cfRule type="duplicateValues" dxfId="13703" priority="251321"/>
    <cfRule type="duplicateValues" dxfId="13702" priority="251322"/>
    <cfRule type="duplicateValues" dxfId="13701" priority="251323"/>
    <cfRule type="duplicateValues" dxfId="13700" priority="251324"/>
    <cfRule type="duplicateValues" dxfId="13699" priority="251325"/>
    <cfRule type="duplicateValues" dxfId="13698" priority="251326"/>
    <cfRule type="duplicateValues" dxfId="13697" priority="251327"/>
    <cfRule type="duplicateValues" dxfId="13696" priority="251328"/>
    <cfRule type="duplicateValues" dxfId="13695" priority="251329"/>
    <cfRule type="duplicateValues" dxfId="13694" priority="251330"/>
    <cfRule type="duplicateValues" dxfId="13693" priority="251331"/>
    <cfRule type="duplicateValues" dxfId="13692" priority="251332"/>
    <cfRule type="duplicateValues" dxfId="13691" priority="251333"/>
    <cfRule type="duplicateValues" dxfId="13690" priority="251334"/>
    <cfRule type="duplicateValues" dxfId="13689" priority="251335"/>
    <cfRule type="duplicateValues" dxfId="13688" priority="251336"/>
    <cfRule type="duplicateValues" dxfId="13687" priority="251337"/>
    <cfRule type="duplicateValues" dxfId="13686" priority="251338"/>
    <cfRule type="duplicateValues" dxfId="13685" priority="251339"/>
  </conditionalFormatting>
  <conditionalFormatting sqref="B18">
    <cfRule type="duplicateValues" dxfId="13684" priority="251424"/>
    <cfRule type="duplicateValues" dxfId="13683" priority="251425"/>
    <cfRule type="duplicateValues" dxfId="13682" priority="251426"/>
    <cfRule type="duplicateValues" dxfId="13681" priority="251427"/>
    <cfRule type="duplicateValues" dxfId="13680" priority="251428"/>
    <cfRule type="duplicateValues" dxfId="13679" priority="251429"/>
    <cfRule type="duplicateValues" dxfId="13678" priority="251430"/>
    <cfRule type="duplicateValues" dxfId="13677" priority="251431"/>
    <cfRule type="duplicateValues" dxfId="13676" priority="251432"/>
    <cfRule type="duplicateValues" dxfId="13675" priority="251433"/>
    <cfRule type="duplicateValues" dxfId="13674" priority="251434"/>
    <cfRule type="duplicateValues" dxfId="13673" priority="251435"/>
    <cfRule type="duplicateValues" dxfId="13672" priority="251436"/>
    <cfRule type="duplicateValues" dxfId="13671" priority="251437"/>
    <cfRule type="duplicateValues" dxfId="13670" priority="251438"/>
    <cfRule type="duplicateValues" dxfId="13669" priority="251439"/>
    <cfRule type="duplicateValues" dxfId="13668" priority="251440"/>
    <cfRule type="duplicateValues" dxfId="13667" priority="251441"/>
    <cfRule type="duplicateValues" dxfId="13666" priority="251442"/>
    <cfRule type="duplicateValues" dxfId="13665" priority="251443"/>
    <cfRule type="duplicateValues" dxfId="13664" priority="251444"/>
    <cfRule type="duplicateValues" dxfId="13663" priority="251445"/>
    <cfRule type="duplicateValues" dxfId="13662" priority="251446"/>
    <cfRule type="duplicateValues" dxfId="13661" priority="251447"/>
    <cfRule type="duplicateValues" dxfId="13660" priority="251448"/>
    <cfRule type="duplicateValues" dxfId="13659" priority="251449"/>
    <cfRule type="duplicateValues" dxfId="13658" priority="251450"/>
    <cfRule type="duplicateValues" dxfId="13657" priority="251451"/>
    <cfRule type="duplicateValues" dxfId="13656" priority="251452"/>
    <cfRule type="duplicateValues" dxfId="13655" priority="251453"/>
    <cfRule type="duplicateValues" dxfId="13654" priority="251454"/>
    <cfRule type="duplicateValues" dxfId="13653" priority="251455"/>
    <cfRule type="duplicateValues" dxfId="13652" priority="251456"/>
    <cfRule type="duplicateValues" dxfId="13651" priority="251457"/>
    <cfRule type="duplicateValues" dxfId="13650" priority="251458"/>
    <cfRule type="duplicateValues" dxfId="13649" priority="251459"/>
    <cfRule type="duplicateValues" dxfId="13648" priority="251460"/>
    <cfRule type="duplicateValues" dxfId="13647" priority="251461"/>
    <cfRule type="duplicateValues" dxfId="13646" priority="251462"/>
    <cfRule type="duplicateValues" dxfId="13645" priority="251463"/>
    <cfRule type="duplicateValues" dxfId="13644" priority="251464"/>
    <cfRule type="duplicateValues" dxfId="13643" priority="251465"/>
    <cfRule type="duplicateValues" dxfId="13642" priority="251471"/>
    <cfRule type="duplicateValues" dxfId="13641" priority="251472"/>
    <cfRule type="duplicateValues" dxfId="13640" priority="251473"/>
    <cfRule type="duplicateValues" dxfId="13639" priority="251474"/>
    <cfRule type="duplicateValues" dxfId="13638" priority="251475"/>
    <cfRule type="duplicateValues" dxfId="13637" priority="251582"/>
    <cfRule type="duplicateValues" dxfId="13636" priority="251583"/>
    <cfRule type="duplicateValues" dxfId="13635" priority="251584"/>
    <cfRule type="duplicateValues" dxfId="13634" priority="251585"/>
    <cfRule type="duplicateValues" dxfId="13633" priority="251586"/>
    <cfRule type="duplicateValues" dxfId="13632" priority="251587"/>
    <cfRule type="duplicateValues" dxfId="13631" priority="251588"/>
    <cfRule type="duplicateValues" dxfId="13630" priority="251589"/>
    <cfRule type="duplicateValues" dxfId="13629" priority="251590"/>
    <cfRule type="duplicateValues" dxfId="13628" priority="251591"/>
    <cfRule type="duplicateValues" dxfId="13627" priority="251592"/>
    <cfRule type="duplicateValues" dxfId="13626" priority="251593"/>
    <cfRule type="duplicateValues" dxfId="13625" priority="251594"/>
    <cfRule type="duplicateValues" dxfId="13624" priority="251595"/>
    <cfRule type="duplicateValues" dxfId="13623" priority="251596"/>
    <cfRule type="duplicateValues" dxfId="13622" priority="251597"/>
    <cfRule type="duplicateValues" dxfId="13621" priority="251598"/>
    <cfRule type="duplicateValues" dxfId="13620" priority="251599"/>
    <cfRule type="duplicateValues" dxfId="13619" priority="251600"/>
    <cfRule type="duplicateValues" dxfId="13618" priority="251601"/>
    <cfRule type="duplicateValues" dxfId="13617" priority="251602"/>
    <cfRule type="duplicateValues" dxfId="13616" priority="251603"/>
    <cfRule type="duplicateValues" dxfId="13615" priority="251604"/>
    <cfRule type="duplicateValues" dxfId="13614" priority="251605"/>
    <cfRule type="duplicateValues" dxfId="13613" priority="251606"/>
    <cfRule type="duplicateValues" dxfId="13612" priority="251607"/>
    <cfRule type="duplicateValues" dxfId="13611" priority="251608"/>
    <cfRule type="duplicateValues" dxfId="13610" priority="251609"/>
    <cfRule type="duplicateValues" dxfId="13609" priority="251610"/>
    <cfRule type="duplicateValues" dxfId="13608" priority="251611"/>
    <cfRule type="duplicateValues" dxfId="13607" priority="251612"/>
    <cfRule type="duplicateValues" dxfId="13606" priority="251613"/>
    <cfRule type="duplicateValues" dxfId="13605" priority="251614"/>
    <cfRule type="duplicateValues" dxfId="13604" priority="251615"/>
    <cfRule type="duplicateValues" dxfId="13603" priority="251616"/>
    <cfRule type="duplicateValues" dxfId="13602" priority="251617"/>
    <cfRule type="duplicateValues" dxfId="13601" priority="251618"/>
    <cfRule type="duplicateValues" dxfId="13600" priority="251619"/>
    <cfRule type="duplicateValues" dxfId="13599" priority="251620"/>
    <cfRule type="duplicateValues" dxfId="13598" priority="251621"/>
    <cfRule type="duplicateValues" dxfId="13597" priority="251622"/>
    <cfRule type="duplicateValues" dxfId="13596" priority="251623"/>
  </conditionalFormatting>
  <conditionalFormatting sqref="B19">
    <cfRule type="duplicateValues" dxfId="13595" priority="251863"/>
    <cfRule type="duplicateValues" dxfId="13594" priority="251864"/>
    <cfRule type="duplicateValues" dxfId="13593" priority="251865"/>
    <cfRule type="duplicateValues" dxfId="13592" priority="251866"/>
    <cfRule type="duplicateValues" dxfId="13591" priority="251867"/>
    <cfRule type="duplicateValues" dxfId="13590" priority="251868"/>
    <cfRule type="duplicateValues" dxfId="13589" priority="251869"/>
    <cfRule type="duplicateValues" dxfId="13588" priority="251870"/>
    <cfRule type="duplicateValues" dxfId="13587" priority="251871"/>
    <cfRule type="duplicateValues" dxfId="13586" priority="251872"/>
    <cfRule type="duplicateValues" dxfId="13585" priority="251873"/>
    <cfRule type="duplicateValues" dxfId="13584" priority="251874"/>
    <cfRule type="duplicateValues" dxfId="13583" priority="251875"/>
    <cfRule type="duplicateValues" dxfId="13582" priority="251876"/>
    <cfRule type="duplicateValues" dxfId="13581" priority="251877"/>
    <cfRule type="duplicateValues" dxfId="13580" priority="251878"/>
    <cfRule type="duplicateValues" dxfId="13579" priority="251879"/>
    <cfRule type="duplicateValues" dxfId="13578" priority="251880"/>
    <cfRule type="duplicateValues" dxfId="13577" priority="251881"/>
    <cfRule type="duplicateValues" dxfId="13576" priority="251882"/>
    <cfRule type="duplicateValues" dxfId="13575" priority="251883"/>
    <cfRule type="duplicateValues" dxfId="13574" priority="251884"/>
    <cfRule type="duplicateValues" dxfId="13573" priority="251885"/>
    <cfRule type="duplicateValues" dxfId="13572" priority="251886"/>
    <cfRule type="duplicateValues" dxfId="13571" priority="251887"/>
    <cfRule type="duplicateValues" dxfId="13570" priority="251888"/>
    <cfRule type="duplicateValues" dxfId="13569" priority="251889"/>
    <cfRule type="duplicateValues" dxfId="13568" priority="251890"/>
    <cfRule type="duplicateValues" dxfId="13567" priority="251891"/>
    <cfRule type="duplicateValues" dxfId="13566" priority="251892"/>
    <cfRule type="duplicateValues" dxfId="13565" priority="251893"/>
    <cfRule type="duplicateValues" dxfId="13564" priority="251894"/>
    <cfRule type="duplicateValues" dxfId="13563" priority="251895"/>
    <cfRule type="duplicateValues" dxfId="13562" priority="251896"/>
    <cfRule type="duplicateValues" dxfId="13561" priority="251897"/>
    <cfRule type="duplicateValues" dxfId="13560" priority="251898"/>
    <cfRule type="duplicateValues" dxfId="13559" priority="251899"/>
    <cfRule type="duplicateValues" dxfId="13558" priority="251900"/>
    <cfRule type="duplicateValues" dxfId="13557" priority="251901"/>
    <cfRule type="duplicateValues" dxfId="13556" priority="251902"/>
    <cfRule type="duplicateValues" dxfId="13555" priority="251903"/>
    <cfRule type="duplicateValues" dxfId="13554" priority="251904"/>
    <cfRule type="duplicateValues" dxfId="13553" priority="251905"/>
    <cfRule type="duplicateValues" dxfId="13552" priority="251906"/>
    <cfRule type="duplicateValues" dxfId="13551" priority="251907"/>
    <cfRule type="duplicateValues" dxfId="13550" priority="251908"/>
    <cfRule type="duplicateValues" dxfId="13549" priority="251909"/>
    <cfRule type="duplicateValues" dxfId="13548" priority="251910"/>
    <cfRule type="duplicateValues" dxfId="13547" priority="251911"/>
    <cfRule type="duplicateValues" dxfId="13546" priority="251912"/>
    <cfRule type="duplicateValues" dxfId="13545" priority="251913"/>
    <cfRule type="duplicateValues" dxfId="13544" priority="251914"/>
    <cfRule type="duplicateValues" dxfId="13543" priority="251915"/>
    <cfRule type="duplicateValues" dxfId="13542" priority="251916"/>
    <cfRule type="duplicateValues" dxfId="13541" priority="251917"/>
    <cfRule type="duplicateValues" dxfId="13540" priority="251918"/>
    <cfRule type="duplicateValues" dxfId="13539" priority="251919"/>
    <cfRule type="duplicateValues" dxfId="13538" priority="251920"/>
    <cfRule type="duplicateValues" dxfId="13537" priority="251921"/>
    <cfRule type="duplicateValues" dxfId="13536" priority="251922"/>
    <cfRule type="duplicateValues" dxfId="13535" priority="251923"/>
    <cfRule type="duplicateValues" dxfId="13534" priority="251924"/>
    <cfRule type="duplicateValues" dxfId="13533" priority="251925"/>
    <cfRule type="duplicateValues" dxfId="13532" priority="251926"/>
    <cfRule type="duplicateValues" dxfId="13531" priority="251927"/>
    <cfRule type="duplicateValues" dxfId="13530" priority="251928"/>
    <cfRule type="duplicateValues" dxfId="13529" priority="251929"/>
    <cfRule type="duplicateValues" dxfId="13528" priority="251930"/>
    <cfRule type="duplicateValues" dxfId="13527" priority="251931"/>
    <cfRule type="duplicateValues" dxfId="13526" priority="251932"/>
    <cfRule type="duplicateValues" dxfId="13525" priority="251933"/>
    <cfRule type="duplicateValues" dxfId="13524" priority="251934"/>
    <cfRule type="duplicateValues" dxfId="13523" priority="251935"/>
    <cfRule type="duplicateValues" dxfId="13522" priority="251936"/>
    <cfRule type="duplicateValues" dxfId="13521" priority="251937"/>
    <cfRule type="duplicateValues" dxfId="13520" priority="251938"/>
    <cfRule type="duplicateValues" dxfId="13519" priority="251939"/>
    <cfRule type="duplicateValues" dxfId="13518" priority="251940"/>
    <cfRule type="duplicateValues" dxfId="13517" priority="251941"/>
    <cfRule type="duplicateValues" dxfId="13516" priority="251942"/>
    <cfRule type="duplicateValues" dxfId="13515" priority="251943"/>
    <cfRule type="duplicateValues" dxfId="13514" priority="251944"/>
    <cfRule type="duplicateValues" dxfId="13513" priority="251945"/>
    <cfRule type="duplicateValues" dxfId="13512" priority="251946"/>
    <cfRule type="duplicateValues" dxfId="13511" priority="251947"/>
    <cfRule type="duplicateValues" dxfId="13510" priority="251948"/>
    <cfRule type="duplicateValues" dxfId="13509" priority="251949"/>
    <cfRule type="duplicateValues" dxfId="13508" priority="251950"/>
    <cfRule type="duplicateValues" dxfId="13507" priority="251951"/>
  </conditionalFormatting>
  <conditionalFormatting sqref="B1:B19">
    <cfRule type="duplicateValues" dxfId="13506" priority="251952"/>
    <cfRule type="duplicateValues" dxfId="13505" priority="251953"/>
    <cfRule type="duplicateValues" dxfId="13504" priority="251954"/>
    <cfRule type="duplicateValues" dxfId="13503" priority="251955"/>
    <cfRule type="duplicateValues" dxfId="13502" priority="251956"/>
    <cfRule type="duplicateValues" dxfId="13501" priority="251957"/>
    <cfRule type="duplicateValues" dxfId="13500" priority="251958"/>
    <cfRule type="duplicateValues" dxfId="13499" priority="251959"/>
    <cfRule type="duplicateValues" dxfId="13498" priority="251960"/>
    <cfRule type="duplicateValues" dxfId="13497" priority="251961"/>
    <cfRule type="duplicateValues" dxfId="13496" priority="251962"/>
    <cfRule type="duplicateValues" dxfId="13495" priority="251963"/>
    <cfRule type="duplicateValues" dxfId="13494" priority="251964"/>
    <cfRule type="duplicateValues" dxfId="13493" priority="251965"/>
    <cfRule type="duplicateValues" dxfId="13492" priority="251966"/>
    <cfRule type="duplicateValues" dxfId="13491" priority="251967"/>
    <cfRule type="duplicateValues" dxfId="13490" priority="251968"/>
    <cfRule type="duplicateValues" dxfId="13489" priority="251969"/>
    <cfRule type="duplicateValues" dxfId="13488" priority="251970"/>
    <cfRule type="duplicateValues" dxfId="13487" priority="251971"/>
    <cfRule type="duplicateValues" dxfId="13486" priority="251972"/>
    <cfRule type="duplicateValues" dxfId="13485" priority="251973"/>
    <cfRule type="duplicateValues" dxfId="13484" priority="251974"/>
    <cfRule type="duplicateValues" dxfId="13483" priority="251975"/>
    <cfRule type="duplicateValues" dxfId="13482" priority="251976"/>
  </conditionalFormatting>
  <conditionalFormatting sqref="B2:B19">
    <cfRule type="duplicateValues" dxfId="13481" priority="251977"/>
    <cfRule type="duplicateValues" dxfId="13480" priority="251978"/>
    <cfRule type="duplicateValues" dxfId="13479" priority="251979"/>
    <cfRule type="duplicateValues" dxfId="13478" priority="251980"/>
    <cfRule type="duplicateValues" dxfId="13477" priority="251981"/>
    <cfRule type="duplicateValues" dxfId="13476" priority="251982"/>
    <cfRule type="duplicateValues" dxfId="13475" priority="251983"/>
    <cfRule type="duplicateValues" dxfId="13474" priority="251984"/>
    <cfRule type="duplicateValues" dxfId="13473" priority="251985"/>
    <cfRule type="duplicateValues" dxfId="13472" priority="251986"/>
    <cfRule type="duplicateValues" dxfId="13471" priority="251987"/>
    <cfRule type="duplicateValues" dxfId="13470" priority="251988"/>
    <cfRule type="duplicateValues" dxfId="13469" priority="251989"/>
    <cfRule type="duplicateValues" dxfId="13468" priority="251990"/>
  </conditionalFormatting>
  <conditionalFormatting sqref="B4:B19">
    <cfRule type="duplicateValues" dxfId="13467" priority="251991"/>
    <cfRule type="duplicateValues" dxfId="13466" priority="251992"/>
    <cfRule type="duplicateValues" dxfId="13465" priority="251993"/>
    <cfRule type="duplicateValues" dxfId="13464" priority="251994"/>
    <cfRule type="duplicateValues" dxfId="13463" priority="251995"/>
    <cfRule type="duplicateValues" dxfId="13462" priority="251996"/>
    <cfRule type="duplicateValues" dxfId="13461" priority="251997"/>
    <cfRule type="duplicateValues" dxfId="13460" priority="251998"/>
    <cfRule type="duplicateValues" dxfId="13459" priority="251999"/>
    <cfRule type="duplicateValues" dxfId="13458" priority="252000"/>
    <cfRule type="duplicateValues" dxfId="13457" priority="252001"/>
    <cfRule type="duplicateValues" dxfId="13456" priority="252002"/>
    <cfRule type="duplicateValues" dxfId="13455" priority="252003"/>
    <cfRule type="duplicateValues" dxfId="13454" priority="252004"/>
    <cfRule type="duplicateValues" dxfId="13453" priority="252005"/>
    <cfRule type="duplicateValues" dxfId="13452" priority="252006"/>
    <cfRule type="duplicateValues" dxfId="13451" priority="252007"/>
    <cfRule type="duplicateValues" dxfId="13450" priority="252008"/>
    <cfRule type="duplicateValues" dxfId="13449" priority="252009"/>
    <cfRule type="duplicateValues" dxfId="13448" priority="252010"/>
  </conditionalFormatting>
  <conditionalFormatting sqref="B1:B1048576">
    <cfRule type="duplicateValues" dxfId="13447" priority="25201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3566-6487-47BF-9707-6A9325D55722}">
  <dimension ref="A1:K146"/>
  <sheetViews>
    <sheetView zoomScale="85" zoomScaleNormal="85" workbookViewId="0">
      <selection sqref="A1:K1"/>
    </sheetView>
  </sheetViews>
  <sheetFormatPr defaultRowHeight="14.4"/>
  <cols>
    <col min="1" max="1" width="4.5546875" bestFit="1" customWidth="1"/>
    <col min="2" max="2" width="11.109375" customWidth="1"/>
    <col min="3" max="3" width="7" customWidth="1"/>
    <col min="4" max="4" width="11.88671875" customWidth="1"/>
    <col min="5" max="5" width="14.44140625" customWidth="1"/>
    <col min="6" max="6" width="13.77734375" customWidth="1"/>
    <col min="7" max="7" width="14.33203125" customWidth="1"/>
    <col min="8" max="8" width="10.6640625" bestFit="1" customWidth="1"/>
    <col min="9" max="9" width="9.88671875" bestFit="1" customWidth="1"/>
    <col min="10" max="10" width="13.21875" bestFit="1" customWidth="1"/>
    <col min="11" max="11" width="93.21875" bestFit="1" customWidth="1"/>
  </cols>
  <sheetData>
    <row r="1" spans="1:11" ht="26.4" thickBot="1">
      <c r="A1" s="285" t="s">
        <v>3609</v>
      </c>
      <c r="B1" s="286"/>
      <c r="C1" s="286"/>
      <c r="D1" s="286"/>
      <c r="E1" s="286"/>
      <c r="F1" s="286"/>
      <c r="G1" s="286"/>
      <c r="H1" s="286"/>
      <c r="I1" s="286"/>
      <c r="J1" s="286"/>
      <c r="K1" s="287"/>
    </row>
    <row r="2" spans="1:11" ht="18.600000000000001" thickBot="1">
      <c r="A2" s="288" t="s">
        <v>345</v>
      </c>
      <c r="B2" s="289"/>
      <c r="C2" s="289"/>
      <c r="D2" s="289"/>
      <c r="E2" s="289"/>
      <c r="F2" s="289"/>
      <c r="G2" s="289"/>
      <c r="H2" s="289"/>
      <c r="I2" s="289"/>
      <c r="J2" s="289"/>
      <c r="K2" s="290"/>
    </row>
    <row r="3" spans="1:11" ht="15.6">
      <c r="A3" s="219" t="s">
        <v>22</v>
      </c>
      <c r="B3" s="219" t="s">
        <v>13</v>
      </c>
      <c r="C3" s="219" t="s">
        <v>26</v>
      </c>
      <c r="D3" s="219" t="s">
        <v>14</v>
      </c>
      <c r="E3" s="220" t="s">
        <v>15</v>
      </c>
      <c r="F3" s="220" t="s">
        <v>29</v>
      </c>
      <c r="G3" s="220" t="s">
        <v>31</v>
      </c>
      <c r="H3" s="219" t="s">
        <v>16</v>
      </c>
      <c r="I3" s="219" t="s">
        <v>672</v>
      </c>
      <c r="J3" s="219" t="s">
        <v>58</v>
      </c>
      <c r="K3" s="219" t="s">
        <v>19</v>
      </c>
    </row>
    <row r="4" spans="1:11">
      <c r="A4" s="61">
        <v>1</v>
      </c>
      <c r="B4" s="203" t="s">
        <v>3611</v>
      </c>
      <c r="C4" s="61" t="s">
        <v>3</v>
      </c>
      <c r="D4" s="61" t="s">
        <v>24</v>
      </c>
      <c r="E4" s="209">
        <v>1799999</v>
      </c>
      <c r="F4" s="212">
        <f>E4*0.97</f>
        <v>1745999.03</v>
      </c>
      <c r="G4" s="206">
        <f>E4*0.94</f>
        <v>1691999.0599999998</v>
      </c>
      <c r="H4" s="61">
        <v>1015.36</v>
      </c>
      <c r="I4" s="61">
        <v>741.42</v>
      </c>
      <c r="J4" s="61">
        <v>273.94</v>
      </c>
      <c r="K4" s="207" t="s">
        <v>3749</v>
      </c>
    </row>
    <row r="5" spans="1:11">
      <c r="A5" s="61">
        <v>2</v>
      </c>
      <c r="B5" s="203" t="s">
        <v>3612</v>
      </c>
      <c r="C5" s="61" t="s">
        <v>4494</v>
      </c>
      <c r="D5" s="61" t="s">
        <v>24</v>
      </c>
      <c r="E5" s="209">
        <v>1772999</v>
      </c>
      <c r="F5" s="212">
        <f t="shared" ref="F5:F68" si="0">E5*0.97</f>
        <v>1719809.03</v>
      </c>
      <c r="G5" s="206">
        <f t="shared" ref="G5:G68" si="1">E5*0.94</f>
        <v>1666619.0599999998</v>
      </c>
      <c r="H5" s="61">
        <v>872.09</v>
      </c>
      <c r="I5" s="61">
        <v>741.53</v>
      </c>
      <c r="J5" s="61">
        <v>130.57</v>
      </c>
      <c r="K5" s="207" t="s">
        <v>3750</v>
      </c>
    </row>
    <row r="6" spans="1:11">
      <c r="A6" s="61">
        <v>3</v>
      </c>
      <c r="B6" s="203" t="s">
        <v>3613</v>
      </c>
      <c r="C6" s="61" t="s">
        <v>4494</v>
      </c>
      <c r="D6" s="61" t="s">
        <v>24</v>
      </c>
      <c r="E6" s="209">
        <v>1770999</v>
      </c>
      <c r="F6" s="212">
        <f t="shared" si="0"/>
        <v>1717869.03</v>
      </c>
      <c r="G6" s="206">
        <f t="shared" si="1"/>
        <v>1664739.0599999998</v>
      </c>
      <c r="H6" s="61">
        <v>871.88</v>
      </c>
      <c r="I6" s="61">
        <v>740.77</v>
      </c>
      <c r="J6" s="61">
        <v>131.1</v>
      </c>
      <c r="K6" s="207" t="s">
        <v>3751</v>
      </c>
    </row>
    <row r="7" spans="1:11">
      <c r="A7" s="61">
        <v>4</v>
      </c>
      <c r="B7" s="203" t="s">
        <v>3614</v>
      </c>
      <c r="C7" s="61" t="s">
        <v>4494</v>
      </c>
      <c r="D7" s="61" t="s">
        <v>24</v>
      </c>
      <c r="E7" s="209">
        <v>1769999</v>
      </c>
      <c r="F7" s="212">
        <f t="shared" si="0"/>
        <v>1716899.03</v>
      </c>
      <c r="G7" s="206">
        <f t="shared" si="1"/>
        <v>1663799.0599999998</v>
      </c>
      <c r="H7" s="61">
        <v>875.86</v>
      </c>
      <c r="I7" s="61">
        <v>743.79</v>
      </c>
      <c r="J7" s="61">
        <v>132.07</v>
      </c>
      <c r="K7" s="207" t="s">
        <v>3610</v>
      </c>
    </row>
    <row r="8" spans="1:11">
      <c r="A8" s="61">
        <v>5</v>
      </c>
      <c r="B8" s="203" t="s">
        <v>3615</v>
      </c>
      <c r="C8" s="61" t="s">
        <v>33</v>
      </c>
      <c r="D8" s="61" t="s">
        <v>24</v>
      </c>
      <c r="E8" s="209">
        <v>1769999</v>
      </c>
      <c r="F8" s="212">
        <f t="shared" si="0"/>
        <v>1716899.03</v>
      </c>
      <c r="G8" s="206">
        <f t="shared" si="1"/>
        <v>1663799.0599999998</v>
      </c>
      <c r="H8" s="61">
        <v>872.09</v>
      </c>
      <c r="I8" s="61">
        <v>741.53</v>
      </c>
      <c r="J8" s="61">
        <v>130.57</v>
      </c>
      <c r="K8" s="207" t="s">
        <v>3750</v>
      </c>
    </row>
    <row r="9" spans="1:11">
      <c r="A9" s="61">
        <v>6</v>
      </c>
      <c r="B9" s="203" t="s">
        <v>3616</v>
      </c>
      <c r="C9" s="61" t="s">
        <v>4494</v>
      </c>
      <c r="D9" s="61" t="s">
        <v>24</v>
      </c>
      <c r="E9" s="209">
        <v>1768999</v>
      </c>
      <c r="F9" s="212">
        <f t="shared" si="0"/>
        <v>1715929.03</v>
      </c>
      <c r="G9" s="206">
        <f t="shared" si="1"/>
        <v>1662859.0599999998</v>
      </c>
      <c r="H9" s="61">
        <v>875.21</v>
      </c>
      <c r="I9" s="61">
        <v>743.14</v>
      </c>
      <c r="J9" s="61">
        <v>132.07</v>
      </c>
      <c r="K9" s="207" t="s">
        <v>3752</v>
      </c>
    </row>
    <row r="10" spans="1:11">
      <c r="A10" s="61">
        <v>7</v>
      </c>
      <c r="B10" s="203" t="s">
        <v>3617</v>
      </c>
      <c r="C10" s="61" t="s">
        <v>33</v>
      </c>
      <c r="D10" s="61" t="s">
        <v>24</v>
      </c>
      <c r="E10" s="209">
        <v>1768999</v>
      </c>
      <c r="F10" s="212">
        <f t="shared" si="0"/>
        <v>1715929.03</v>
      </c>
      <c r="G10" s="206">
        <f t="shared" si="1"/>
        <v>1662859.0599999998</v>
      </c>
      <c r="H10" s="61">
        <v>871.88</v>
      </c>
      <c r="I10" s="61">
        <v>740.77</v>
      </c>
      <c r="J10" s="61">
        <v>131.1</v>
      </c>
      <c r="K10" s="207" t="s">
        <v>3751</v>
      </c>
    </row>
    <row r="11" spans="1:11">
      <c r="A11" s="61">
        <v>8</v>
      </c>
      <c r="B11" s="203" t="s">
        <v>3618</v>
      </c>
      <c r="C11" s="61" t="s">
        <v>33</v>
      </c>
      <c r="D11" s="61" t="s">
        <v>24</v>
      </c>
      <c r="E11" s="209">
        <v>1767999</v>
      </c>
      <c r="F11" s="212">
        <f t="shared" si="0"/>
        <v>1714959.03</v>
      </c>
      <c r="G11" s="206">
        <f t="shared" si="1"/>
        <v>1661919.0599999998</v>
      </c>
      <c r="H11" s="61">
        <v>875.86</v>
      </c>
      <c r="I11" s="61">
        <v>743.79</v>
      </c>
      <c r="J11" s="61">
        <v>132.07</v>
      </c>
      <c r="K11" s="207" t="s">
        <v>3610</v>
      </c>
    </row>
    <row r="12" spans="1:11">
      <c r="A12" s="61">
        <v>9</v>
      </c>
      <c r="B12" s="203" t="s">
        <v>3619</v>
      </c>
      <c r="C12" s="61" t="s">
        <v>33</v>
      </c>
      <c r="D12" s="61" t="s">
        <v>24</v>
      </c>
      <c r="E12" s="209">
        <v>1765999</v>
      </c>
      <c r="F12" s="212">
        <f t="shared" si="0"/>
        <v>1713019.03</v>
      </c>
      <c r="G12" s="206">
        <f t="shared" si="1"/>
        <v>1660039.0599999998</v>
      </c>
      <c r="H12" s="61">
        <v>875.21</v>
      </c>
      <c r="I12" s="61">
        <v>743.14</v>
      </c>
      <c r="J12" s="61">
        <v>132.07</v>
      </c>
      <c r="K12" s="207" t="s">
        <v>3752</v>
      </c>
    </row>
    <row r="13" spans="1:11">
      <c r="A13" s="61">
        <v>10</v>
      </c>
      <c r="B13" s="203" t="s">
        <v>3620</v>
      </c>
      <c r="C13" s="61" t="s">
        <v>4461</v>
      </c>
      <c r="D13" s="61" t="s">
        <v>24</v>
      </c>
      <c r="E13" s="209">
        <v>1764999</v>
      </c>
      <c r="F13" s="212">
        <f t="shared" si="0"/>
        <v>1712049.03</v>
      </c>
      <c r="G13" s="206">
        <f t="shared" si="1"/>
        <v>1659099.0599999998</v>
      </c>
      <c r="H13" s="61">
        <v>872.09</v>
      </c>
      <c r="I13" s="61">
        <v>741.53</v>
      </c>
      <c r="J13" s="61">
        <v>130.57</v>
      </c>
      <c r="K13" s="207" t="s">
        <v>3750</v>
      </c>
    </row>
    <row r="14" spans="1:11">
      <c r="A14" s="61">
        <v>11</v>
      </c>
      <c r="B14" s="203" t="s">
        <v>3621</v>
      </c>
      <c r="C14" s="61" t="s">
        <v>4461</v>
      </c>
      <c r="D14" s="61" t="s">
        <v>24</v>
      </c>
      <c r="E14" s="209">
        <v>1763999</v>
      </c>
      <c r="F14" s="212">
        <f t="shared" si="0"/>
        <v>1711079.03</v>
      </c>
      <c r="G14" s="206">
        <f t="shared" si="1"/>
        <v>1658159.0599999998</v>
      </c>
      <c r="H14" s="61">
        <v>871.88</v>
      </c>
      <c r="I14" s="61">
        <v>740.77</v>
      </c>
      <c r="J14" s="61">
        <v>131.1</v>
      </c>
      <c r="K14" s="207" t="s">
        <v>3751</v>
      </c>
    </row>
    <row r="15" spans="1:11">
      <c r="A15" s="61">
        <v>12</v>
      </c>
      <c r="B15" s="203" t="s">
        <v>3622</v>
      </c>
      <c r="C15" s="61" t="s">
        <v>4461</v>
      </c>
      <c r="D15" s="61" t="s">
        <v>24</v>
      </c>
      <c r="E15" s="209">
        <v>1762999</v>
      </c>
      <c r="F15" s="212">
        <f t="shared" si="0"/>
        <v>1710109.03</v>
      </c>
      <c r="G15" s="206">
        <f t="shared" si="1"/>
        <v>1657219.0599999998</v>
      </c>
      <c r="H15" s="61">
        <v>875.86</v>
      </c>
      <c r="I15" s="61">
        <v>743.79</v>
      </c>
      <c r="J15" s="61">
        <v>132.07</v>
      </c>
      <c r="K15" s="207" t="s">
        <v>3610</v>
      </c>
    </row>
    <row r="16" spans="1:11">
      <c r="A16" s="61">
        <v>13</v>
      </c>
      <c r="B16" s="203" t="s">
        <v>3623</v>
      </c>
      <c r="C16" s="61" t="s">
        <v>4460</v>
      </c>
      <c r="D16" s="61" t="s">
        <v>24</v>
      </c>
      <c r="E16" s="209">
        <v>1762999</v>
      </c>
      <c r="F16" s="212">
        <f t="shared" si="0"/>
        <v>1710109.03</v>
      </c>
      <c r="G16" s="206">
        <f t="shared" si="1"/>
        <v>1657219.0599999998</v>
      </c>
      <c r="H16" s="61">
        <v>872.09</v>
      </c>
      <c r="I16" s="61">
        <v>741.53</v>
      </c>
      <c r="J16" s="61">
        <v>130.57</v>
      </c>
      <c r="K16" s="207" t="s">
        <v>3750</v>
      </c>
    </row>
    <row r="17" spans="1:11">
      <c r="A17" s="61">
        <v>14</v>
      </c>
      <c r="B17" s="203" t="s">
        <v>3624</v>
      </c>
      <c r="C17" s="61" t="s">
        <v>4461</v>
      </c>
      <c r="D17" s="61" t="s">
        <v>24</v>
      </c>
      <c r="E17" s="209">
        <v>1760999</v>
      </c>
      <c r="F17" s="212">
        <f t="shared" si="0"/>
        <v>1708169.03</v>
      </c>
      <c r="G17" s="206">
        <f t="shared" si="1"/>
        <v>1655339.0599999998</v>
      </c>
      <c r="H17" s="61">
        <v>875.21</v>
      </c>
      <c r="I17" s="61">
        <v>743.14</v>
      </c>
      <c r="J17" s="61">
        <v>132.07</v>
      </c>
      <c r="K17" s="207" t="s">
        <v>3752</v>
      </c>
    </row>
    <row r="18" spans="1:11">
      <c r="A18" s="61">
        <v>15</v>
      </c>
      <c r="B18" s="203" t="s">
        <v>3625</v>
      </c>
      <c r="C18" s="61" t="s">
        <v>4460</v>
      </c>
      <c r="D18" s="61" t="s">
        <v>24</v>
      </c>
      <c r="E18" s="209">
        <v>1760999</v>
      </c>
      <c r="F18" s="212">
        <f t="shared" si="0"/>
        <v>1708169.03</v>
      </c>
      <c r="G18" s="206">
        <f t="shared" si="1"/>
        <v>1655339.0599999998</v>
      </c>
      <c r="H18" s="61">
        <v>871.88</v>
      </c>
      <c r="I18" s="61">
        <v>740.77</v>
      </c>
      <c r="J18" s="61">
        <v>131.1</v>
      </c>
      <c r="K18" s="207" t="s">
        <v>3751</v>
      </c>
    </row>
    <row r="19" spans="1:11">
      <c r="A19" s="61">
        <v>16</v>
      </c>
      <c r="B19" s="203" t="s">
        <v>3626</v>
      </c>
      <c r="C19" s="61" t="s">
        <v>4460</v>
      </c>
      <c r="D19" s="61" t="s">
        <v>24</v>
      </c>
      <c r="E19" s="209">
        <v>1759999</v>
      </c>
      <c r="F19" s="212">
        <f t="shared" si="0"/>
        <v>1707199.03</v>
      </c>
      <c r="G19" s="206">
        <f t="shared" si="1"/>
        <v>1654399.0599999998</v>
      </c>
      <c r="H19" s="61">
        <v>875.86</v>
      </c>
      <c r="I19" s="61">
        <v>743.79</v>
      </c>
      <c r="J19" s="61">
        <v>132.07</v>
      </c>
      <c r="K19" s="207" t="s">
        <v>3610</v>
      </c>
    </row>
    <row r="20" spans="1:11">
      <c r="A20" s="61">
        <v>17</v>
      </c>
      <c r="B20" s="203" t="s">
        <v>3627</v>
      </c>
      <c r="C20" s="61" t="s">
        <v>11</v>
      </c>
      <c r="D20" s="61" t="s">
        <v>24</v>
      </c>
      <c r="E20" s="209">
        <v>1759999</v>
      </c>
      <c r="F20" s="212">
        <f t="shared" si="0"/>
        <v>1707199.03</v>
      </c>
      <c r="G20" s="206">
        <f t="shared" si="1"/>
        <v>1654399.0599999998</v>
      </c>
      <c r="H20" s="61">
        <v>872.09</v>
      </c>
      <c r="I20" s="61">
        <v>741.53</v>
      </c>
      <c r="J20" s="61">
        <v>130.57</v>
      </c>
      <c r="K20" s="207" t="s">
        <v>3750</v>
      </c>
    </row>
    <row r="21" spans="1:11">
      <c r="A21" s="61">
        <v>18</v>
      </c>
      <c r="B21" s="203" t="s">
        <v>3628</v>
      </c>
      <c r="C21" s="61" t="s">
        <v>11</v>
      </c>
      <c r="D21" s="61" t="s">
        <v>24</v>
      </c>
      <c r="E21" s="209">
        <v>1758999</v>
      </c>
      <c r="F21" s="212">
        <f t="shared" si="0"/>
        <v>1706229.03</v>
      </c>
      <c r="G21" s="206">
        <f t="shared" si="1"/>
        <v>1653459.0599999998</v>
      </c>
      <c r="H21" s="61">
        <v>871.88</v>
      </c>
      <c r="I21" s="61">
        <v>740.77</v>
      </c>
      <c r="J21" s="61">
        <v>131.1</v>
      </c>
      <c r="K21" s="207" t="s">
        <v>3751</v>
      </c>
    </row>
    <row r="22" spans="1:11">
      <c r="A22" s="61">
        <v>19</v>
      </c>
      <c r="B22" s="203" t="s">
        <v>3629</v>
      </c>
      <c r="C22" s="61" t="s">
        <v>11</v>
      </c>
      <c r="D22" s="61" t="s">
        <v>24</v>
      </c>
      <c r="E22" s="209">
        <v>1757999</v>
      </c>
      <c r="F22" s="212">
        <f t="shared" si="0"/>
        <v>1705259.03</v>
      </c>
      <c r="G22" s="206">
        <f t="shared" si="1"/>
        <v>1652519.0599999998</v>
      </c>
      <c r="H22" s="61">
        <v>875.86</v>
      </c>
      <c r="I22" s="61">
        <v>743.79</v>
      </c>
      <c r="J22" s="61">
        <v>132.07</v>
      </c>
      <c r="K22" s="207" t="s">
        <v>3610</v>
      </c>
    </row>
    <row r="23" spans="1:11">
      <c r="A23" s="61">
        <v>20</v>
      </c>
      <c r="B23" s="203" t="s">
        <v>3630</v>
      </c>
      <c r="C23" s="61" t="s">
        <v>12</v>
      </c>
      <c r="D23" s="61" t="s">
        <v>24</v>
      </c>
      <c r="E23" s="209">
        <v>1756999</v>
      </c>
      <c r="F23" s="212">
        <f t="shared" si="0"/>
        <v>1704289.03</v>
      </c>
      <c r="G23" s="206">
        <f t="shared" si="1"/>
        <v>1651579.0599999998</v>
      </c>
      <c r="H23" s="61">
        <v>872.09</v>
      </c>
      <c r="I23" s="61">
        <v>741.53</v>
      </c>
      <c r="J23" s="61">
        <v>130.57</v>
      </c>
      <c r="K23" s="207" t="s">
        <v>3750</v>
      </c>
    </row>
    <row r="24" spans="1:11">
      <c r="A24" s="61">
        <v>21</v>
      </c>
      <c r="B24" s="203" t="s">
        <v>3631</v>
      </c>
      <c r="C24" s="61" t="s">
        <v>11</v>
      </c>
      <c r="D24" s="61" t="s">
        <v>24</v>
      </c>
      <c r="E24" s="209">
        <v>1755999</v>
      </c>
      <c r="F24" s="212">
        <f t="shared" si="0"/>
        <v>1703319.03</v>
      </c>
      <c r="G24" s="206">
        <f t="shared" si="1"/>
        <v>1650639.0599999998</v>
      </c>
      <c r="H24" s="61">
        <v>875.21</v>
      </c>
      <c r="I24" s="61">
        <v>743.14</v>
      </c>
      <c r="J24" s="61">
        <v>132.07</v>
      </c>
      <c r="K24" s="207" t="s">
        <v>3752</v>
      </c>
    </row>
    <row r="25" spans="1:11">
      <c r="A25" s="61">
        <v>22</v>
      </c>
      <c r="B25" s="203" t="s">
        <v>3632</v>
      </c>
      <c r="C25" s="61" t="s">
        <v>12</v>
      </c>
      <c r="D25" s="61" t="s">
        <v>24</v>
      </c>
      <c r="E25" s="209">
        <v>1755999</v>
      </c>
      <c r="F25" s="212">
        <f t="shared" si="0"/>
        <v>1703319.03</v>
      </c>
      <c r="G25" s="206">
        <f t="shared" si="1"/>
        <v>1650639.0599999998</v>
      </c>
      <c r="H25" s="61">
        <v>871.88</v>
      </c>
      <c r="I25" s="61">
        <v>740.77</v>
      </c>
      <c r="J25" s="61">
        <v>131.1</v>
      </c>
      <c r="K25" s="207" t="s">
        <v>3751</v>
      </c>
    </row>
    <row r="26" spans="1:11">
      <c r="A26" s="61">
        <v>23</v>
      </c>
      <c r="B26" s="203" t="s">
        <v>3633</v>
      </c>
      <c r="C26" s="61" t="s">
        <v>12</v>
      </c>
      <c r="D26" s="61" t="s">
        <v>24</v>
      </c>
      <c r="E26" s="209">
        <v>1754999</v>
      </c>
      <c r="F26" s="212">
        <f t="shared" si="0"/>
        <v>1702349.03</v>
      </c>
      <c r="G26" s="206">
        <f t="shared" si="1"/>
        <v>1649699.0599999998</v>
      </c>
      <c r="H26" s="61">
        <v>875.86</v>
      </c>
      <c r="I26" s="61">
        <v>743.79</v>
      </c>
      <c r="J26" s="61">
        <v>132.07</v>
      </c>
      <c r="K26" s="207" t="s">
        <v>3610</v>
      </c>
    </row>
    <row r="27" spans="1:11">
      <c r="A27" s="61">
        <v>24</v>
      </c>
      <c r="B27" s="203" t="s">
        <v>3634</v>
      </c>
      <c r="C27" s="61" t="s">
        <v>12</v>
      </c>
      <c r="D27" s="61" t="s">
        <v>24</v>
      </c>
      <c r="E27" s="209">
        <v>1753999</v>
      </c>
      <c r="F27" s="212">
        <f t="shared" si="0"/>
        <v>1701379.03</v>
      </c>
      <c r="G27" s="206">
        <f t="shared" si="1"/>
        <v>1648759.0599999998</v>
      </c>
      <c r="H27" s="61">
        <v>875.21</v>
      </c>
      <c r="I27" s="61">
        <v>743.14</v>
      </c>
      <c r="J27" s="61">
        <v>132.07</v>
      </c>
      <c r="K27" s="207" t="s">
        <v>3752</v>
      </c>
    </row>
    <row r="28" spans="1:11">
      <c r="A28" s="61">
        <v>25</v>
      </c>
      <c r="B28" s="203" t="s">
        <v>3635</v>
      </c>
      <c r="C28" s="61" t="s">
        <v>32</v>
      </c>
      <c r="D28" s="61" t="s">
        <v>24</v>
      </c>
      <c r="E28" s="209">
        <v>1746999</v>
      </c>
      <c r="F28" s="212">
        <f t="shared" si="0"/>
        <v>1694589.03</v>
      </c>
      <c r="G28" s="206">
        <f t="shared" si="1"/>
        <v>1642179.0599999998</v>
      </c>
      <c r="H28" s="61">
        <v>873.38</v>
      </c>
      <c r="I28" s="61">
        <v>741.42</v>
      </c>
      <c r="J28" s="61">
        <v>131.97</v>
      </c>
      <c r="K28" s="207" t="s">
        <v>3610</v>
      </c>
    </row>
    <row r="29" spans="1:11">
      <c r="A29" s="61">
        <v>26</v>
      </c>
      <c r="B29" s="203" t="s">
        <v>3636</v>
      </c>
      <c r="C29" s="61" t="s">
        <v>32</v>
      </c>
      <c r="D29" s="61" t="s">
        <v>24</v>
      </c>
      <c r="E29" s="209">
        <v>1746999</v>
      </c>
      <c r="F29" s="212">
        <f t="shared" si="0"/>
        <v>1694589.03</v>
      </c>
      <c r="G29" s="206">
        <f t="shared" si="1"/>
        <v>1642179.0599999998</v>
      </c>
      <c r="H29" s="61">
        <v>873.49</v>
      </c>
      <c r="I29" s="61">
        <v>741.53</v>
      </c>
      <c r="J29" s="61">
        <v>131.97</v>
      </c>
      <c r="K29" s="207" t="s">
        <v>3752</v>
      </c>
    </row>
    <row r="30" spans="1:11">
      <c r="A30" s="61">
        <v>27</v>
      </c>
      <c r="B30" s="203" t="s">
        <v>3637</v>
      </c>
      <c r="C30" s="61" t="s">
        <v>5</v>
      </c>
      <c r="D30" s="61" t="s">
        <v>24</v>
      </c>
      <c r="E30" s="209">
        <v>1741999</v>
      </c>
      <c r="F30" s="212">
        <f t="shared" si="0"/>
        <v>1689739.03</v>
      </c>
      <c r="G30" s="206">
        <f t="shared" si="1"/>
        <v>1637479.0599999998</v>
      </c>
      <c r="H30" s="61">
        <v>873.38</v>
      </c>
      <c r="I30" s="61">
        <v>741.42</v>
      </c>
      <c r="J30" s="61">
        <v>131.97</v>
      </c>
      <c r="K30" s="207" t="s">
        <v>3610</v>
      </c>
    </row>
    <row r="31" spans="1:11">
      <c r="A31" s="61">
        <v>28</v>
      </c>
      <c r="B31" s="203" t="s">
        <v>3638</v>
      </c>
      <c r="C31" s="61" t="s">
        <v>5</v>
      </c>
      <c r="D31" s="61" t="s">
        <v>24</v>
      </c>
      <c r="E31" s="209">
        <v>1741999</v>
      </c>
      <c r="F31" s="212">
        <f t="shared" si="0"/>
        <v>1689739.03</v>
      </c>
      <c r="G31" s="206">
        <f t="shared" si="1"/>
        <v>1637479.0599999998</v>
      </c>
      <c r="H31" s="61">
        <v>873.38</v>
      </c>
      <c r="I31" s="61">
        <v>741.53</v>
      </c>
      <c r="J31" s="61">
        <v>131.86000000000001</v>
      </c>
      <c r="K31" s="207" t="s">
        <v>3752</v>
      </c>
    </row>
    <row r="32" spans="1:11">
      <c r="A32" s="61">
        <v>29</v>
      </c>
      <c r="B32" s="203" t="s">
        <v>3639</v>
      </c>
      <c r="C32" s="61" t="s">
        <v>5</v>
      </c>
      <c r="D32" s="61" t="s">
        <v>24</v>
      </c>
      <c r="E32" s="209">
        <v>1740999</v>
      </c>
      <c r="F32" s="212">
        <f t="shared" si="0"/>
        <v>1688769.03</v>
      </c>
      <c r="G32" s="206">
        <f t="shared" si="1"/>
        <v>1636539.0599999998</v>
      </c>
      <c r="H32" s="61">
        <v>868.65</v>
      </c>
      <c r="I32" s="61">
        <v>737.22</v>
      </c>
      <c r="J32" s="61">
        <v>131.43</v>
      </c>
      <c r="K32" s="207" t="s">
        <v>3750</v>
      </c>
    </row>
    <row r="33" spans="1:11">
      <c r="A33" s="61">
        <v>30</v>
      </c>
      <c r="B33" s="203" t="s">
        <v>3640</v>
      </c>
      <c r="C33" s="61" t="s">
        <v>5</v>
      </c>
      <c r="D33" s="61" t="s">
        <v>24</v>
      </c>
      <c r="E33" s="209">
        <v>1739999</v>
      </c>
      <c r="F33" s="212">
        <f t="shared" si="0"/>
        <v>1687799.03</v>
      </c>
      <c r="G33" s="206">
        <f t="shared" si="1"/>
        <v>1635599.0599999998</v>
      </c>
      <c r="H33" s="61">
        <v>868.32</v>
      </c>
      <c r="I33" s="61">
        <v>736.9</v>
      </c>
      <c r="J33" s="61">
        <v>131.43</v>
      </c>
      <c r="K33" s="207" t="s">
        <v>3751</v>
      </c>
    </row>
    <row r="34" spans="1:11">
      <c r="A34" s="61">
        <v>31</v>
      </c>
      <c r="B34" s="203" t="s">
        <v>3641</v>
      </c>
      <c r="C34" s="61" t="s">
        <v>4</v>
      </c>
      <c r="D34" s="61" t="s">
        <v>24</v>
      </c>
      <c r="E34" s="209">
        <v>1739999</v>
      </c>
      <c r="F34" s="212">
        <f t="shared" si="0"/>
        <v>1687799.03</v>
      </c>
      <c r="G34" s="206">
        <f t="shared" si="1"/>
        <v>1635599.0599999998</v>
      </c>
      <c r="H34" s="61">
        <v>873.38</v>
      </c>
      <c r="I34" s="61">
        <v>741.53</v>
      </c>
      <c r="J34" s="61">
        <v>131.86000000000001</v>
      </c>
      <c r="K34" s="207" t="s">
        <v>3752</v>
      </c>
    </row>
    <row r="35" spans="1:11">
      <c r="A35" s="61">
        <v>32</v>
      </c>
      <c r="B35" s="203" t="s">
        <v>3642</v>
      </c>
      <c r="C35" s="61" t="s">
        <v>4</v>
      </c>
      <c r="D35" s="61" t="s">
        <v>24</v>
      </c>
      <c r="E35" s="209">
        <v>1739999</v>
      </c>
      <c r="F35" s="212">
        <f t="shared" si="0"/>
        <v>1687799.03</v>
      </c>
      <c r="G35" s="206">
        <f t="shared" si="1"/>
        <v>1635599.0599999998</v>
      </c>
      <c r="H35" s="61">
        <v>873.38</v>
      </c>
      <c r="I35" s="61">
        <v>741.42</v>
      </c>
      <c r="J35" s="61">
        <v>131.97</v>
      </c>
      <c r="K35" s="207" t="s">
        <v>3610</v>
      </c>
    </row>
    <row r="36" spans="1:11">
      <c r="A36" s="61">
        <v>33</v>
      </c>
      <c r="B36" s="203" t="s">
        <v>3643</v>
      </c>
      <c r="C36" s="61" t="s">
        <v>4</v>
      </c>
      <c r="D36" s="61" t="s">
        <v>24</v>
      </c>
      <c r="E36" s="209">
        <v>1737999</v>
      </c>
      <c r="F36" s="212">
        <f t="shared" si="0"/>
        <v>1685859.03</v>
      </c>
      <c r="G36" s="206">
        <f t="shared" si="1"/>
        <v>1633719.0599999998</v>
      </c>
      <c r="H36" s="61">
        <v>868.65</v>
      </c>
      <c r="I36" s="61">
        <v>737.22</v>
      </c>
      <c r="J36" s="61">
        <v>131.43</v>
      </c>
      <c r="K36" s="207" t="s">
        <v>3750</v>
      </c>
    </row>
    <row r="37" spans="1:11">
      <c r="A37" s="61">
        <v>34</v>
      </c>
      <c r="B37" s="203" t="s">
        <v>3644</v>
      </c>
      <c r="C37" s="61" t="s">
        <v>4</v>
      </c>
      <c r="D37" s="61" t="s">
        <v>24</v>
      </c>
      <c r="E37" s="209">
        <v>1737999</v>
      </c>
      <c r="F37" s="212">
        <f t="shared" si="0"/>
        <v>1685859.03</v>
      </c>
      <c r="G37" s="206">
        <f t="shared" si="1"/>
        <v>1633719.0599999998</v>
      </c>
      <c r="H37" s="61">
        <v>868.32</v>
      </c>
      <c r="I37" s="61">
        <v>736.9</v>
      </c>
      <c r="J37" s="61">
        <v>131.43</v>
      </c>
      <c r="K37" s="207" t="s">
        <v>3751</v>
      </c>
    </row>
    <row r="38" spans="1:11">
      <c r="A38" s="61">
        <v>35</v>
      </c>
      <c r="B38" s="203" t="s">
        <v>3645</v>
      </c>
      <c r="C38" s="61" t="s">
        <v>4458</v>
      </c>
      <c r="D38" s="61" t="s">
        <v>24</v>
      </c>
      <c r="E38" s="209">
        <v>1736999</v>
      </c>
      <c r="F38" s="212">
        <f t="shared" si="0"/>
        <v>1684889.03</v>
      </c>
      <c r="G38" s="206">
        <f t="shared" si="1"/>
        <v>1632779.0599999998</v>
      </c>
      <c r="H38" s="61">
        <v>873.38</v>
      </c>
      <c r="I38" s="61">
        <v>741.42</v>
      </c>
      <c r="J38" s="61">
        <v>131.97</v>
      </c>
      <c r="K38" s="207" t="s">
        <v>3610</v>
      </c>
    </row>
    <row r="39" spans="1:11">
      <c r="A39" s="61">
        <v>36</v>
      </c>
      <c r="B39" s="203" t="s">
        <v>3646</v>
      </c>
      <c r="C39" s="61" t="s">
        <v>4458</v>
      </c>
      <c r="D39" s="61" t="s">
        <v>24</v>
      </c>
      <c r="E39" s="209">
        <v>1736999</v>
      </c>
      <c r="F39" s="212">
        <f t="shared" si="0"/>
        <v>1684889.03</v>
      </c>
      <c r="G39" s="206">
        <f t="shared" si="1"/>
        <v>1632779.0599999998</v>
      </c>
      <c r="H39" s="61">
        <v>873.38</v>
      </c>
      <c r="I39" s="61">
        <v>741.53</v>
      </c>
      <c r="J39" s="61">
        <v>131.86000000000001</v>
      </c>
      <c r="K39" s="207" t="s">
        <v>3752</v>
      </c>
    </row>
    <row r="40" spans="1:11">
      <c r="A40" s="61">
        <v>37</v>
      </c>
      <c r="B40" s="203" t="s">
        <v>3647</v>
      </c>
      <c r="C40" s="61" t="s">
        <v>4458</v>
      </c>
      <c r="D40" s="61" t="s">
        <v>24</v>
      </c>
      <c r="E40" s="209">
        <v>1735999</v>
      </c>
      <c r="F40" s="212">
        <f t="shared" si="0"/>
        <v>1683919.03</v>
      </c>
      <c r="G40" s="206">
        <f t="shared" si="1"/>
        <v>1631839.0599999998</v>
      </c>
      <c r="H40" s="61">
        <v>868.65</v>
      </c>
      <c r="I40" s="61">
        <v>737.22</v>
      </c>
      <c r="J40" s="61">
        <v>131.43</v>
      </c>
      <c r="K40" s="207" t="s">
        <v>3750</v>
      </c>
    </row>
    <row r="41" spans="1:11">
      <c r="A41" s="61">
        <v>38</v>
      </c>
      <c r="B41" s="203" t="s">
        <v>3648</v>
      </c>
      <c r="C41" s="61" t="s">
        <v>4458</v>
      </c>
      <c r="D41" s="61" t="s">
        <v>24</v>
      </c>
      <c r="E41" s="209">
        <v>1734999</v>
      </c>
      <c r="F41" s="212">
        <f t="shared" si="0"/>
        <v>1682949.03</v>
      </c>
      <c r="G41" s="206">
        <f t="shared" si="1"/>
        <v>1630899.0599999998</v>
      </c>
      <c r="H41" s="61">
        <v>868.32</v>
      </c>
      <c r="I41" s="61">
        <v>736.9</v>
      </c>
      <c r="J41" s="61">
        <v>131.43</v>
      </c>
      <c r="K41" s="207" t="s">
        <v>3751</v>
      </c>
    </row>
    <row r="42" spans="1:11">
      <c r="A42" s="61">
        <v>39</v>
      </c>
      <c r="B42" s="203" t="s">
        <v>3649</v>
      </c>
      <c r="C42" s="61" t="s">
        <v>6</v>
      </c>
      <c r="D42" s="61" t="s">
        <v>24</v>
      </c>
      <c r="E42" s="209">
        <v>1734999</v>
      </c>
      <c r="F42" s="212">
        <f t="shared" si="0"/>
        <v>1682949.03</v>
      </c>
      <c r="G42" s="206">
        <f t="shared" si="1"/>
        <v>1630899.0599999998</v>
      </c>
      <c r="H42" s="61">
        <v>873.38</v>
      </c>
      <c r="I42" s="61">
        <v>741.42</v>
      </c>
      <c r="J42" s="61">
        <v>131.97</v>
      </c>
      <c r="K42" s="207" t="s">
        <v>3610</v>
      </c>
    </row>
    <row r="43" spans="1:11">
      <c r="A43" s="61">
        <v>40</v>
      </c>
      <c r="B43" s="203" t="s">
        <v>3650</v>
      </c>
      <c r="C43" s="61" t="s">
        <v>6</v>
      </c>
      <c r="D43" s="61" t="s">
        <v>24</v>
      </c>
      <c r="E43" s="209">
        <v>1734999</v>
      </c>
      <c r="F43" s="212">
        <f t="shared" si="0"/>
        <v>1682949.03</v>
      </c>
      <c r="G43" s="206">
        <f t="shared" si="1"/>
        <v>1630899.0599999998</v>
      </c>
      <c r="H43" s="61">
        <v>873.38</v>
      </c>
      <c r="I43" s="61">
        <v>741.53</v>
      </c>
      <c r="J43" s="61">
        <v>131.86000000000001</v>
      </c>
      <c r="K43" s="207" t="s">
        <v>3752</v>
      </c>
    </row>
    <row r="44" spans="1:11">
      <c r="A44" s="61">
        <v>41</v>
      </c>
      <c r="B44" s="203" t="s">
        <v>3651</v>
      </c>
      <c r="C44" s="61" t="s">
        <v>6</v>
      </c>
      <c r="D44" s="61" t="s">
        <v>24</v>
      </c>
      <c r="E44" s="209">
        <v>1732999</v>
      </c>
      <c r="F44" s="212">
        <f t="shared" si="0"/>
        <v>1681009.03</v>
      </c>
      <c r="G44" s="206">
        <f t="shared" si="1"/>
        <v>1629019.0599999998</v>
      </c>
      <c r="H44" s="61">
        <v>868.65</v>
      </c>
      <c r="I44" s="61">
        <v>737.22</v>
      </c>
      <c r="J44" s="61">
        <v>131.43</v>
      </c>
      <c r="K44" s="207" t="s">
        <v>3750</v>
      </c>
    </row>
    <row r="45" spans="1:11">
      <c r="A45" s="61">
        <v>42</v>
      </c>
      <c r="B45" s="203" t="s">
        <v>3652</v>
      </c>
      <c r="C45" s="61" t="s">
        <v>6</v>
      </c>
      <c r="D45" s="61" t="s">
        <v>24</v>
      </c>
      <c r="E45" s="209">
        <v>1732999</v>
      </c>
      <c r="F45" s="212">
        <f t="shared" si="0"/>
        <v>1681009.03</v>
      </c>
      <c r="G45" s="206">
        <f t="shared" si="1"/>
        <v>1629019.0599999998</v>
      </c>
      <c r="H45" s="61">
        <v>868.32</v>
      </c>
      <c r="I45" s="61">
        <v>736.9</v>
      </c>
      <c r="J45" s="61">
        <v>131.43</v>
      </c>
      <c r="K45" s="207" t="s">
        <v>3751</v>
      </c>
    </row>
    <row r="46" spans="1:11">
      <c r="A46" s="61">
        <v>43</v>
      </c>
      <c r="B46" s="203" t="s">
        <v>3653</v>
      </c>
      <c r="C46" s="61" t="s">
        <v>7</v>
      </c>
      <c r="D46" s="61" t="s">
        <v>24</v>
      </c>
      <c r="E46" s="209">
        <v>1731999</v>
      </c>
      <c r="F46" s="212">
        <f t="shared" si="0"/>
        <v>1680039.03</v>
      </c>
      <c r="G46" s="206">
        <f t="shared" si="1"/>
        <v>1628079.0599999998</v>
      </c>
      <c r="H46" s="61">
        <v>873.38</v>
      </c>
      <c r="I46" s="61">
        <v>741.42</v>
      </c>
      <c r="J46" s="61">
        <v>131.97</v>
      </c>
      <c r="K46" s="207" t="s">
        <v>3610</v>
      </c>
    </row>
    <row r="47" spans="1:11">
      <c r="A47" s="61">
        <v>44</v>
      </c>
      <c r="B47" s="203" t="s">
        <v>3654</v>
      </c>
      <c r="C47" s="61" t="s">
        <v>7</v>
      </c>
      <c r="D47" s="61" t="s">
        <v>24</v>
      </c>
      <c r="E47" s="209">
        <v>1731999</v>
      </c>
      <c r="F47" s="212">
        <f t="shared" si="0"/>
        <v>1680039.03</v>
      </c>
      <c r="G47" s="206">
        <f t="shared" si="1"/>
        <v>1628079.0599999998</v>
      </c>
      <c r="H47" s="61">
        <v>873.38</v>
      </c>
      <c r="I47" s="61">
        <v>741.53</v>
      </c>
      <c r="J47" s="61">
        <v>131.86000000000001</v>
      </c>
      <c r="K47" s="207" t="s">
        <v>3752</v>
      </c>
    </row>
    <row r="48" spans="1:11">
      <c r="A48" s="61">
        <v>45</v>
      </c>
      <c r="B48" s="203" t="s">
        <v>3655</v>
      </c>
      <c r="C48" s="61" t="s">
        <v>7</v>
      </c>
      <c r="D48" s="61" t="s">
        <v>24</v>
      </c>
      <c r="E48" s="209">
        <v>1730999</v>
      </c>
      <c r="F48" s="212">
        <f t="shared" si="0"/>
        <v>1679069.03</v>
      </c>
      <c r="G48" s="206">
        <f t="shared" si="1"/>
        <v>1627139.0599999998</v>
      </c>
      <c r="H48" s="61">
        <v>868.65</v>
      </c>
      <c r="I48" s="61">
        <v>737.22</v>
      </c>
      <c r="J48" s="61">
        <v>131.43</v>
      </c>
      <c r="K48" s="207" t="s">
        <v>3750</v>
      </c>
    </row>
    <row r="49" spans="1:11">
      <c r="A49" s="61">
        <v>46</v>
      </c>
      <c r="B49" s="203" t="s">
        <v>3656</v>
      </c>
      <c r="C49" s="61" t="s">
        <v>7</v>
      </c>
      <c r="D49" s="61" t="s">
        <v>24</v>
      </c>
      <c r="E49" s="209">
        <v>1729999</v>
      </c>
      <c r="F49" s="212">
        <f t="shared" si="0"/>
        <v>1678099.03</v>
      </c>
      <c r="G49" s="206">
        <f t="shared" si="1"/>
        <v>1626199.0599999998</v>
      </c>
      <c r="H49" s="61">
        <v>868.32</v>
      </c>
      <c r="I49" s="61">
        <v>736.9</v>
      </c>
      <c r="J49" s="61">
        <v>131.43</v>
      </c>
      <c r="K49" s="207" t="s">
        <v>3751</v>
      </c>
    </row>
    <row r="50" spans="1:11">
      <c r="A50" s="61">
        <v>47</v>
      </c>
      <c r="B50" s="203" t="s">
        <v>3657</v>
      </c>
      <c r="C50" s="61" t="s">
        <v>8</v>
      </c>
      <c r="D50" s="61" t="s">
        <v>24</v>
      </c>
      <c r="E50" s="209">
        <v>1728999</v>
      </c>
      <c r="F50" s="212">
        <f t="shared" si="0"/>
        <v>1677129.03</v>
      </c>
      <c r="G50" s="206">
        <f t="shared" si="1"/>
        <v>1625259.0599999998</v>
      </c>
      <c r="H50" s="61">
        <v>873.38</v>
      </c>
      <c r="I50" s="61">
        <v>741.42</v>
      </c>
      <c r="J50" s="61">
        <v>131.97</v>
      </c>
      <c r="K50" s="207" t="s">
        <v>3610</v>
      </c>
    </row>
    <row r="51" spans="1:11">
      <c r="A51" s="61">
        <v>48</v>
      </c>
      <c r="B51" s="203" t="s">
        <v>3658</v>
      </c>
      <c r="C51" s="61" t="s">
        <v>8</v>
      </c>
      <c r="D51" s="61" t="s">
        <v>24</v>
      </c>
      <c r="E51" s="209">
        <v>1729999</v>
      </c>
      <c r="F51" s="212">
        <f t="shared" si="0"/>
        <v>1678099.03</v>
      </c>
      <c r="G51" s="206">
        <f t="shared" si="1"/>
        <v>1626199.0599999998</v>
      </c>
      <c r="H51" s="61">
        <v>873.38</v>
      </c>
      <c r="I51" s="61">
        <v>741.53</v>
      </c>
      <c r="J51" s="61">
        <v>131.86000000000001</v>
      </c>
      <c r="K51" s="207" t="s">
        <v>3752</v>
      </c>
    </row>
    <row r="52" spans="1:11">
      <c r="A52" s="61">
        <v>49</v>
      </c>
      <c r="B52" s="203" t="s">
        <v>3659</v>
      </c>
      <c r="C52" s="61" t="s">
        <v>8</v>
      </c>
      <c r="D52" s="61" t="s">
        <v>24</v>
      </c>
      <c r="E52" s="209">
        <v>1727999</v>
      </c>
      <c r="F52" s="212">
        <f t="shared" si="0"/>
        <v>1676159.03</v>
      </c>
      <c r="G52" s="206">
        <f t="shared" si="1"/>
        <v>1624319.0599999998</v>
      </c>
      <c r="H52" s="61">
        <v>868.65</v>
      </c>
      <c r="I52" s="61">
        <v>737.22</v>
      </c>
      <c r="J52" s="61">
        <v>131.43</v>
      </c>
      <c r="K52" s="207" t="s">
        <v>3750</v>
      </c>
    </row>
    <row r="53" spans="1:11">
      <c r="A53" s="61">
        <v>50</v>
      </c>
      <c r="B53" s="203" t="s">
        <v>3660</v>
      </c>
      <c r="C53" s="61" t="s">
        <v>8</v>
      </c>
      <c r="D53" s="61" t="s">
        <v>24</v>
      </c>
      <c r="E53" s="209">
        <v>1727999</v>
      </c>
      <c r="F53" s="212">
        <f t="shared" si="0"/>
        <v>1676159.03</v>
      </c>
      <c r="G53" s="206">
        <f t="shared" si="1"/>
        <v>1624319.0599999998</v>
      </c>
      <c r="H53" s="61">
        <v>868.32</v>
      </c>
      <c r="I53" s="61">
        <v>736.9</v>
      </c>
      <c r="J53" s="61">
        <v>131.43</v>
      </c>
      <c r="K53" s="207" t="s">
        <v>3751</v>
      </c>
    </row>
    <row r="54" spans="1:11">
      <c r="A54" s="61">
        <v>51</v>
      </c>
      <c r="B54" s="203" t="s">
        <v>3661</v>
      </c>
      <c r="C54" s="61" t="s">
        <v>9</v>
      </c>
      <c r="D54" s="61" t="s">
        <v>24</v>
      </c>
      <c r="E54" s="209">
        <v>1726999</v>
      </c>
      <c r="F54" s="212">
        <f t="shared" si="0"/>
        <v>1675189.03</v>
      </c>
      <c r="G54" s="206">
        <f t="shared" si="1"/>
        <v>1623379.0599999998</v>
      </c>
      <c r="H54" s="61">
        <v>873.38</v>
      </c>
      <c r="I54" s="61">
        <v>741.42</v>
      </c>
      <c r="J54" s="61">
        <v>131.97</v>
      </c>
      <c r="K54" s="207" t="s">
        <v>3610</v>
      </c>
    </row>
    <row r="55" spans="1:11">
      <c r="A55" s="61">
        <v>52</v>
      </c>
      <c r="B55" s="203" t="s">
        <v>3662</v>
      </c>
      <c r="C55" s="61" t="s">
        <v>9</v>
      </c>
      <c r="D55" s="61" t="s">
        <v>24</v>
      </c>
      <c r="E55" s="209">
        <v>1726999</v>
      </c>
      <c r="F55" s="212">
        <f t="shared" si="0"/>
        <v>1675189.03</v>
      </c>
      <c r="G55" s="206">
        <f t="shared" si="1"/>
        <v>1623379.0599999998</v>
      </c>
      <c r="H55" s="61">
        <v>873.38</v>
      </c>
      <c r="I55" s="61">
        <v>741.53</v>
      </c>
      <c r="J55" s="61">
        <v>131.86000000000001</v>
      </c>
      <c r="K55" s="207" t="s">
        <v>3752</v>
      </c>
    </row>
    <row r="56" spans="1:11">
      <c r="A56" s="61">
        <v>53</v>
      </c>
      <c r="B56" s="203" t="s">
        <v>3663</v>
      </c>
      <c r="C56" s="61" t="s">
        <v>9</v>
      </c>
      <c r="D56" s="61" t="s">
        <v>24</v>
      </c>
      <c r="E56" s="209">
        <v>1725999</v>
      </c>
      <c r="F56" s="212">
        <f t="shared" si="0"/>
        <v>1674219.03</v>
      </c>
      <c r="G56" s="206">
        <f t="shared" si="1"/>
        <v>1622439.0599999998</v>
      </c>
      <c r="H56" s="61">
        <v>868.65</v>
      </c>
      <c r="I56" s="61">
        <v>737.22</v>
      </c>
      <c r="J56" s="61">
        <v>131.43</v>
      </c>
      <c r="K56" s="207" t="s">
        <v>3750</v>
      </c>
    </row>
    <row r="57" spans="1:11">
      <c r="A57" s="61">
        <v>54</v>
      </c>
      <c r="B57" s="203" t="s">
        <v>3664</v>
      </c>
      <c r="C57" s="61" t="s">
        <v>9</v>
      </c>
      <c r="D57" s="61" t="s">
        <v>24</v>
      </c>
      <c r="E57" s="209">
        <v>1724999</v>
      </c>
      <c r="F57" s="212">
        <f t="shared" si="0"/>
        <v>1673249.03</v>
      </c>
      <c r="G57" s="206">
        <f t="shared" si="1"/>
        <v>1621499.0599999998</v>
      </c>
      <c r="H57" s="61">
        <v>868.32</v>
      </c>
      <c r="I57" s="61">
        <v>736.9</v>
      </c>
      <c r="J57" s="61">
        <v>131.43</v>
      </c>
      <c r="K57" s="207" t="s">
        <v>3751</v>
      </c>
    </row>
    <row r="58" spans="1:11">
      <c r="A58" s="61">
        <v>55</v>
      </c>
      <c r="B58" s="203" t="s">
        <v>3665</v>
      </c>
      <c r="C58" s="61" t="s">
        <v>10</v>
      </c>
      <c r="D58" s="61" t="s">
        <v>24</v>
      </c>
      <c r="E58" s="209">
        <v>1723999</v>
      </c>
      <c r="F58" s="212">
        <f t="shared" si="0"/>
        <v>1672279.03</v>
      </c>
      <c r="G58" s="206">
        <f t="shared" si="1"/>
        <v>1620559.0599999998</v>
      </c>
      <c r="H58" s="61">
        <v>873.38</v>
      </c>
      <c r="I58" s="61">
        <v>741.42</v>
      </c>
      <c r="J58" s="61">
        <v>131.97</v>
      </c>
      <c r="K58" s="207" t="s">
        <v>3610</v>
      </c>
    </row>
    <row r="59" spans="1:11">
      <c r="A59" s="61">
        <v>56</v>
      </c>
      <c r="B59" s="203" t="s">
        <v>3666</v>
      </c>
      <c r="C59" s="61" t="s">
        <v>10</v>
      </c>
      <c r="D59" s="61" t="s">
        <v>24</v>
      </c>
      <c r="E59" s="209">
        <v>1723999</v>
      </c>
      <c r="F59" s="212">
        <f t="shared" si="0"/>
        <v>1672279.03</v>
      </c>
      <c r="G59" s="206">
        <f t="shared" si="1"/>
        <v>1620559.0599999998</v>
      </c>
      <c r="H59" s="61">
        <v>873.49</v>
      </c>
      <c r="I59" s="61">
        <v>741.42</v>
      </c>
      <c r="J59" s="61">
        <v>132.07</v>
      </c>
      <c r="K59" s="207" t="s">
        <v>3752</v>
      </c>
    </row>
    <row r="60" spans="1:11">
      <c r="A60" s="61">
        <v>57</v>
      </c>
      <c r="B60" s="203" t="s">
        <v>3667</v>
      </c>
      <c r="C60" s="61" t="s">
        <v>10</v>
      </c>
      <c r="D60" s="61" t="s">
        <v>24</v>
      </c>
      <c r="E60" s="209">
        <v>1700999</v>
      </c>
      <c r="F60" s="212">
        <f t="shared" si="0"/>
        <v>1649969.03</v>
      </c>
      <c r="G60" s="206">
        <f t="shared" si="1"/>
        <v>1598939.0599999998</v>
      </c>
      <c r="H60" s="61">
        <v>761.65</v>
      </c>
      <c r="I60" s="61">
        <v>733.35</v>
      </c>
      <c r="J60" s="61">
        <v>28.31</v>
      </c>
      <c r="K60" s="207" t="s">
        <v>3753</v>
      </c>
    </row>
    <row r="61" spans="1:11">
      <c r="A61" s="61">
        <v>58</v>
      </c>
      <c r="B61" s="203" t="s">
        <v>3668</v>
      </c>
      <c r="C61" s="61" t="s">
        <v>10</v>
      </c>
      <c r="D61" s="61" t="s">
        <v>24</v>
      </c>
      <c r="E61" s="209">
        <v>1699999</v>
      </c>
      <c r="F61" s="212">
        <f t="shared" si="0"/>
        <v>1648999.03</v>
      </c>
      <c r="G61" s="206">
        <f t="shared" si="1"/>
        <v>1597999.0599999998</v>
      </c>
      <c r="H61" s="61">
        <v>755.52</v>
      </c>
      <c r="I61" s="61">
        <v>727.21</v>
      </c>
      <c r="J61" s="61">
        <v>28.31</v>
      </c>
      <c r="K61" s="207" t="s">
        <v>3754</v>
      </c>
    </row>
    <row r="62" spans="1:11">
      <c r="A62" s="61">
        <v>59</v>
      </c>
      <c r="B62" s="203" t="s">
        <v>5057</v>
      </c>
      <c r="C62" s="61" t="s">
        <v>33</v>
      </c>
      <c r="D62" s="61" t="s">
        <v>36</v>
      </c>
      <c r="E62" s="209">
        <v>1320999</v>
      </c>
      <c r="F62" s="212">
        <f t="shared" si="0"/>
        <v>1281369.03</v>
      </c>
      <c r="G62" s="206">
        <f t="shared" si="1"/>
        <v>1241739.0599999998</v>
      </c>
      <c r="H62" s="61">
        <v>655.09</v>
      </c>
      <c r="I62" s="61">
        <v>593.09</v>
      </c>
      <c r="J62" s="61">
        <v>62</v>
      </c>
      <c r="K62" s="207" t="s">
        <v>3755</v>
      </c>
    </row>
    <row r="63" spans="1:11">
      <c r="A63" s="61">
        <v>60</v>
      </c>
      <c r="B63" s="203" t="s">
        <v>5058</v>
      </c>
      <c r="C63" s="61" t="s">
        <v>4461</v>
      </c>
      <c r="D63" s="61" t="s">
        <v>36</v>
      </c>
      <c r="E63" s="209">
        <v>1316999</v>
      </c>
      <c r="F63" s="212">
        <f t="shared" si="0"/>
        <v>1277489.03</v>
      </c>
      <c r="G63" s="206">
        <f t="shared" si="1"/>
        <v>1237979.0599999998</v>
      </c>
      <c r="H63" s="61">
        <v>655.30999999999995</v>
      </c>
      <c r="I63" s="61">
        <v>593.30999999999995</v>
      </c>
      <c r="J63" s="61">
        <v>62</v>
      </c>
      <c r="K63" s="207" t="s">
        <v>3755</v>
      </c>
    </row>
    <row r="64" spans="1:11">
      <c r="A64" s="61">
        <v>61</v>
      </c>
      <c r="B64" s="203" t="s">
        <v>5059</v>
      </c>
      <c r="C64" s="61" t="s">
        <v>4461</v>
      </c>
      <c r="D64" s="61" t="s">
        <v>36</v>
      </c>
      <c r="E64" s="209">
        <v>1316999</v>
      </c>
      <c r="F64" s="212">
        <f t="shared" si="0"/>
        <v>1277489.03</v>
      </c>
      <c r="G64" s="206">
        <f t="shared" si="1"/>
        <v>1237979.0599999998</v>
      </c>
      <c r="H64" s="61">
        <v>655.09</v>
      </c>
      <c r="I64" s="61">
        <v>593.09</v>
      </c>
      <c r="J64" s="61">
        <v>62</v>
      </c>
      <c r="K64" s="207" t="s">
        <v>3755</v>
      </c>
    </row>
    <row r="65" spans="1:11">
      <c r="A65" s="61">
        <v>62</v>
      </c>
      <c r="B65" s="203" t="s">
        <v>3669</v>
      </c>
      <c r="C65" s="61" t="s">
        <v>4461</v>
      </c>
      <c r="D65" s="61" t="s">
        <v>36</v>
      </c>
      <c r="E65" s="209">
        <v>1316999</v>
      </c>
      <c r="F65" s="212">
        <f t="shared" si="0"/>
        <v>1277489.03</v>
      </c>
      <c r="G65" s="206">
        <f t="shared" si="1"/>
        <v>1237979.0599999998</v>
      </c>
      <c r="H65" s="61">
        <v>655.09</v>
      </c>
      <c r="I65" s="61">
        <v>593.09</v>
      </c>
      <c r="J65" s="61">
        <v>62</v>
      </c>
      <c r="K65" s="207" t="s">
        <v>3749</v>
      </c>
    </row>
    <row r="66" spans="1:11">
      <c r="A66" s="61">
        <v>63</v>
      </c>
      <c r="B66" s="203" t="s">
        <v>3670</v>
      </c>
      <c r="C66" s="61" t="s">
        <v>4461</v>
      </c>
      <c r="D66" s="61" t="s">
        <v>36</v>
      </c>
      <c r="E66" s="209">
        <v>1316999</v>
      </c>
      <c r="F66" s="212">
        <f t="shared" si="0"/>
        <v>1277489.03</v>
      </c>
      <c r="G66" s="206">
        <f t="shared" si="1"/>
        <v>1237979.0599999998</v>
      </c>
      <c r="H66" s="61">
        <v>655.09</v>
      </c>
      <c r="I66" s="61">
        <v>593.09</v>
      </c>
      <c r="J66" s="61">
        <v>62</v>
      </c>
      <c r="K66" s="207" t="s">
        <v>3749</v>
      </c>
    </row>
    <row r="67" spans="1:11">
      <c r="A67" s="61">
        <v>64</v>
      </c>
      <c r="B67" s="203" t="s">
        <v>3671</v>
      </c>
      <c r="C67" s="61" t="s">
        <v>4460</v>
      </c>
      <c r="D67" s="61" t="s">
        <v>36</v>
      </c>
      <c r="E67" s="209">
        <v>1314999</v>
      </c>
      <c r="F67" s="212">
        <f t="shared" si="0"/>
        <v>1275549.03</v>
      </c>
      <c r="G67" s="206">
        <f t="shared" si="1"/>
        <v>1236099.0599999998</v>
      </c>
      <c r="H67" s="61">
        <v>655.09</v>
      </c>
      <c r="I67" s="61">
        <v>593.09</v>
      </c>
      <c r="J67" s="61">
        <v>62</v>
      </c>
      <c r="K67" s="207" t="s">
        <v>3749</v>
      </c>
    </row>
    <row r="68" spans="1:11">
      <c r="A68" s="61">
        <v>65</v>
      </c>
      <c r="B68" s="203" t="s">
        <v>3672</v>
      </c>
      <c r="C68" s="61" t="s">
        <v>4460</v>
      </c>
      <c r="D68" s="61" t="s">
        <v>36</v>
      </c>
      <c r="E68" s="209">
        <v>1314999</v>
      </c>
      <c r="F68" s="212">
        <f t="shared" si="0"/>
        <v>1275549.03</v>
      </c>
      <c r="G68" s="206">
        <f t="shared" si="1"/>
        <v>1236099.0599999998</v>
      </c>
      <c r="H68" s="61">
        <v>655.09</v>
      </c>
      <c r="I68" s="61">
        <v>593.09</v>
      </c>
      <c r="J68" s="61">
        <v>62</v>
      </c>
      <c r="K68" s="207" t="s">
        <v>3749</v>
      </c>
    </row>
    <row r="69" spans="1:11">
      <c r="A69" s="61">
        <v>66</v>
      </c>
      <c r="B69" s="203" t="s">
        <v>3673</v>
      </c>
      <c r="C69" s="61" t="s">
        <v>11</v>
      </c>
      <c r="D69" s="61" t="s">
        <v>36</v>
      </c>
      <c r="E69" s="209">
        <v>1312999</v>
      </c>
      <c r="F69" s="212">
        <f t="shared" ref="F69:F132" si="2">E69*0.97</f>
        <v>1273609.03</v>
      </c>
      <c r="G69" s="206">
        <f t="shared" ref="G69:G132" si="3">E69*0.94</f>
        <v>1234219.0599999998</v>
      </c>
      <c r="H69" s="61">
        <v>655.30999999999995</v>
      </c>
      <c r="I69" s="61">
        <v>593.30999999999995</v>
      </c>
      <c r="J69" s="61">
        <v>62</v>
      </c>
      <c r="K69" s="207" t="s">
        <v>3755</v>
      </c>
    </row>
    <row r="70" spans="1:11">
      <c r="A70" s="61">
        <v>67</v>
      </c>
      <c r="B70" s="203" t="s">
        <v>3674</v>
      </c>
      <c r="C70" s="61" t="s">
        <v>32</v>
      </c>
      <c r="D70" s="61" t="s">
        <v>36</v>
      </c>
      <c r="E70" s="209">
        <v>1313999</v>
      </c>
      <c r="F70" s="212">
        <f t="shared" si="2"/>
        <v>1274579.03</v>
      </c>
      <c r="G70" s="206">
        <f t="shared" si="3"/>
        <v>1235159.0599999998</v>
      </c>
      <c r="H70" s="61">
        <v>657.24</v>
      </c>
      <c r="I70" s="61">
        <v>595.24</v>
      </c>
      <c r="J70" s="61">
        <v>62</v>
      </c>
      <c r="K70" s="207" t="s">
        <v>3749</v>
      </c>
    </row>
    <row r="71" spans="1:11">
      <c r="A71" s="61">
        <v>68</v>
      </c>
      <c r="B71" s="203" t="s">
        <v>3675</v>
      </c>
      <c r="C71" s="61" t="s">
        <v>32</v>
      </c>
      <c r="D71" s="61" t="s">
        <v>36</v>
      </c>
      <c r="E71" s="209">
        <v>1313999</v>
      </c>
      <c r="F71" s="212">
        <f t="shared" si="2"/>
        <v>1274579.03</v>
      </c>
      <c r="G71" s="206">
        <f t="shared" si="3"/>
        <v>1235159.0599999998</v>
      </c>
      <c r="H71" s="61">
        <v>657.24</v>
      </c>
      <c r="I71" s="61">
        <v>595.24</v>
      </c>
      <c r="J71" s="61">
        <v>62</v>
      </c>
      <c r="K71" s="207" t="s">
        <v>3749</v>
      </c>
    </row>
    <row r="72" spans="1:11">
      <c r="A72" s="61">
        <v>69</v>
      </c>
      <c r="B72" s="203" t="s">
        <v>3676</v>
      </c>
      <c r="C72" s="61" t="s">
        <v>11</v>
      </c>
      <c r="D72" s="61" t="s">
        <v>36</v>
      </c>
      <c r="E72" s="209">
        <v>1312999</v>
      </c>
      <c r="F72" s="212">
        <f t="shared" si="2"/>
        <v>1273609.03</v>
      </c>
      <c r="G72" s="206">
        <f t="shared" si="3"/>
        <v>1234219.0599999998</v>
      </c>
      <c r="H72" s="61">
        <v>655.09</v>
      </c>
      <c r="I72" s="61">
        <v>593.09</v>
      </c>
      <c r="J72" s="61">
        <v>62</v>
      </c>
      <c r="K72" s="207" t="s">
        <v>3755</v>
      </c>
    </row>
    <row r="73" spans="1:11">
      <c r="A73" s="61">
        <v>70</v>
      </c>
      <c r="B73" s="203" t="s">
        <v>3677</v>
      </c>
      <c r="C73" s="61" t="s">
        <v>11</v>
      </c>
      <c r="D73" s="61" t="s">
        <v>36</v>
      </c>
      <c r="E73" s="209">
        <v>1312999</v>
      </c>
      <c r="F73" s="212">
        <f t="shared" si="2"/>
        <v>1273609.03</v>
      </c>
      <c r="G73" s="206">
        <f t="shared" si="3"/>
        <v>1234219.0599999998</v>
      </c>
      <c r="H73" s="61">
        <v>655.09</v>
      </c>
      <c r="I73" s="61">
        <v>593.09</v>
      </c>
      <c r="J73" s="61">
        <v>62</v>
      </c>
      <c r="K73" s="207" t="s">
        <v>3749</v>
      </c>
    </row>
    <row r="74" spans="1:11">
      <c r="A74" s="61">
        <v>71</v>
      </c>
      <c r="B74" s="203" t="s">
        <v>3678</v>
      </c>
      <c r="C74" s="61" t="s">
        <v>11</v>
      </c>
      <c r="D74" s="61" t="s">
        <v>36</v>
      </c>
      <c r="E74" s="209">
        <v>1312999</v>
      </c>
      <c r="F74" s="212">
        <f t="shared" si="2"/>
        <v>1273609.03</v>
      </c>
      <c r="G74" s="206">
        <f t="shared" si="3"/>
        <v>1234219.0599999998</v>
      </c>
      <c r="H74" s="61">
        <v>655.09</v>
      </c>
      <c r="I74" s="61">
        <v>593.09</v>
      </c>
      <c r="J74" s="61">
        <v>62</v>
      </c>
      <c r="K74" s="207" t="s">
        <v>3749</v>
      </c>
    </row>
    <row r="75" spans="1:11">
      <c r="A75" s="61">
        <v>72</v>
      </c>
      <c r="B75" s="203" t="s">
        <v>3679</v>
      </c>
      <c r="C75" s="61" t="s">
        <v>12</v>
      </c>
      <c r="D75" s="61" t="s">
        <v>36</v>
      </c>
      <c r="E75" s="209">
        <v>1310999</v>
      </c>
      <c r="F75" s="212">
        <f t="shared" si="2"/>
        <v>1271669.03</v>
      </c>
      <c r="G75" s="206">
        <f t="shared" si="3"/>
        <v>1232339.0599999998</v>
      </c>
      <c r="H75" s="61">
        <v>655.30999999999995</v>
      </c>
      <c r="I75" s="61">
        <v>593.30999999999995</v>
      </c>
      <c r="J75" s="61">
        <v>62</v>
      </c>
      <c r="K75" s="207" t="s">
        <v>3755</v>
      </c>
    </row>
    <row r="76" spans="1:11">
      <c r="A76" s="61">
        <v>73</v>
      </c>
      <c r="B76" s="203" t="s">
        <v>3680</v>
      </c>
      <c r="C76" s="61" t="s">
        <v>12</v>
      </c>
      <c r="D76" s="61" t="s">
        <v>36</v>
      </c>
      <c r="E76" s="209">
        <v>1310999</v>
      </c>
      <c r="F76" s="212">
        <f t="shared" si="2"/>
        <v>1271669.03</v>
      </c>
      <c r="G76" s="206">
        <f t="shared" si="3"/>
        <v>1232339.0599999998</v>
      </c>
      <c r="H76" s="61">
        <v>655.09</v>
      </c>
      <c r="I76" s="61">
        <v>593.09</v>
      </c>
      <c r="J76" s="61">
        <v>62</v>
      </c>
      <c r="K76" s="207" t="s">
        <v>3755</v>
      </c>
    </row>
    <row r="77" spans="1:11">
      <c r="A77" s="61">
        <v>74</v>
      </c>
      <c r="B77" s="203" t="s">
        <v>3681</v>
      </c>
      <c r="C77" s="61" t="s">
        <v>12</v>
      </c>
      <c r="D77" s="61" t="s">
        <v>36</v>
      </c>
      <c r="E77" s="209">
        <v>1310999</v>
      </c>
      <c r="F77" s="212">
        <f t="shared" si="2"/>
        <v>1271669.03</v>
      </c>
      <c r="G77" s="206">
        <f t="shared" si="3"/>
        <v>1232339.0599999998</v>
      </c>
      <c r="H77" s="61">
        <v>655.09</v>
      </c>
      <c r="I77" s="61">
        <v>593.09</v>
      </c>
      <c r="J77" s="61">
        <v>62</v>
      </c>
      <c r="K77" s="207" t="s">
        <v>3749</v>
      </c>
    </row>
    <row r="78" spans="1:11">
      <c r="A78" s="61">
        <v>75</v>
      </c>
      <c r="B78" s="203" t="s">
        <v>4536</v>
      </c>
      <c r="C78" s="61" t="s">
        <v>3</v>
      </c>
      <c r="D78" s="61" t="s">
        <v>36</v>
      </c>
      <c r="E78" s="209">
        <v>1286999</v>
      </c>
      <c r="F78" s="212">
        <f t="shared" si="2"/>
        <v>1248389.03</v>
      </c>
      <c r="G78" s="206">
        <f t="shared" si="3"/>
        <v>1209779.0599999998</v>
      </c>
      <c r="H78" s="61">
        <v>774.14</v>
      </c>
      <c r="I78" s="61">
        <v>554.02</v>
      </c>
      <c r="J78" s="61">
        <v>220.12</v>
      </c>
      <c r="K78" s="207" t="s">
        <v>3753</v>
      </c>
    </row>
    <row r="79" spans="1:11">
      <c r="A79" s="61">
        <v>76</v>
      </c>
      <c r="B79" s="203" t="s">
        <v>3682</v>
      </c>
      <c r="C79" s="61" t="s">
        <v>3</v>
      </c>
      <c r="D79" s="61" t="s">
        <v>36</v>
      </c>
      <c r="E79" s="209">
        <v>1261999</v>
      </c>
      <c r="F79" s="212">
        <f t="shared" si="2"/>
        <v>1224139.03</v>
      </c>
      <c r="G79" s="206">
        <f t="shared" si="3"/>
        <v>1186279.0599999998</v>
      </c>
      <c r="H79" s="61">
        <v>747.98</v>
      </c>
      <c r="I79" s="61">
        <v>546.16</v>
      </c>
      <c r="J79" s="61">
        <v>201.82</v>
      </c>
      <c r="K79" s="207" t="s">
        <v>3753</v>
      </c>
    </row>
    <row r="80" spans="1:11">
      <c r="A80" s="61">
        <v>77</v>
      </c>
      <c r="B80" s="203" t="s">
        <v>3683</v>
      </c>
      <c r="C80" s="61" t="s">
        <v>4494</v>
      </c>
      <c r="D80" s="61" t="s">
        <v>36</v>
      </c>
      <c r="E80" s="209">
        <v>1244999</v>
      </c>
      <c r="F80" s="212">
        <f t="shared" si="2"/>
        <v>1207649.03</v>
      </c>
      <c r="G80" s="206">
        <f t="shared" si="3"/>
        <v>1170299.0599999998</v>
      </c>
      <c r="H80" s="61">
        <v>580.71</v>
      </c>
      <c r="I80" s="61">
        <v>551.65</v>
      </c>
      <c r="J80" s="61">
        <v>29.06</v>
      </c>
      <c r="K80" s="207" t="s">
        <v>3754</v>
      </c>
    </row>
    <row r="81" spans="1:11">
      <c r="A81" s="61">
        <v>78</v>
      </c>
      <c r="B81" s="203" t="s">
        <v>3684</v>
      </c>
      <c r="C81" s="61" t="s">
        <v>4494</v>
      </c>
      <c r="D81" s="61" t="s">
        <v>36</v>
      </c>
      <c r="E81" s="209">
        <v>1240999</v>
      </c>
      <c r="F81" s="212">
        <f t="shared" si="2"/>
        <v>1203769.03</v>
      </c>
      <c r="G81" s="206">
        <f t="shared" si="3"/>
        <v>1166539.0599999998</v>
      </c>
      <c r="H81" s="61">
        <v>579.21</v>
      </c>
      <c r="I81" s="61">
        <v>550.14</v>
      </c>
      <c r="J81" s="61">
        <v>29.06</v>
      </c>
      <c r="K81" s="207" t="s">
        <v>3754</v>
      </c>
    </row>
    <row r="82" spans="1:11">
      <c r="A82" s="61">
        <v>79</v>
      </c>
      <c r="B82" s="203" t="s">
        <v>3685</v>
      </c>
      <c r="C82" s="61" t="s">
        <v>4494</v>
      </c>
      <c r="D82" s="61" t="s">
        <v>36</v>
      </c>
      <c r="E82" s="209">
        <v>1238999</v>
      </c>
      <c r="F82" s="212">
        <f t="shared" si="2"/>
        <v>1201829.03</v>
      </c>
      <c r="G82" s="206">
        <f t="shared" si="3"/>
        <v>1164659.0599999998</v>
      </c>
      <c r="H82" s="61">
        <v>581.04</v>
      </c>
      <c r="I82" s="61">
        <v>551.97</v>
      </c>
      <c r="J82" s="61">
        <v>29.06</v>
      </c>
      <c r="K82" s="207" t="s">
        <v>3753</v>
      </c>
    </row>
    <row r="83" spans="1:11">
      <c r="A83" s="61">
        <v>80</v>
      </c>
      <c r="B83" s="203" t="s">
        <v>3686</v>
      </c>
      <c r="C83" s="61" t="s">
        <v>4461</v>
      </c>
      <c r="D83" s="61" t="s">
        <v>36</v>
      </c>
      <c r="E83" s="209">
        <v>1238999</v>
      </c>
      <c r="F83" s="212">
        <f t="shared" si="2"/>
        <v>1201829.03</v>
      </c>
      <c r="G83" s="206">
        <f t="shared" si="3"/>
        <v>1164659.0599999998</v>
      </c>
      <c r="H83" s="61">
        <v>580.71</v>
      </c>
      <c r="I83" s="61">
        <v>551.65</v>
      </c>
      <c r="J83" s="61">
        <v>29.06</v>
      </c>
      <c r="K83" s="207" t="s">
        <v>3754</v>
      </c>
    </row>
    <row r="84" spans="1:11">
      <c r="A84" s="61">
        <v>81</v>
      </c>
      <c r="B84" s="203" t="s">
        <v>3687</v>
      </c>
      <c r="C84" s="61" t="s">
        <v>33</v>
      </c>
      <c r="D84" s="61" t="s">
        <v>36</v>
      </c>
      <c r="E84" s="209">
        <v>1236999</v>
      </c>
      <c r="F84" s="212">
        <f t="shared" si="2"/>
        <v>1199889.03</v>
      </c>
      <c r="G84" s="206">
        <f t="shared" si="3"/>
        <v>1162779.0599999998</v>
      </c>
      <c r="H84" s="61">
        <v>581.04</v>
      </c>
      <c r="I84" s="61">
        <v>551.97</v>
      </c>
      <c r="J84" s="61">
        <v>29.06</v>
      </c>
      <c r="K84" s="207" t="s">
        <v>3753</v>
      </c>
    </row>
    <row r="85" spans="1:11">
      <c r="A85" s="61">
        <v>82</v>
      </c>
      <c r="B85" s="203" t="s">
        <v>3688</v>
      </c>
      <c r="C85" s="61" t="s">
        <v>4460</v>
      </c>
      <c r="D85" s="61" t="s">
        <v>36</v>
      </c>
      <c r="E85" s="209">
        <v>1236999</v>
      </c>
      <c r="F85" s="212">
        <f t="shared" si="2"/>
        <v>1199889.03</v>
      </c>
      <c r="G85" s="206">
        <f t="shared" si="3"/>
        <v>1162779.0599999998</v>
      </c>
      <c r="H85" s="61">
        <v>580.71</v>
      </c>
      <c r="I85" s="61">
        <v>551.65</v>
      </c>
      <c r="J85" s="61">
        <v>29.06</v>
      </c>
      <c r="K85" s="207" t="s">
        <v>3754</v>
      </c>
    </row>
    <row r="86" spans="1:11">
      <c r="A86" s="61">
        <v>83</v>
      </c>
      <c r="B86" s="203" t="s">
        <v>3689</v>
      </c>
      <c r="C86" s="61" t="s">
        <v>11</v>
      </c>
      <c r="D86" s="61" t="s">
        <v>36</v>
      </c>
      <c r="E86" s="209">
        <v>1235999</v>
      </c>
      <c r="F86" s="212">
        <f t="shared" si="2"/>
        <v>1198919.03</v>
      </c>
      <c r="G86" s="206">
        <f t="shared" si="3"/>
        <v>1161839.0599999998</v>
      </c>
      <c r="H86" s="61">
        <v>580.71</v>
      </c>
      <c r="I86" s="61">
        <v>551.65</v>
      </c>
      <c r="J86" s="61">
        <v>29.06</v>
      </c>
      <c r="K86" s="207" t="s">
        <v>3754</v>
      </c>
    </row>
    <row r="87" spans="1:11">
      <c r="A87" s="61">
        <v>84</v>
      </c>
      <c r="B87" s="203" t="s">
        <v>3690</v>
      </c>
      <c r="C87" s="61" t="s">
        <v>4494</v>
      </c>
      <c r="D87" s="61" t="s">
        <v>36</v>
      </c>
      <c r="E87" s="209">
        <v>1234999</v>
      </c>
      <c r="F87" s="212">
        <f t="shared" si="2"/>
        <v>1197949.03</v>
      </c>
      <c r="G87" s="206">
        <f t="shared" si="3"/>
        <v>1160899.0599999998</v>
      </c>
      <c r="H87" s="61">
        <v>579.30999999999995</v>
      </c>
      <c r="I87" s="61">
        <v>550.25</v>
      </c>
      <c r="J87" s="61">
        <v>29.06</v>
      </c>
      <c r="K87" s="207" t="s">
        <v>3753</v>
      </c>
    </row>
    <row r="88" spans="1:11">
      <c r="A88" s="61">
        <v>85</v>
      </c>
      <c r="B88" s="203" t="s">
        <v>3691</v>
      </c>
      <c r="C88" s="61" t="s">
        <v>33</v>
      </c>
      <c r="D88" s="61" t="s">
        <v>36</v>
      </c>
      <c r="E88" s="209">
        <v>1233999</v>
      </c>
      <c r="F88" s="212">
        <f t="shared" si="2"/>
        <v>1196979.03</v>
      </c>
      <c r="G88" s="206">
        <f t="shared" si="3"/>
        <v>1159959.0599999998</v>
      </c>
      <c r="H88" s="61">
        <v>579.30999999999995</v>
      </c>
      <c r="I88" s="61">
        <v>550.25</v>
      </c>
      <c r="J88" s="61">
        <v>29.06</v>
      </c>
      <c r="K88" s="207" t="s">
        <v>3753</v>
      </c>
    </row>
    <row r="89" spans="1:11">
      <c r="A89" s="61">
        <v>86</v>
      </c>
      <c r="B89" s="203" t="s">
        <v>3692</v>
      </c>
      <c r="C89" s="61" t="s">
        <v>4461</v>
      </c>
      <c r="D89" s="61" t="s">
        <v>36</v>
      </c>
      <c r="E89" s="209">
        <v>1233999</v>
      </c>
      <c r="F89" s="212">
        <f t="shared" si="2"/>
        <v>1196979.03</v>
      </c>
      <c r="G89" s="206">
        <f t="shared" si="3"/>
        <v>1159959.0599999998</v>
      </c>
      <c r="H89" s="61">
        <v>581.04</v>
      </c>
      <c r="I89" s="61">
        <v>551.97</v>
      </c>
      <c r="J89" s="61">
        <v>29.06</v>
      </c>
      <c r="K89" s="207" t="s">
        <v>3753</v>
      </c>
    </row>
    <row r="90" spans="1:11">
      <c r="A90" s="61">
        <v>87</v>
      </c>
      <c r="B90" s="203" t="s">
        <v>3693</v>
      </c>
      <c r="C90" s="61" t="s">
        <v>4460</v>
      </c>
      <c r="D90" s="61" t="s">
        <v>36</v>
      </c>
      <c r="E90" s="209">
        <v>1233999</v>
      </c>
      <c r="F90" s="212">
        <f t="shared" si="2"/>
        <v>1196979.03</v>
      </c>
      <c r="G90" s="206">
        <f t="shared" si="3"/>
        <v>1159959.0599999998</v>
      </c>
      <c r="H90" s="61">
        <v>579.21</v>
      </c>
      <c r="I90" s="61">
        <v>550.14</v>
      </c>
      <c r="J90" s="61">
        <v>29.06</v>
      </c>
      <c r="K90" s="207" t="s">
        <v>3754</v>
      </c>
    </row>
    <row r="91" spans="1:11">
      <c r="A91" s="61">
        <v>88</v>
      </c>
      <c r="B91" s="203" t="s">
        <v>3694</v>
      </c>
      <c r="C91" s="61" t="s">
        <v>12</v>
      </c>
      <c r="D91" s="61" t="s">
        <v>36</v>
      </c>
      <c r="E91" s="209">
        <v>1233999</v>
      </c>
      <c r="F91" s="212">
        <f t="shared" si="2"/>
        <v>1196979.03</v>
      </c>
      <c r="G91" s="206">
        <f t="shared" si="3"/>
        <v>1159959.0599999998</v>
      </c>
      <c r="H91" s="61">
        <v>580.71</v>
      </c>
      <c r="I91" s="61">
        <v>551.65</v>
      </c>
      <c r="J91" s="61">
        <v>29.06</v>
      </c>
      <c r="K91" s="207" t="s">
        <v>3754</v>
      </c>
    </row>
    <row r="92" spans="1:11">
      <c r="A92" s="61">
        <v>89</v>
      </c>
      <c r="B92" s="203" t="s">
        <v>3695</v>
      </c>
      <c r="C92" s="61" t="s">
        <v>4460</v>
      </c>
      <c r="D92" s="61" t="s">
        <v>36</v>
      </c>
      <c r="E92" s="209">
        <v>1231999</v>
      </c>
      <c r="F92" s="212">
        <f t="shared" si="2"/>
        <v>1195039.03</v>
      </c>
      <c r="G92" s="206">
        <f t="shared" si="3"/>
        <v>1158079.0599999998</v>
      </c>
      <c r="H92" s="61">
        <v>581.04</v>
      </c>
      <c r="I92" s="61">
        <v>551.97</v>
      </c>
      <c r="J92" s="61">
        <v>29.06</v>
      </c>
      <c r="K92" s="207" t="s">
        <v>3753</v>
      </c>
    </row>
    <row r="93" spans="1:11">
      <c r="A93" s="61">
        <v>90</v>
      </c>
      <c r="B93" s="203" t="s">
        <v>3696</v>
      </c>
      <c r="C93" s="61" t="s">
        <v>11</v>
      </c>
      <c r="D93" s="61" t="s">
        <v>36</v>
      </c>
      <c r="E93" s="209">
        <v>1231999</v>
      </c>
      <c r="F93" s="212">
        <f t="shared" si="2"/>
        <v>1195039.03</v>
      </c>
      <c r="G93" s="206">
        <f t="shared" si="3"/>
        <v>1158079.0599999998</v>
      </c>
      <c r="H93" s="61">
        <v>579.21</v>
      </c>
      <c r="I93" s="61">
        <v>550.14</v>
      </c>
      <c r="J93" s="61">
        <v>29.06</v>
      </c>
      <c r="K93" s="207" t="s">
        <v>3754</v>
      </c>
    </row>
    <row r="94" spans="1:11">
      <c r="A94" s="61">
        <v>91</v>
      </c>
      <c r="B94" s="203" t="s">
        <v>3697</v>
      </c>
      <c r="C94" s="61" t="s">
        <v>12</v>
      </c>
      <c r="D94" s="61" t="s">
        <v>36</v>
      </c>
      <c r="E94" s="209">
        <v>1229999</v>
      </c>
      <c r="F94" s="212">
        <f t="shared" si="2"/>
        <v>1193099.03</v>
      </c>
      <c r="G94" s="206">
        <f t="shared" si="3"/>
        <v>1156199.0599999998</v>
      </c>
      <c r="H94" s="61">
        <v>579.21</v>
      </c>
      <c r="I94" s="61">
        <v>550.14</v>
      </c>
      <c r="J94" s="61">
        <v>29.06</v>
      </c>
      <c r="K94" s="207" t="s">
        <v>3754</v>
      </c>
    </row>
    <row r="95" spans="1:11">
      <c r="A95" s="61">
        <v>92</v>
      </c>
      <c r="B95" s="203" t="s">
        <v>3698</v>
      </c>
      <c r="C95" s="61" t="s">
        <v>4461</v>
      </c>
      <c r="D95" s="61" t="s">
        <v>36</v>
      </c>
      <c r="E95" s="209">
        <v>1229999</v>
      </c>
      <c r="F95" s="212">
        <f t="shared" si="2"/>
        <v>1193099.03</v>
      </c>
      <c r="G95" s="206">
        <f t="shared" si="3"/>
        <v>1156199.0599999998</v>
      </c>
      <c r="H95" s="61">
        <v>579.30999999999995</v>
      </c>
      <c r="I95" s="61">
        <v>550.25</v>
      </c>
      <c r="J95" s="61">
        <v>29.06</v>
      </c>
      <c r="K95" s="207" t="s">
        <v>3753</v>
      </c>
    </row>
    <row r="96" spans="1:11">
      <c r="A96" s="61">
        <v>93</v>
      </c>
      <c r="B96" s="203" t="s">
        <v>3699</v>
      </c>
      <c r="C96" s="61" t="s">
        <v>11</v>
      </c>
      <c r="D96" s="61" t="s">
        <v>36</v>
      </c>
      <c r="E96" s="209">
        <v>1229999</v>
      </c>
      <c r="F96" s="212">
        <f t="shared" si="2"/>
        <v>1193099.03</v>
      </c>
      <c r="G96" s="206">
        <f t="shared" si="3"/>
        <v>1156199.0599999998</v>
      </c>
      <c r="H96" s="61">
        <v>581.04</v>
      </c>
      <c r="I96" s="61">
        <v>551.97</v>
      </c>
      <c r="J96" s="61">
        <v>29.06</v>
      </c>
      <c r="K96" s="207" t="s">
        <v>3753</v>
      </c>
    </row>
    <row r="97" spans="1:11">
      <c r="A97" s="61">
        <v>94</v>
      </c>
      <c r="B97" s="203" t="s">
        <v>3700</v>
      </c>
      <c r="C97" s="61" t="s">
        <v>12</v>
      </c>
      <c r="D97" s="61" t="s">
        <v>36</v>
      </c>
      <c r="E97" s="209">
        <v>1227999</v>
      </c>
      <c r="F97" s="212">
        <f t="shared" si="2"/>
        <v>1191159.03</v>
      </c>
      <c r="G97" s="206">
        <f t="shared" si="3"/>
        <v>1154319.0599999998</v>
      </c>
      <c r="H97" s="61">
        <v>581.04</v>
      </c>
      <c r="I97" s="61">
        <v>551.97</v>
      </c>
      <c r="J97" s="61">
        <v>29.06</v>
      </c>
      <c r="K97" s="207" t="s">
        <v>3753</v>
      </c>
    </row>
    <row r="98" spans="1:11">
      <c r="A98" s="61">
        <v>95</v>
      </c>
      <c r="B98" s="203" t="s">
        <v>3701</v>
      </c>
      <c r="C98" s="61" t="s">
        <v>4460</v>
      </c>
      <c r="D98" s="61" t="s">
        <v>36</v>
      </c>
      <c r="E98" s="209">
        <v>1227999</v>
      </c>
      <c r="F98" s="212">
        <f t="shared" si="2"/>
        <v>1191159.03</v>
      </c>
      <c r="G98" s="206">
        <f t="shared" si="3"/>
        <v>1154319.0599999998</v>
      </c>
      <c r="H98" s="61">
        <v>579.30999999999995</v>
      </c>
      <c r="I98" s="61">
        <v>550.25</v>
      </c>
      <c r="J98" s="61">
        <v>29.06</v>
      </c>
      <c r="K98" s="207" t="s">
        <v>3753</v>
      </c>
    </row>
    <row r="99" spans="1:11">
      <c r="A99" s="61">
        <v>96</v>
      </c>
      <c r="B99" s="203" t="s">
        <v>3702</v>
      </c>
      <c r="C99" s="61" t="s">
        <v>11</v>
      </c>
      <c r="D99" s="61" t="s">
        <v>36</v>
      </c>
      <c r="E99" s="209">
        <v>1226999</v>
      </c>
      <c r="F99" s="212">
        <f t="shared" si="2"/>
        <v>1190189.03</v>
      </c>
      <c r="G99" s="206">
        <f t="shared" si="3"/>
        <v>1153379.0599999998</v>
      </c>
      <c r="H99" s="61">
        <v>579.30999999999995</v>
      </c>
      <c r="I99" s="61">
        <v>550.25</v>
      </c>
      <c r="J99" s="61">
        <v>29.06</v>
      </c>
      <c r="K99" s="207" t="s">
        <v>3753</v>
      </c>
    </row>
    <row r="100" spans="1:11">
      <c r="A100" s="61">
        <v>97</v>
      </c>
      <c r="B100" s="203" t="s">
        <v>3703</v>
      </c>
      <c r="C100" s="61" t="s">
        <v>12</v>
      </c>
      <c r="D100" s="61" t="s">
        <v>36</v>
      </c>
      <c r="E100" s="209">
        <v>1224999</v>
      </c>
      <c r="F100" s="212">
        <f t="shared" si="2"/>
        <v>1188249.03</v>
      </c>
      <c r="G100" s="206">
        <f t="shared" si="3"/>
        <v>1151499.0599999998</v>
      </c>
      <c r="H100" s="61">
        <v>579.30999999999995</v>
      </c>
      <c r="I100" s="61">
        <v>550.25</v>
      </c>
      <c r="J100" s="61">
        <v>29.06</v>
      </c>
      <c r="K100" s="207" t="s">
        <v>3753</v>
      </c>
    </row>
    <row r="101" spans="1:11">
      <c r="A101" s="61">
        <v>98</v>
      </c>
      <c r="B101" s="203" t="s">
        <v>3704</v>
      </c>
      <c r="C101" s="61" t="s">
        <v>32</v>
      </c>
      <c r="D101" s="61" t="s">
        <v>36</v>
      </c>
      <c r="E101" s="209">
        <v>1219999</v>
      </c>
      <c r="F101" s="212">
        <f t="shared" si="2"/>
        <v>1183399.03</v>
      </c>
      <c r="G101" s="206">
        <f t="shared" si="3"/>
        <v>1146799.0599999998</v>
      </c>
      <c r="H101" s="61">
        <v>575.22</v>
      </c>
      <c r="I101" s="61">
        <v>546.16</v>
      </c>
      <c r="J101" s="61">
        <v>29.06</v>
      </c>
      <c r="K101" s="207" t="s">
        <v>3754</v>
      </c>
    </row>
    <row r="102" spans="1:11">
      <c r="A102" s="61">
        <v>99</v>
      </c>
      <c r="B102" s="203" t="s">
        <v>3705</v>
      </c>
      <c r="C102" s="61" t="s">
        <v>5</v>
      </c>
      <c r="D102" s="61" t="s">
        <v>36</v>
      </c>
      <c r="E102" s="209">
        <v>1219999</v>
      </c>
      <c r="F102" s="212">
        <f t="shared" si="2"/>
        <v>1183399.03</v>
      </c>
      <c r="G102" s="206">
        <f t="shared" si="3"/>
        <v>1146799.0599999998</v>
      </c>
      <c r="H102" s="61">
        <v>576.62</v>
      </c>
      <c r="I102" s="61">
        <v>547.66999999999996</v>
      </c>
      <c r="J102" s="61">
        <v>28.95</v>
      </c>
      <c r="K102" s="207" t="s">
        <v>3754</v>
      </c>
    </row>
    <row r="103" spans="1:11">
      <c r="A103" s="61">
        <v>100</v>
      </c>
      <c r="B103" s="203" t="s">
        <v>3706</v>
      </c>
      <c r="C103" s="61" t="s">
        <v>4</v>
      </c>
      <c r="D103" s="61" t="s">
        <v>36</v>
      </c>
      <c r="E103" s="209">
        <v>1217999</v>
      </c>
      <c r="F103" s="212">
        <f t="shared" si="2"/>
        <v>1181459.03</v>
      </c>
      <c r="G103" s="206">
        <f t="shared" si="3"/>
        <v>1144919.0599999998</v>
      </c>
      <c r="H103" s="61">
        <v>576.62</v>
      </c>
      <c r="I103" s="61">
        <v>547.66999999999996</v>
      </c>
      <c r="J103" s="61">
        <v>28.95</v>
      </c>
      <c r="K103" s="207" t="s">
        <v>3754</v>
      </c>
    </row>
    <row r="104" spans="1:11">
      <c r="A104" s="61">
        <v>101</v>
      </c>
      <c r="B104" s="203" t="s">
        <v>3707</v>
      </c>
      <c r="C104" s="61" t="s">
        <v>5</v>
      </c>
      <c r="D104" s="61" t="s">
        <v>36</v>
      </c>
      <c r="E104" s="209">
        <v>1215999</v>
      </c>
      <c r="F104" s="212">
        <f t="shared" si="2"/>
        <v>1179519.03</v>
      </c>
      <c r="G104" s="206">
        <f t="shared" si="3"/>
        <v>1143039.0599999998</v>
      </c>
      <c r="H104" s="61">
        <v>575.12</v>
      </c>
      <c r="I104" s="61">
        <v>546.04999999999995</v>
      </c>
      <c r="J104" s="61">
        <v>29.06</v>
      </c>
      <c r="K104" s="207" t="s">
        <v>3754</v>
      </c>
    </row>
    <row r="105" spans="1:11">
      <c r="A105" s="61">
        <v>102</v>
      </c>
      <c r="B105" s="203" t="s">
        <v>3708</v>
      </c>
      <c r="C105" s="61" t="s">
        <v>4458</v>
      </c>
      <c r="D105" s="61" t="s">
        <v>36</v>
      </c>
      <c r="E105" s="209">
        <v>1215999</v>
      </c>
      <c r="F105" s="212">
        <f t="shared" si="2"/>
        <v>1179519.03</v>
      </c>
      <c r="G105" s="206">
        <f t="shared" si="3"/>
        <v>1143039.0599999998</v>
      </c>
      <c r="H105" s="61">
        <v>576.62</v>
      </c>
      <c r="I105" s="61">
        <v>547.66999999999996</v>
      </c>
      <c r="J105" s="61">
        <v>28.95</v>
      </c>
      <c r="K105" s="207" t="s">
        <v>3754</v>
      </c>
    </row>
    <row r="106" spans="1:11">
      <c r="A106" s="61">
        <v>103</v>
      </c>
      <c r="B106" s="203" t="s">
        <v>3709</v>
      </c>
      <c r="C106" s="61" t="s">
        <v>5</v>
      </c>
      <c r="D106" s="61" t="s">
        <v>36</v>
      </c>
      <c r="E106" s="209">
        <v>1213999</v>
      </c>
      <c r="F106" s="212">
        <f t="shared" si="2"/>
        <v>1177579.03</v>
      </c>
      <c r="G106" s="206">
        <f t="shared" si="3"/>
        <v>1141159.0599999998</v>
      </c>
      <c r="H106" s="61">
        <v>576.95000000000005</v>
      </c>
      <c r="I106" s="61">
        <v>547.99</v>
      </c>
      <c r="J106" s="61">
        <v>28.95</v>
      </c>
      <c r="K106" s="207" t="s">
        <v>3753</v>
      </c>
    </row>
    <row r="107" spans="1:11">
      <c r="A107" s="61">
        <v>104</v>
      </c>
      <c r="B107" s="203" t="s">
        <v>3710</v>
      </c>
      <c r="C107" s="61" t="s">
        <v>4</v>
      </c>
      <c r="D107" s="61" t="s">
        <v>36</v>
      </c>
      <c r="E107" s="209">
        <v>1213999</v>
      </c>
      <c r="F107" s="212">
        <f t="shared" si="2"/>
        <v>1177579.03</v>
      </c>
      <c r="G107" s="206">
        <f t="shared" si="3"/>
        <v>1141159.0599999998</v>
      </c>
      <c r="H107" s="61">
        <v>575.12</v>
      </c>
      <c r="I107" s="61">
        <v>546.04999999999995</v>
      </c>
      <c r="J107" s="61">
        <v>29.06</v>
      </c>
      <c r="K107" s="207" t="s">
        <v>3754</v>
      </c>
    </row>
    <row r="108" spans="1:11">
      <c r="A108" s="61">
        <v>105</v>
      </c>
      <c r="B108" s="203" t="s">
        <v>3711</v>
      </c>
      <c r="C108" s="61" t="s">
        <v>6</v>
      </c>
      <c r="D108" s="61" t="s">
        <v>36</v>
      </c>
      <c r="E108" s="209">
        <v>1213999</v>
      </c>
      <c r="F108" s="212">
        <f t="shared" si="2"/>
        <v>1177579.03</v>
      </c>
      <c r="G108" s="206">
        <f t="shared" si="3"/>
        <v>1141159.0599999998</v>
      </c>
      <c r="H108" s="61">
        <v>576.62</v>
      </c>
      <c r="I108" s="61">
        <v>547.66999999999996</v>
      </c>
      <c r="J108" s="61">
        <v>28.95</v>
      </c>
      <c r="K108" s="207" t="s">
        <v>3754</v>
      </c>
    </row>
    <row r="109" spans="1:11">
      <c r="A109" s="61">
        <v>106</v>
      </c>
      <c r="B109" s="203" t="s">
        <v>3712</v>
      </c>
      <c r="C109" s="61" t="s">
        <v>32</v>
      </c>
      <c r="D109" s="61" t="s">
        <v>36</v>
      </c>
      <c r="E109" s="209">
        <v>1213999</v>
      </c>
      <c r="F109" s="212">
        <f t="shared" si="2"/>
        <v>1177579.03</v>
      </c>
      <c r="G109" s="206">
        <f t="shared" si="3"/>
        <v>1141159.0599999998</v>
      </c>
      <c r="H109" s="61">
        <v>575.22</v>
      </c>
      <c r="I109" s="61">
        <v>546.16</v>
      </c>
      <c r="J109" s="61">
        <v>29.06</v>
      </c>
      <c r="K109" s="207" t="s">
        <v>3753</v>
      </c>
    </row>
    <row r="110" spans="1:11">
      <c r="A110" s="61">
        <v>107</v>
      </c>
      <c r="B110" s="203" t="s">
        <v>3713</v>
      </c>
      <c r="C110" s="61" t="s">
        <v>4</v>
      </c>
      <c r="D110" s="61" t="s">
        <v>36</v>
      </c>
      <c r="E110" s="209">
        <v>1212999</v>
      </c>
      <c r="F110" s="212">
        <f t="shared" si="2"/>
        <v>1176609.03</v>
      </c>
      <c r="G110" s="206">
        <f t="shared" si="3"/>
        <v>1140219.0599999998</v>
      </c>
      <c r="H110" s="61">
        <v>576.95000000000005</v>
      </c>
      <c r="I110" s="61">
        <v>547.99</v>
      </c>
      <c r="J110" s="61">
        <v>28.95</v>
      </c>
      <c r="K110" s="207" t="s">
        <v>3753</v>
      </c>
    </row>
    <row r="111" spans="1:11">
      <c r="A111" s="61">
        <v>108</v>
      </c>
      <c r="B111" s="203" t="s">
        <v>3714</v>
      </c>
      <c r="C111" s="61" t="s">
        <v>4458</v>
      </c>
      <c r="D111" s="61" t="s">
        <v>36</v>
      </c>
      <c r="E111" s="209">
        <v>1212999</v>
      </c>
      <c r="F111" s="212">
        <f t="shared" si="2"/>
        <v>1176609.03</v>
      </c>
      <c r="G111" s="206">
        <f t="shared" si="3"/>
        <v>1140219.0599999998</v>
      </c>
      <c r="H111" s="61">
        <v>575.12</v>
      </c>
      <c r="I111" s="61">
        <v>546.04999999999995</v>
      </c>
      <c r="J111" s="61">
        <v>29.06</v>
      </c>
      <c r="K111" s="207" t="s">
        <v>3754</v>
      </c>
    </row>
    <row r="112" spans="1:11">
      <c r="A112" s="61">
        <v>109</v>
      </c>
      <c r="B112" s="203" t="s">
        <v>3715</v>
      </c>
      <c r="C112" s="61" t="s">
        <v>7</v>
      </c>
      <c r="D112" s="61" t="s">
        <v>36</v>
      </c>
      <c r="E112" s="209">
        <v>1211999</v>
      </c>
      <c r="F112" s="212">
        <f t="shared" si="2"/>
        <v>1175639.03</v>
      </c>
      <c r="G112" s="206">
        <f t="shared" si="3"/>
        <v>1139279.0599999998</v>
      </c>
      <c r="H112" s="61">
        <v>576.62</v>
      </c>
      <c r="I112" s="61">
        <v>547.66999999999996</v>
      </c>
      <c r="J112" s="61">
        <v>28.95</v>
      </c>
      <c r="K112" s="207" t="s">
        <v>3754</v>
      </c>
    </row>
    <row r="113" spans="1:11">
      <c r="A113" s="61">
        <v>110</v>
      </c>
      <c r="B113" s="203" t="s">
        <v>3716</v>
      </c>
      <c r="C113" s="61" t="s">
        <v>5</v>
      </c>
      <c r="D113" s="61" t="s">
        <v>36</v>
      </c>
      <c r="E113" s="209">
        <v>1209999</v>
      </c>
      <c r="F113" s="212">
        <f t="shared" si="2"/>
        <v>1173699.03</v>
      </c>
      <c r="G113" s="206">
        <f t="shared" si="3"/>
        <v>1137399.0599999998</v>
      </c>
      <c r="H113" s="61">
        <v>575.22</v>
      </c>
      <c r="I113" s="61">
        <v>546.16</v>
      </c>
      <c r="J113" s="61">
        <v>29.06</v>
      </c>
      <c r="K113" s="207" t="s">
        <v>3753</v>
      </c>
    </row>
    <row r="114" spans="1:11">
      <c r="A114" s="61">
        <v>111</v>
      </c>
      <c r="B114" s="203" t="s">
        <v>3717</v>
      </c>
      <c r="C114" s="61" t="s">
        <v>4458</v>
      </c>
      <c r="D114" s="61" t="s">
        <v>36</v>
      </c>
      <c r="E114" s="209">
        <v>1210999</v>
      </c>
      <c r="F114" s="212">
        <f t="shared" si="2"/>
        <v>1174669.03</v>
      </c>
      <c r="G114" s="206">
        <f t="shared" si="3"/>
        <v>1138339.0599999998</v>
      </c>
      <c r="H114" s="61">
        <v>576.95000000000005</v>
      </c>
      <c r="I114" s="61">
        <v>547.99</v>
      </c>
      <c r="J114" s="61">
        <v>28.95</v>
      </c>
      <c r="K114" s="207" t="s">
        <v>3753</v>
      </c>
    </row>
    <row r="115" spans="1:11">
      <c r="A115" s="61">
        <v>112</v>
      </c>
      <c r="B115" s="203" t="s">
        <v>3718</v>
      </c>
      <c r="C115" s="61" t="s">
        <v>8</v>
      </c>
      <c r="D115" s="61" t="s">
        <v>36</v>
      </c>
      <c r="E115" s="209">
        <v>1210999</v>
      </c>
      <c r="F115" s="212">
        <f t="shared" si="2"/>
        <v>1174669.03</v>
      </c>
      <c r="G115" s="206">
        <f t="shared" si="3"/>
        <v>1138339.0599999998</v>
      </c>
      <c r="H115" s="61">
        <v>576.62</v>
      </c>
      <c r="I115" s="61">
        <v>547.66999999999996</v>
      </c>
      <c r="J115" s="61">
        <v>28.95</v>
      </c>
      <c r="K115" s="207" t="s">
        <v>3754</v>
      </c>
    </row>
    <row r="116" spans="1:11">
      <c r="A116" s="61">
        <v>113</v>
      </c>
      <c r="B116" s="203" t="s">
        <v>3719</v>
      </c>
      <c r="C116" s="61" t="s">
        <v>4</v>
      </c>
      <c r="D116" s="61" t="s">
        <v>36</v>
      </c>
      <c r="E116" s="209">
        <v>1208999</v>
      </c>
      <c r="F116" s="212">
        <f t="shared" si="2"/>
        <v>1172729.03</v>
      </c>
      <c r="G116" s="206">
        <f t="shared" si="3"/>
        <v>1136459.0599999998</v>
      </c>
      <c r="H116" s="61">
        <v>575.22</v>
      </c>
      <c r="I116" s="61">
        <v>546.16</v>
      </c>
      <c r="J116" s="61">
        <v>29.06</v>
      </c>
      <c r="K116" s="207" t="s">
        <v>3753</v>
      </c>
    </row>
    <row r="117" spans="1:11">
      <c r="A117" s="61">
        <v>114</v>
      </c>
      <c r="B117" s="203" t="s">
        <v>3720</v>
      </c>
      <c r="C117" s="61" t="s">
        <v>9</v>
      </c>
      <c r="D117" s="61" t="s">
        <v>36</v>
      </c>
      <c r="E117" s="209">
        <v>1208999</v>
      </c>
      <c r="F117" s="212">
        <f t="shared" si="2"/>
        <v>1172729.03</v>
      </c>
      <c r="G117" s="206">
        <f t="shared" si="3"/>
        <v>1136459.0599999998</v>
      </c>
      <c r="H117" s="61">
        <v>576.62</v>
      </c>
      <c r="I117" s="61">
        <v>547.66999999999996</v>
      </c>
      <c r="J117" s="61">
        <v>28.95</v>
      </c>
      <c r="K117" s="207" t="s">
        <v>3754</v>
      </c>
    </row>
    <row r="118" spans="1:11">
      <c r="A118" s="61">
        <v>115</v>
      </c>
      <c r="B118" s="203" t="s">
        <v>3721</v>
      </c>
      <c r="C118" s="61" t="s">
        <v>4458</v>
      </c>
      <c r="D118" s="61" t="s">
        <v>36</v>
      </c>
      <c r="E118" s="209">
        <v>1206999</v>
      </c>
      <c r="F118" s="212">
        <f t="shared" si="2"/>
        <v>1170789.03</v>
      </c>
      <c r="G118" s="206">
        <f t="shared" si="3"/>
        <v>1134579.0599999998</v>
      </c>
      <c r="H118" s="61">
        <v>575.22</v>
      </c>
      <c r="I118" s="61">
        <v>546.16</v>
      </c>
      <c r="J118" s="61">
        <v>29.06</v>
      </c>
      <c r="K118" s="207" t="s">
        <v>3753</v>
      </c>
    </row>
    <row r="119" spans="1:11">
      <c r="A119" s="61">
        <v>116</v>
      </c>
      <c r="B119" s="203" t="s">
        <v>3722</v>
      </c>
      <c r="C119" s="61" t="s">
        <v>10</v>
      </c>
      <c r="D119" s="61" t="s">
        <v>36</v>
      </c>
      <c r="E119" s="209">
        <v>1206999</v>
      </c>
      <c r="F119" s="212">
        <f t="shared" si="2"/>
        <v>1170789.03</v>
      </c>
      <c r="G119" s="206">
        <f t="shared" si="3"/>
        <v>1134579.0599999998</v>
      </c>
      <c r="H119" s="61">
        <v>576.52</v>
      </c>
      <c r="I119" s="61">
        <v>547.55999999999995</v>
      </c>
      <c r="J119" s="61">
        <v>28.95</v>
      </c>
      <c r="K119" s="207" t="s">
        <v>3754</v>
      </c>
    </row>
    <row r="120" spans="1:11">
      <c r="A120" s="61">
        <v>117</v>
      </c>
      <c r="B120" s="203" t="s">
        <v>3723</v>
      </c>
      <c r="C120" s="61" t="s">
        <v>8</v>
      </c>
      <c r="D120" s="61" t="s">
        <v>36</v>
      </c>
      <c r="E120" s="209">
        <v>1204999</v>
      </c>
      <c r="F120" s="212">
        <f t="shared" si="2"/>
        <v>1168849.03</v>
      </c>
      <c r="G120" s="206">
        <f t="shared" si="3"/>
        <v>1132699.0599999998</v>
      </c>
      <c r="H120" s="61">
        <v>576.95000000000005</v>
      </c>
      <c r="I120" s="61">
        <v>547.99</v>
      </c>
      <c r="J120" s="61">
        <v>28.95</v>
      </c>
      <c r="K120" s="207" t="s">
        <v>3753</v>
      </c>
    </row>
    <row r="121" spans="1:11">
      <c r="A121" s="61">
        <v>118</v>
      </c>
      <c r="B121" s="203" t="s">
        <v>3724</v>
      </c>
      <c r="C121" s="61" t="s">
        <v>9</v>
      </c>
      <c r="D121" s="61" t="s">
        <v>36</v>
      </c>
      <c r="E121" s="209">
        <v>1205999</v>
      </c>
      <c r="F121" s="212">
        <f t="shared" si="2"/>
        <v>1169819.03</v>
      </c>
      <c r="G121" s="206">
        <f t="shared" si="3"/>
        <v>1133639.0599999998</v>
      </c>
      <c r="H121" s="61">
        <v>575.12</v>
      </c>
      <c r="I121" s="61">
        <v>546.04999999999995</v>
      </c>
      <c r="J121" s="61">
        <v>29.06</v>
      </c>
      <c r="K121" s="207" t="s">
        <v>3754</v>
      </c>
    </row>
    <row r="122" spans="1:11">
      <c r="A122" s="61">
        <v>119</v>
      </c>
      <c r="B122" s="203" t="s">
        <v>3725</v>
      </c>
      <c r="C122" s="61" t="s">
        <v>9</v>
      </c>
      <c r="D122" s="61" t="s">
        <v>36</v>
      </c>
      <c r="E122" s="209">
        <v>1203999</v>
      </c>
      <c r="F122" s="212">
        <f t="shared" si="2"/>
        <v>1167879.03</v>
      </c>
      <c r="G122" s="206">
        <f t="shared" si="3"/>
        <v>1131759.0599999998</v>
      </c>
      <c r="H122" s="61">
        <v>576.95000000000005</v>
      </c>
      <c r="I122" s="61">
        <v>547.99</v>
      </c>
      <c r="J122" s="61">
        <v>28.95</v>
      </c>
      <c r="K122" s="207" t="s">
        <v>3753</v>
      </c>
    </row>
    <row r="123" spans="1:11">
      <c r="A123" s="61">
        <v>120</v>
      </c>
      <c r="B123" s="203" t="s">
        <v>3726</v>
      </c>
      <c r="C123" s="61" t="s">
        <v>8</v>
      </c>
      <c r="D123" s="61" t="s">
        <v>36</v>
      </c>
      <c r="E123" s="209">
        <v>1201999</v>
      </c>
      <c r="F123" s="212">
        <f t="shared" si="2"/>
        <v>1165939.03</v>
      </c>
      <c r="G123" s="206">
        <f t="shared" si="3"/>
        <v>1129879.0599999998</v>
      </c>
      <c r="H123" s="61">
        <v>575.22</v>
      </c>
      <c r="I123" s="61">
        <v>546.16</v>
      </c>
      <c r="J123" s="61">
        <v>29.06</v>
      </c>
      <c r="K123" s="207" t="s">
        <v>3753</v>
      </c>
    </row>
    <row r="124" spans="1:11">
      <c r="A124" s="61">
        <v>121</v>
      </c>
      <c r="B124" s="203" t="s">
        <v>3727</v>
      </c>
      <c r="C124" s="61" t="s">
        <v>10</v>
      </c>
      <c r="D124" s="61" t="s">
        <v>36</v>
      </c>
      <c r="E124" s="209">
        <v>1200999</v>
      </c>
      <c r="F124" s="212">
        <f t="shared" si="2"/>
        <v>1164969.03</v>
      </c>
      <c r="G124" s="206">
        <f t="shared" si="3"/>
        <v>1128939.0599999998</v>
      </c>
      <c r="H124" s="61">
        <v>576.73</v>
      </c>
      <c r="I124" s="61">
        <v>547.78</v>
      </c>
      <c r="J124" s="61">
        <v>28.95</v>
      </c>
      <c r="K124" s="207" t="s">
        <v>3753</v>
      </c>
    </row>
    <row r="125" spans="1:11">
      <c r="A125" s="61">
        <v>122</v>
      </c>
      <c r="B125" s="203" t="s">
        <v>3728</v>
      </c>
      <c r="C125" s="61" t="s">
        <v>9</v>
      </c>
      <c r="D125" s="61" t="s">
        <v>36</v>
      </c>
      <c r="E125" s="209">
        <v>1199999</v>
      </c>
      <c r="F125" s="212">
        <f t="shared" si="2"/>
        <v>1163999.03</v>
      </c>
      <c r="G125" s="206">
        <f t="shared" si="3"/>
        <v>1127999.0599999998</v>
      </c>
      <c r="H125" s="61">
        <v>575.22</v>
      </c>
      <c r="I125" s="61">
        <v>546.16</v>
      </c>
      <c r="J125" s="61">
        <v>29.06</v>
      </c>
      <c r="K125" s="207" t="s">
        <v>3753</v>
      </c>
    </row>
    <row r="126" spans="1:11">
      <c r="A126" s="61">
        <v>123</v>
      </c>
      <c r="B126" s="203" t="s">
        <v>3729</v>
      </c>
      <c r="C126" s="61" t="s">
        <v>10</v>
      </c>
      <c r="D126" s="61" t="s">
        <v>36</v>
      </c>
      <c r="E126" s="209">
        <v>1199999</v>
      </c>
      <c r="F126" s="212">
        <f t="shared" si="2"/>
        <v>1163999.03</v>
      </c>
      <c r="G126" s="206">
        <f t="shared" si="3"/>
        <v>1127999.0599999998</v>
      </c>
      <c r="H126" s="61">
        <v>575.22</v>
      </c>
      <c r="I126" s="61">
        <v>546.16</v>
      </c>
      <c r="J126" s="61">
        <v>29.06</v>
      </c>
      <c r="K126" s="207" t="s">
        <v>3753</v>
      </c>
    </row>
    <row r="127" spans="1:11">
      <c r="A127" s="61">
        <v>124</v>
      </c>
      <c r="B127" s="203" t="s">
        <v>4650</v>
      </c>
      <c r="C127" s="61" t="s">
        <v>3</v>
      </c>
      <c r="D127" s="61" t="s">
        <v>35</v>
      </c>
      <c r="E127" s="209">
        <v>789999</v>
      </c>
      <c r="F127" s="212">
        <f t="shared" si="2"/>
        <v>766299.03</v>
      </c>
      <c r="G127" s="206">
        <f t="shared" si="3"/>
        <v>742599.05999999994</v>
      </c>
      <c r="H127" s="61">
        <v>422.05</v>
      </c>
      <c r="I127" s="61">
        <v>305.26</v>
      </c>
      <c r="J127" s="61">
        <v>116.79</v>
      </c>
      <c r="K127" s="207" t="s">
        <v>3749</v>
      </c>
    </row>
    <row r="128" spans="1:11">
      <c r="A128" s="61">
        <v>125</v>
      </c>
      <c r="B128" s="203" t="s">
        <v>3730</v>
      </c>
      <c r="C128" s="61" t="s">
        <v>3</v>
      </c>
      <c r="D128" s="61" t="s">
        <v>35</v>
      </c>
      <c r="E128" s="209">
        <v>788999</v>
      </c>
      <c r="F128" s="212">
        <f t="shared" si="2"/>
        <v>765329.03</v>
      </c>
      <c r="G128" s="206">
        <f t="shared" si="3"/>
        <v>741659.05999999994</v>
      </c>
      <c r="H128" s="61">
        <v>418.93</v>
      </c>
      <c r="I128" s="61">
        <v>305.26</v>
      </c>
      <c r="J128" s="61">
        <v>113.67</v>
      </c>
      <c r="K128" s="207" t="s">
        <v>3749</v>
      </c>
    </row>
    <row r="129" spans="1:11">
      <c r="A129" s="61">
        <v>126</v>
      </c>
      <c r="B129" s="203" t="s">
        <v>3731</v>
      </c>
      <c r="C129" s="61" t="s">
        <v>3</v>
      </c>
      <c r="D129" s="61" t="s">
        <v>35</v>
      </c>
      <c r="E129" s="209">
        <v>787999</v>
      </c>
      <c r="F129" s="212">
        <f t="shared" si="2"/>
        <v>764359.03</v>
      </c>
      <c r="G129" s="206">
        <f t="shared" si="3"/>
        <v>740719.05999999994</v>
      </c>
      <c r="H129" s="61">
        <v>416.89</v>
      </c>
      <c r="I129" s="61">
        <v>305.26</v>
      </c>
      <c r="J129" s="61">
        <v>111.62</v>
      </c>
      <c r="K129" s="207" t="s">
        <v>3749</v>
      </c>
    </row>
    <row r="130" spans="1:11">
      <c r="A130" s="61">
        <v>127</v>
      </c>
      <c r="B130" s="203" t="s">
        <v>3732</v>
      </c>
      <c r="C130" s="61" t="s">
        <v>3</v>
      </c>
      <c r="D130" s="61" t="s">
        <v>35</v>
      </c>
      <c r="E130" s="209">
        <v>786999</v>
      </c>
      <c r="F130" s="212">
        <f t="shared" si="2"/>
        <v>763389.03</v>
      </c>
      <c r="G130" s="206">
        <f t="shared" si="3"/>
        <v>739779.05999999994</v>
      </c>
      <c r="H130" s="61">
        <v>409.03</v>
      </c>
      <c r="I130" s="61">
        <v>305.26</v>
      </c>
      <c r="J130" s="61">
        <v>103.76</v>
      </c>
      <c r="K130" s="207" t="s">
        <v>3749</v>
      </c>
    </row>
    <row r="131" spans="1:11">
      <c r="A131" s="61">
        <v>128</v>
      </c>
      <c r="B131" s="203" t="s">
        <v>3733</v>
      </c>
      <c r="C131" s="61" t="s">
        <v>6</v>
      </c>
      <c r="D131" s="61" t="s">
        <v>35</v>
      </c>
      <c r="E131" s="209">
        <v>767999</v>
      </c>
      <c r="F131" s="212">
        <f t="shared" si="2"/>
        <v>744959.03</v>
      </c>
      <c r="G131" s="206">
        <f t="shared" si="3"/>
        <v>721919.05999999994</v>
      </c>
      <c r="H131" s="61">
        <v>336.26</v>
      </c>
      <c r="I131" s="61">
        <v>305.26</v>
      </c>
      <c r="J131" s="61">
        <v>31</v>
      </c>
      <c r="K131" s="207" t="s">
        <v>3749</v>
      </c>
    </row>
    <row r="132" spans="1:11">
      <c r="A132" s="61">
        <v>129</v>
      </c>
      <c r="B132" s="203" t="s">
        <v>3734</v>
      </c>
      <c r="C132" s="61" t="s">
        <v>6</v>
      </c>
      <c r="D132" s="61" t="s">
        <v>35</v>
      </c>
      <c r="E132" s="209">
        <v>767999</v>
      </c>
      <c r="F132" s="212">
        <f t="shared" si="2"/>
        <v>744959.03</v>
      </c>
      <c r="G132" s="206">
        <f t="shared" si="3"/>
        <v>721919.05999999994</v>
      </c>
      <c r="H132" s="61">
        <v>336.26</v>
      </c>
      <c r="I132" s="61">
        <v>305.26</v>
      </c>
      <c r="J132" s="61">
        <v>31</v>
      </c>
      <c r="K132" s="207" t="s">
        <v>3749</v>
      </c>
    </row>
    <row r="133" spans="1:11">
      <c r="A133" s="61">
        <v>130</v>
      </c>
      <c r="B133" s="203" t="s">
        <v>3735</v>
      </c>
      <c r="C133" s="61" t="s">
        <v>7</v>
      </c>
      <c r="D133" s="61" t="s">
        <v>35</v>
      </c>
      <c r="E133" s="209">
        <v>766999</v>
      </c>
      <c r="F133" s="212">
        <f t="shared" ref="F133:F146" si="4">E133*0.97</f>
        <v>743989.03</v>
      </c>
      <c r="G133" s="206">
        <f t="shared" ref="G133:G146" si="5">E133*0.94</f>
        <v>720979.05999999994</v>
      </c>
      <c r="H133" s="61">
        <v>336.26</v>
      </c>
      <c r="I133" s="61">
        <v>305.26</v>
      </c>
      <c r="J133" s="61">
        <v>31</v>
      </c>
      <c r="K133" s="207" t="s">
        <v>3749</v>
      </c>
    </row>
    <row r="134" spans="1:11">
      <c r="A134" s="61">
        <v>131</v>
      </c>
      <c r="B134" s="203" t="s">
        <v>3736</v>
      </c>
      <c r="C134" s="61" t="s">
        <v>7</v>
      </c>
      <c r="D134" s="61" t="s">
        <v>35</v>
      </c>
      <c r="E134" s="209">
        <v>766999</v>
      </c>
      <c r="F134" s="212">
        <f t="shared" si="4"/>
        <v>743989.03</v>
      </c>
      <c r="G134" s="206">
        <f t="shared" si="5"/>
        <v>720979.05999999994</v>
      </c>
      <c r="H134" s="61">
        <v>336.26</v>
      </c>
      <c r="I134" s="61">
        <v>305.26</v>
      </c>
      <c r="J134" s="61">
        <v>31</v>
      </c>
      <c r="K134" s="207" t="s">
        <v>3749</v>
      </c>
    </row>
    <row r="135" spans="1:11">
      <c r="A135" s="61">
        <v>132</v>
      </c>
      <c r="B135" s="203" t="s">
        <v>3737</v>
      </c>
      <c r="C135" s="61" t="s">
        <v>7</v>
      </c>
      <c r="D135" s="61" t="s">
        <v>35</v>
      </c>
      <c r="E135" s="209">
        <v>766999</v>
      </c>
      <c r="F135" s="212">
        <f t="shared" si="4"/>
        <v>743989.03</v>
      </c>
      <c r="G135" s="206">
        <f t="shared" si="5"/>
        <v>720979.05999999994</v>
      </c>
      <c r="H135" s="61">
        <v>336.26</v>
      </c>
      <c r="I135" s="61">
        <v>305.26</v>
      </c>
      <c r="J135" s="61">
        <v>31</v>
      </c>
      <c r="K135" s="207" t="s">
        <v>3749</v>
      </c>
    </row>
    <row r="136" spans="1:11">
      <c r="A136" s="61">
        <v>133</v>
      </c>
      <c r="B136" s="203" t="s">
        <v>3738</v>
      </c>
      <c r="C136" s="61" t="s">
        <v>7</v>
      </c>
      <c r="D136" s="61" t="s">
        <v>35</v>
      </c>
      <c r="E136" s="209">
        <v>766999</v>
      </c>
      <c r="F136" s="212">
        <f t="shared" si="4"/>
        <v>743989.03</v>
      </c>
      <c r="G136" s="206">
        <f t="shared" si="5"/>
        <v>720979.05999999994</v>
      </c>
      <c r="H136" s="61">
        <v>336.26</v>
      </c>
      <c r="I136" s="61">
        <v>305.26</v>
      </c>
      <c r="J136" s="61">
        <v>31</v>
      </c>
      <c r="K136" s="207" t="s">
        <v>3749</v>
      </c>
    </row>
    <row r="137" spans="1:11">
      <c r="A137" s="61">
        <v>134</v>
      </c>
      <c r="B137" s="203" t="s">
        <v>3739</v>
      </c>
      <c r="C137" s="61" t="s">
        <v>8</v>
      </c>
      <c r="D137" s="61" t="s">
        <v>35</v>
      </c>
      <c r="E137" s="209">
        <v>765999</v>
      </c>
      <c r="F137" s="212">
        <f t="shared" si="4"/>
        <v>743019.03</v>
      </c>
      <c r="G137" s="206">
        <f t="shared" si="5"/>
        <v>720039.05999999994</v>
      </c>
      <c r="H137" s="61">
        <v>336.26</v>
      </c>
      <c r="I137" s="61">
        <v>305.26</v>
      </c>
      <c r="J137" s="61">
        <v>31</v>
      </c>
      <c r="K137" s="207" t="s">
        <v>3749</v>
      </c>
    </row>
    <row r="138" spans="1:11">
      <c r="A138" s="61">
        <v>135</v>
      </c>
      <c r="B138" s="203" t="s">
        <v>3740</v>
      </c>
      <c r="C138" s="61" t="s">
        <v>8</v>
      </c>
      <c r="D138" s="61" t="s">
        <v>35</v>
      </c>
      <c r="E138" s="209">
        <v>765999</v>
      </c>
      <c r="F138" s="212">
        <f t="shared" si="4"/>
        <v>743019.03</v>
      </c>
      <c r="G138" s="206">
        <f t="shared" si="5"/>
        <v>720039.05999999994</v>
      </c>
      <c r="H138" s="61">
        <v>336.26</v>
      </c>
      <c r="I138" s="61">
        <v>305.26</v>
      </c>
      <c r="J138" s="61">
        <v>31</v>
      </c>
      <c r="K138" s="207" t="s">
        <v>3749</v>
      </c>
    </row>
    <row r="139" spans="1:11">
      <c r="A139" s="61">
        <v>136</v>
      </c>
      <c r="B139" s="203" t="s">
        <v>3741</v>
      </c>
      <c r="C139" s="61" t="s">
        <v>8</v>
      </c>
      <c r="D139" s="61" t="s">
        <v>35</v>
      </c>
      <c r="E139" s="209">
        <v>765999</v>
      </c>
      <c r="F139" s="212">
        <f t="shared" si="4"/>
        <v>743019.03</v>
      </c>
      <c r="G139" s="206">
        <f t="shared" si="5"/>
        <v>720039.05999999994</v>
      </c>
      <c r="H139" s="61">
        <v>336.26</v>
      </c>
      <c r="I139" s="61">
        <v>305.26</v>
      </c>
      <c r="J139" s="61">
        <v>31</v>
      </c>
      <c r="K139" s="207" t="s">
        <v>3749</v>
      </c>
    </row>
    <row r="140" spans="1:11">
      <c r="A140" s="61">
        <v>137</v>
      </c>
      <c r="B140" s="203" t="s">
        <v>3742</v>
      </c>
      <c r="C140" s="61" t="s">
        <v>8</v>
      </c>
      <c r="D140" s="61" t="s">
        <v>35</v>
      </c>
      <c r="E140" s="209">
        <v>765999</v>
      </c>
      <c r="F140" s="212">
        <f t="shared" si="4"/>
        <v>743019.03</v>
      </c>
      <c r="G140" s="206">
        <f t="shared" si="5"/>
        <v>720039.05999999994</v>
      </c>
      <c r="H140" s="61">
        <v>336.26</v>
      </c>
      <c r="I140" s="61">
        <v>305.26</v>
      </c>
      <c r="J140" s="61">
        <v>31</v>
      </c>
      <c r="K140" s="207" t="s">
        <v>3749</v>
      </c>
    </row>
    <row r="141" spans="1:11">
      <c r="A141" s="61">
        <v>138</v>
      </c>
      <c r="B141" s="203" t="s">
        <v>3743</v>
      </c>
      <c r="C141" s="61" t="s">
        <v>9</v>
      </c>
      <c r="D141" s="61" t="s">
        <v>35</v>
      </c>
      <c r="E141" s="209">
        <v>764999</v>
      </c>
      <c r="F141" s="212">
        <f t="shared" si="4"/>
        <v>742049.03</v>
      </c>
      <c r="G141" s="206">
        <f t="shared" si="5"/>
        <v>719099.05999999994</v>
      </c>
      <c r="H141" s="61">
        <v>336.26</v>
      </c>
      <c r="I141" s="61">
        <v>305.26</v>
      </c>
      <c r="J141" s="61">
        <v>31</v>
      </c>
      <c r="K141" s="207" t="s">
        <v>3749</v>
      </c>
    </row>
    <row r="142" spans="1:11">
      <c r="A142" s="61">
        <v>139</v>
      </c>
      <c r="B142" s="203" t="s">
        <v>3744</v>
      </c>
      <c r="C142" s="61" t="s">
        <v>9</v>
      </c>
      <c r="D142" s="61" t="s">
        <v>35</v>
      </c>
      <c r="E142" s="209">
        <v>764999</v>
      </c>
      <c r="F142" s="212">
        <f t="shared" si="4"/>
        <v>742049.03</v>
      </c>
      <c r="G142" s="206">
        <f t="shared" si="5"/>
        <v>719099.05999999994</v>
      </c>
      <c r="H142" s="61">
        <v>336.26</v>
      </c>
      <c r="I142" s="61">
        <v>305.26</v>
      </c>
      <c r="J142" s="61">
        <v>31</v>
      </c>
      <c r="K142" s="207" t="s">
        <v>3749</v>
      </c>
    </row>
    <row r="143" spans="1:11">
      <c r="A143" s="61">
        <v>140</v>
      </c>
      <c r="B143" s="203" t="s">
        <v>3745</v>
      </c>
      <c r="C143" s="61" t="s">
        <v>9</v>
      </c>
      <c r="D143" s="61" t="s">
        <v>35</v>
      </c>
      <c r="E143" s="209">
        <v>764999</v>
      </c>
      <c r="F143" s="212">
        <f t="shared" si="4"/>
        <v>742049.03</v>
      </c>
      <c r="G143" s="206">
        <f t="shared" si="5"/>
        <v>719099.05999999994</v>
      </c>
      <c r="H143" s="61">
        <v>336.26</v>
      </c>
      <c r="I143" s="61">
        <v>305.26</v>
      </c>
      <c r="J143" s="61">
        <v>31</v>
      </c>
      <c r="K143" s="207" t="s">
        <v>3749</v>
      </c>
    </row>
    <row r="144" spans="1:11">
      <c r="A144" s="61">
        <v>141</v>
      </c>
      <c r="B144" s="203" t="s">
        <v>3746</v>
      </c>
      <c r="C144" s="61" t="s">
        <v>9</v>
      </c>
      <c r="D144" s="61" t="s">
        <v>35</v>
      </c>
      <c r="E144" s="209">
        <v>764999</v>
      </c>
      <c r="F144" s="212">
        <f t="shared" si="4"/>
        <v>742049.03</v>
      </c>
      <c r="G144" s="206">
        <f t="shared" si="5"/>
        <v>719099.05999999994</v>
      </c>
      <c r="H144" s="61">
        <v>336.26</v>
      </c>
      <c r="I144" s="61">
        <v>305.26</v>
      </c>
      <c r="J144" s="61">
        <v>31</v>
      </c>
      <c r="K144" s="207" t="s">
        <v>3749</v>
      </c>
    </row>
    <row r="145" spans="1:11">
      <c r="A145" s="61">
        <v>142</v>
      </c>
      <c r="B145" s="203" t="s">
        <v>3747</v>
      </c>
      <c r="C145" s="61" t="s">
        <v>9</v>
      </c>
      <c r="D145" s="61" t="s">
        <v>35</v>
      </c>
      <c r="E145" s="209">
        <v>764999</v>
      </c>
      <c r="F145" s="212">
        <f t="shared" si="4"/>
        <v>742049.03</v>
      </c>
      <c r="G145" s="206">
        <f t="shared" si="5"/>
        <v>719099.05999999994</v>
      </c>
      <c r="H145" s="61">
        <v>335.73</v>
      </c>
      <c r="I145" s="61">
        <v>304.73</v>
      </c>
      <c r="J145" s="61">
        <v>31</v>
      </c>
      <c r="K145" s="207" t="s">
        <v>3755</v>
      </c>
    </row>
    <row r="146" spans="1:11">
      <c r="A146" s="61">
        <v>143</v>
      </c>
      <c r="B146" s="203" t="s">
        <v>3748</v>
      </c>
      <c r="C146" s="61" t="s">
        <v>10</v>
      </c>
      <c r="D146" s="61" t="s">
        <v>35</v>
      </c>
      <c r="E146" s="209">
        <v>764999</v>
      </c>
      <c r="F146" s="212">
        <f t="shared" si="4"/>
        <v>742049.03</v>
      </c>
      <c r="G146" s="206">
        <f t="shared" si="5"/>
        <v>719099.05999999994</v>
      </c>
      <c r="H146" s="61">
        <v>336.26</v>
      </c>
      <c r="I146" s="61">
        <v>305.26</v>
      </c>
      <c r="J146" s="61">
        <v>31</v>
      </c>
      <c r="K146" s="207" t="s">
        <v>3749</v>
      </c>
    </row>
  </sheetData>
  <mergeCells count="2">
    <mergeCell ref="A1:K1"/>
    <mergeCell ref="A2:K2"/>
  </mergeCells>
  <conditionalFormatting sqref="B1:B1048576">
    <cfRule type="duplicateValues" dxfId="13446" priority="1"/>
  </conditionalFormatting>
  <conditionalFormatting sqref="B1:B146">
    <cfRule type="duplicateValues" dxfId="13445" priority="25201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AE13-ED8F-44D5-9274-BB2D9AD614C2}">
  <dimension ref="A1:K4"/>
  <sheetViews>
    <sheetView workbookViewId="0">
      <selection activeCell="C4" sqref="C4"/>
    </sheetView>
  </sheetViews>
  <sheetFormatPr defaultRowHeight="14.4"/>
  <cols>
    <col min="1" max="1" width="3.88671875" bestFit="1" customWidth="1"/>
    <col min="2" max="2" width="11.88671875" customWidth="1"/>
    <col min="3" max="3" width="5.88671875" customWidth="1"/>
    <col min="4" max="4" width="23.109375" customWidth="1"/>
    <col min="5" max="5" width="13.44140625" customWidth="1"/>
    <col min="6" max="6" width="13.109375" customWidth="1"/>
    <col min="7" max="7" width="13.21875" customWidth="1"/>
    <col min="8" max="8" width="10.88671875" customWidth="1"/>
    <col min="9" max="9" width="8.5546875" customWidth="1"/>
    <col min="10" max="10" width="11.6640625" customWidth="1"/>
    <col min="11" max="11" width="32.5546875" customWidth="1"/>
  </cols>
  <sheetData>
    <row r="1" spans="1:11" ht="25.8">
      <c r="A1" s="274" t="s">
        <v>4675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1" ht="15.6">
      <c r="A2" s="284" t="s">
        <v>4422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>
      <c r="A3" s="37" t="s">
        <v>22</v>
      </c>
      <c r="B3" s="35" t="s">
        <v>13</v>
      </c>
      <c r="C3" s="35" t="s">
        <v>26</v>
      </c>
      <c r="D3" s="35" t="s">
        <v>14</v>
      </c>
      <c r="E3" s="36" t="s">
        <v>28</v>
      </c>
      <c r="F3" s="36" t="s">
        <v>29</v>
      </c>
      <c r="G3" s="36" t="s">
        <v>43</v>
      </c>
      <c r="H3" s="35" t="s">
        <v>0</v>
      </c>
      <c r="I3" s="35" t="s">
        <v>1</v>
      </c>
      <c r="J3" s="35" t="s">
        <v>2</v>
      </c>
      <c r="K3" s="35" t="s">
        <v>19</v>
      </c>
    </row>
    <row r="4" spans="1:11">
      <c r="A4" s="1">
        <v>1</v>
      </c>
      <c r="B4" s="13" t="s">
        <v>5006</v>
      </c>
      <c r="C4" s="8" t="s">
        <v>4467</v>
      </c>
      <c r="D4" s="12" t="s">
        <v>4504</v>
      </c>
      <c r="E4" s="11">
        <v>2649999</v>
      </c>
      <c r="F4" s="10">
        <f t="shared" ref="F4" si="0">E4*0.97</f>
        <v>2570499.0299999998</v>
      </c>
      <c r="G4" s="9">
        <f t="shared" ref="G4" si="1">E4*0.94</f>
        <v>2490999.06</v>
      </c>
      <c r="H4" s="8">
        <v>2673.24</v>
      </c>
      <c r="I4" s="8">
        <v>1178.6600000000001</v>
      </c>
      <c r="J4" s="8">
        <v>1494.58</v>
      </c>
      <c r="K4" s="8" t="s">
        <v>4676</v>
      </c>
    </row>
  </sheetData>
  <mergeCells count="2">
    <mergeCell ref="A1:K1"/>
    <mergeCell ref="A2:K2"/>
  </mergeCells>
  <conditionalFormatting sqref="B1">
    <cfRule type="duplicateValues" dxfId="13444" priority="232"/>
    <cfRule type="duplicateValues" dxfId="13443" priority="233"/>
    <cfRule type="duplicateValues" dxfId="13442" priority="234"/>
    <cfRule type="duplicateValues" dxfId="13441" priority="235"/>
    <cfRule type="duplicateValues" dxfId="13440" priority="236"/>
    <cfRule type="duplicateValues" dxfId="13439" priority="237"/>
    <cfRule type="duplicateValues" dxfId="13438" priority="238"/>
    <cfRule type="duplicateValues" dxfId="13437" priority="239"/>
    <cfRule type="duplicateValues" dxfId="13436" priority="240"/>
    <cfRule type="duplicateValues" dxfId="13435" priority="241"/>
    <cfRule type="duplicateValues" dxfId="13434" priority="242"/>
    <cfRule type="duplicateValues" dxfId="13433" priority="243"/>
    <cfRule type="duplicateValues" dxfId="13432" priority="244"/>
    <cfRule type="duplicateValues" dxfId="13431" priority="245"/>
  </conditionalFormatting>
  <conditionalFormatting sqref="B1:B3">
    <cfRule type="duplicateValues" dxfId="13430" priority="163"/>
    <cfRule type="duplicateValues" dxfId="13429" priority="164"/>
    <cfRule type="duplicateValues" dxfId="13428" priority="165"/>
    <cfRule type="duplicateValues" dxfId="13427" priority="166"/>
    <cfRule type="duplicateValues" dxfId="13426" priority="167"/>
    <cfRule type="duplicateValues" dxfId="13425" priority="168"/>
    <cfRule type="duplicateValues" dxfId="13424" priority="169"/>
    <cfRule type="duplicateValues" dxfId="13423" priority="170"/>
    <cfRule type="duplicateValues" dxfId="13422" priority="171"/>
    <cfRule type="duplicateValues" dxfId="13421" priority="172"/>
    <cfRule type="duplicateValues" dxfId="13420" priority="173"/>
    <cfRule type="duplicateValues" dxfId="13419" priority="174"/>
    <cfRule type="duplicateValues" dxfId="13418" priority="175"/>
    <cfRule type="duplicateValues" dxfId="13417" priority="176"/>
    <cfRule type="duplicateValues" dxfId="13416" priority="177"/>
    <cfRule type="duplicateValues" dxfId="13415" priority="178"/>
    <cfRule type="duplicateValues" dxfId="13414" priority="179"/>
    <cfRule type="duplicateValues" dxfId="13413" priority="180"/>
    <cfRule type="duplicateValues" dxfId="13412" priority="181"/>
    <cfRule type="duplicateValues" dxfId="13411" priority="182"/>
    <cfRule type="duplicateValues" dxfId="13410" priority="183"/>
    <cfRule type="duplicateValues" dxfId="13409" priority="184"/>
    <cfRule type="duplicateValues" dxfId="13408" priority="185"/>
    <cfRule type="duplicateValues" dxfId="13407" priority="186"/>
    <cfRule type="duplicateValues" dxfId="13406" priority="187"/>
    <cfRule type="duplicateValues" dxfId="13405" priority="188"/>
    <cfRule type="duplicateValues" dxfId="13404" priority="189"/>
    <cfRule type="duplicateValues" dxfId="13403" priority="190"/>
    <cfRule type="duplicateValues" dxfId="13402" priority="191"/>
    <cfRule type="duplicateValues" dxfId="13401" priority="192"/>
    <cfRule type="duplicateValues" dxfId="13400" priority="193"/>
    <cfRule type="duplicateValues" dxfId="13399" priority="194"/>
    <cfRule type="duplicateValues" dxfId="13398" priority="195"/>
    <cfRule type="duplicateValues" dxfId="13397" priority="196"/>
    <cfRule type="duplicateValues" dxfId="13396" priority="197"/>
    <cfRule type="duplicateValues" dxfId="13395" priority="198"/>
    <cfRule type="duplicateValues" dxfId="13394" priority="199"/>
    <cfRule type="duplicateValues" dxfId="13393" priority="200"/>
    <cfRule type="duplicateValues" dxfId="13392" priority="201"/>
    <cfRule type="duplicateValues" dxfId="13391" priority="202"/>
    <cfRule type="duplicateValues" dxfId="13390" priority="203"/>
    <cfRule type="duplicateValues" dxfId="13389" priority="204"/>
    <cfRule type="duplicateValues" dxfId="13388" priority="205"/>
    <cfRule type="duplicateValues" dxfId="13387" priority="206"/>
    <cfRule type="duplicateValues" dxfId="13386" priority="207"/>
    <cfRule type="duplicateValues" dxfId="13385" priority="208"/>
    <cfRule type="duplicateValues" dxfId="13384" priority="209"/>
    <cfRule type="duplicateValues" dxfId="13383" priority="210"/>
    <cfRule type="duplicateValues" dxfId="13382" priority="211"/>
    <cfRule type="duplicateValues" dxfId="13381" priority="212"/>
    <cfRule type="duplicateValues" dxfId="13380" priority="213"/>
    <cfRule type="duplicateValues" dxfId="13379" priority="214"/>
    <cfRule type="duplicateValues" dxfId="13378" priority="215"/>
    <cfRule type="duplicateValues" dxfId="13377" priority="216"/>
    <cfRule type="duplicateValues" dxfId="13376" priority="217"/>
    <cfRule type="duplicateValues" dxfId="13375" priority="218"/>
    <cfRule type="duplicateValues" dxfId="13374" priority="219"/>
    <cfRule type="duplicateValues" dxfId="13373" priority="220"/>
    <cfRule type="duplicateValues" dxfId="13372" priority="221"/>
    <cfRule type="duplicateValues" dxfId="13371" priority="222"/>
    <cfRule type="duplicateValues" dxfId="13370" priority="223"/>
    <cfRule type="duplicateValues" dxfId="13369" priority="224"/>
    <cfRule type="duplicateValues" dxfId="13368" priority="225"/>
    <cfRule type="duplicateValues" dxfId="13367" priority="226"/>
    <cfRule type="duplicateValues" dxfId="13366" priority="227"/>
    <cfRule type="duplicateValues" dxfId="13365" priority="228"/>
    <cfRule type="duplicateValues" dxfId="13364" priority="229"/>
    <cfRule type="duplicateValues" dxfId="13363" priority="230"/>
    <cfRule type="duplicateValues" dxfId="13362" priority="231"/>
  </conditionalFormatting>
  <conditionalFormatting sqref="B2:B3">
    <cfRule type="duplicateValues" dxfId="13361" priority="149"/>
    <cfRule type="duplicateValues" dxfId="13360" priority="150"/>
    <cfRule type="duplicateValues" dxfId="13359" priority="151"/>
    <cfRule type="duplicateValues" dxfId="13358" priority="152"/>
    <cfRule type="duplicateValues" dxfId="13357" priority="153"/>
    <cfRule type="duplicateValues" dxfId="13356" priority="154"/>
    <cfRule type="duplicateValues" dxfId="13355" priority="155"/>
    <cfRule type="duplicateValues" dxfId="13354" priority="156"/>
    <cfRule type="duplicateValues" dxfId="13353" priority="157"/>
    <cfRule type="duplicateValues" dxfId="13352" priority="158"/>
    <cfRule type="duplicateValues" dxfId="13351" priority="159"/>
    <cfRule type="duplicateValues" dxfId="13350" priority="160"/>
    <cfRule type="duplicateValues" dxfId="13349" priority="161"/>
    <cfRule type="duplicateValues" dxfId="13348" priority="162"/>
  </conditionalFormatting>
  <conditionalFormatting sqref="B3">
    <cfRule type="duplicateValues" dxfId="13347" priority="148"/>
  </conditionalFormatting>
  <conditionalFormatting sqref="B4">
    <cfRule type="duplicateValues" dxfId="13346" priority="1"/>
    <cfRule type="duplicateValues" dxfId="13345" priority="2"/>
    <cfRule type="duplicateValues" dxfId="13344" priority="3"/>
    <cfRule type="duplicateValues" dxfId="13343" priority="4"/>
    <cfRule type="duplicateValues" dxfId="13342" priority="5"/>
    <cfRule type="duplicateValues" dxfId="13341" priority="6"/>
    <cfRule type="duplicateValues" dxfId="13340" priority="7"/>
    <cfRule type="duplicateValues" dxfId="13339" priority="8"/>
    <cfRule type="duplicateValues" dxfId="13338" priority="9"/>
    <cfRule type="duplicateValues" dxfId="13337" priority="10"/>
    <cfRule type="duplicateValues" dxfId="13336" priority="11"/>
    <cfRule type="duplicateValues" dxfId="13335" priority="12"/>
    <cfRule type="duplicateValues" dxfId="13334" priority="13"/>
    <cfRule type="duplicateValues" dxfId="13333" priority="14"/>
    <cfRule type="duplicateValues" dxfId="13332" priority="15"/>
    <cfRule type="duplicateValues" dxfId="13331" priority="16"/>
    <cfRule type="duplicateValues" dxfId="13330" priority="17"/>
    <cfRule type="duplicateValues" dxfId="13329" priority="18"/>
    <cfRule type="duplicateValues" dxfId="13328" priority="19"/>
    <cfRule type="duplicateValues" dxfId="13327" priority="20"/>
    <cfRule type="duplicateValues" dxfId="13326" priority="21"/>
    <cfRule type="duplicateValues" dxfId="13325" priority="22"/>
    <cfRule type="duplicateValues" dxfId="13324" priority="23"/>
    <cfRule type="duplicateValues" dxfId="13323" priority="24"/>
    <cfRule type="duplicateValues" dxfId="13322" priority="25"/>
    <cfRule type="duplicateValues" dxfId="13321" priority="26"/>
    <cfRule type="duplicateValues" dxfId="13320" priority="27"/>
    <cfRule type="duplicateValues" dxfId="13319" priority="28"/>
    <cfRule type="duplicateValues" dxfId="13318" priority="29"/>
    <cfRule type="duplicateValues" dxfId="13317" priority="30"/>
    <cfRule type="duplicateValues" dxfId="13316" priority="31"/>
    <cfRule type="duplicateValues" dxfId="13315" priority="32"/>
    <cfRule type="duplicateValues" dxfId="13314" priority="33"/>
    <cfRule type="duplicateValues" dxfId="13313" priority="34"/>
    <cfRule type="duplicateValues" dxfId="13312" priority="35"/>
    <cfRule type="duplicateValues" dxfId="13311" priority="36"/>
    <cfRule type="duplicateValues" dxfId="13310" priority="37"/>
    <cfRule type="duplicateValues" dxfId="13309" priority="38"/>
    <cfRule type="duplicateValues" dxfId="13308" priority="39"/>
    <cfRule type="duplicateValues" dxfId="13307" priority="40"/>
    <cfRule type="duplicateValues" dxfId="13306" priority="41"/>
    <cfRule type="duplicateValues" dxfId="13305" priority="42"/>
    <cfRule type="duplicateValues" dxfId="13304" priority="43"/>
    <cfRule type="duplicateValues" dxfId="13303" priority="44"/>
    <cfRule type="duplicateValues" dxfId="13302" priority="45"/>
    <cfRule type="duplicateValues" dxfId="13301" priority="46"/>
    <cfRule type="duplicateValues" dxfId="13300" priority="47"/>
    <cfRule type="duplicateValues" dxfId="13299" priority="48"/>
    <cfRule type="duplicateValues" dxfId="13298" priority="49"/>
    <cfRule type="duplicateValues" dxfId="13297" priority="50"/>
    <cfRule type="duplicateValues" dxfId="13296" priority="51"/>
    <cfRule type="duplicateValues" dxfId="13295" priority="52"/>
    <cfRule type="duplicateValues" dxfId="13294" priority="53"/>
    <cfRule type="duplicateValues" dxfId="13293" priority="54"/>
    <cfRule type="duplicateValues" dxfId="13292" priority="55"/>
    <cfRule type="duplicateValues" dxfId="13291" priority="56"/>
    <cfRule type="duplicateValues" dxfId="13290" priority="57"/>
    <cfRule type="duplicateValues" dxfId="13289" priority="58"/>
    <cfRule type="duplicateValues" dxfId="13288" priority="59"/>
    <cfRule type="duplicateValues" dxfId="13287" priority="60"/>
    <cfRule type="duplicateValues" dxfId="13286" priority="61"/>
    <cfRule type="duplicateValues" dxfId="13285" priority="62"/>
    <cfRule type="duplicateValues" dxfId="13284" priority="63"/>
    <cfRule type="duplicateValues" dxfId="13283" priority="64"/>
    <cfRule type="duplicateValues" dxfId="13282" priority="65"/>
    <cfRule type="duplicateValues" dxfId="13281" priority="66"/>
    <cfRule type="duplicateValues" dxfId="13280" priority="67"/>
    <cfRule type="duplicateValues" dxfId="13279" priority="68"/>
    <cfRule type="duplicateValues" dxfId="13278" priority="69"/>
    <cfRule type="duplicateValues" dxfId="13277" priority="70"/>
    <cfRule type="duplicateValues" dxfId="13276" priority="71"/>
    <cfRule type="duplicateValues" dxfId="13275" priority="72"/>
    <cfRule type="duplicateValues" dxfId="13274" priority="73"/>
    <cfRule type="duplicateValues" dxfId="13273" priority="74"/>
    <cfRule type="duplicateValues" dxfId="13272" priority="75"/>
    <cfRule type="duplicateValues" dxfId="13271" priority="76"/>
    <cfRule type="duplicateValues" dxfId="13270" priority="77"/>
    <cfRule type="duplicateValues" dxfId="13269" priority="78"/>
    <cfRule type="duplicateValues" dxfId="13268" priority="79"/>
    <cfRule type="duplicateValues" dxfId="13267" priority="80"/>
    <cfRule type="duplicateValues" dxfId="13266" priority="81"/>
    <cfRule type="duplicateValues" dxfId="13265" priority="82"/>
    <cfRule type="duplicateValues" dxfId="13264" priority="83"/>
    <cfRule type="duplicateValues" dxfId="13263" priority="84"/>
    <cfRule type="duplicateValues" dxfId="13262" priority="85"/>
    <cfRule type="duplicateValues" dxfId="13261" priority="86"/>
    <cfRule type="duplicateValues" dxfId="13260" priority="87"/>
    <cfRule type="duplicateValues" dxfId="13259" priority="88"/>
    <cfRule type="duplicateValues" dxfId="13258" priority="89"/>
    <cfRule type="duplicateValues" dxfId="13257" priority="90"/>
    <cfRule type="duplicateValues" dxfId="13256" priority="91"/>
    <cfRule type="duplicateValues" dxfId="13255" priority="92"/>
    <cfRule type="duplicateValues" dxfId="13254" priority="93"/>
    <cfRule type="duplicateValues" dxfId="13253" priority="94"/>
    <cfRule type="duplicateValues" dxfId="13252" priority="95"/>
    <cfRule type="duplicateValues" dxfId="13251" priority="96"/>
    <cfRule type="duplicateValues" dxfId="13250" priority="97"/>
    <cfRule type="duplicateValues" dxfId="13249" priority="98"/>
    <cfRule type="duplicateValues" dxfId="13248" priority="99"/>
    <cfRule type="duplicateValues" dxfId="13247" priority="100"/>
    <cfRule type="duplicateValues" dxfId="13246" priority="101"/>
    <cfRule type="duplicateValues" dxfId="13245" priority="102"/>
    <cfRule type="duplicateValues" dxfId="13244" priority="103"/>
    <cfRule type="duplicateValues" dxfId="13243" priority="104"/>
    <cfRule type="duplicateValues" dxfId="13242" priority="105"/>
    <cfRule type="duplicateValues" dxfId="13241" priority="106"/>
    <cfRule type="duplicateValues" dxfId="13240" priority="107"/>
    <cfRule type="duplicateValues" dxfId="13239" priority="108"/>
    <cfRule type="duplicateValues" dxfId="13238" priority="109"/>
    <cfRule type="duplicateValues" dxfId="13237" priority="110"/>
    <cfRule type="duplicateValues" dxfId="13236" priority="111"/>
    <cfRule type="duplicateValues" dxfId="13235" priority="112"/>
    <cfRule type="duplicateValues" dxfId="13234" priority="113"/>
    <cfRule type="duplicateValues" dxfId="13233" priority="114"/>
    <cfRule type="duplicateValues" dxfId="13232" priority="115"/>
    <cfRule type="duplicateValues" dxfId="13231" priority="116"/>
    <cfRule type="duplicateValues" dxfId="13230" priority="117"/>
    <cfRule type="duplicateValues" dxfId="13229" priority="118"/>
    <cfRule type="duplicateValues" dxfId="13228" priority="119"/>
    <cfRule type="duplicateValues" dxfId="13227" priority="120"/>
    <cfRule type="duplicateValues" dxfId="13226" priority="121"/>
    <cfRule type="duplicateValues" dxfId="13225" priority="122"/>
    <cfRule type="duplicateValues" dxfId="13224" priority="123"/>
    <cfRule type="duplicateValues" dxfId="13223" priority="124"/>
    <cfRule type="duplicateValues" dxfId="13222" priority="125"/>
    <cfRule type="duplicateValues" dxfId="13221" priority="126"/>
    <cfRule type="duplicateValues" dxfId="13220" priority="127"/>
    <cfRule type="duplicateValues" dxfId="13219" priority="128"/>
    <cfRule type="duplicateValues" dxfId="13218" priority="129"/>
    <cfRule type="duplicateValues" dxfId="13217" priority="130"/>
    <cfRule type="duplicateValues" dxfId="13216" priority="131"/>
    <cfRule type="duplicateValues" dxfId="13215" priority="132"/>
    <cfRule type="duplicateValues" dxfId="13214" priority="133"/>
    <cfRule type="duplicateValues" dxfId="13213" priority="134"/>
    <cfRule type="duplicateValues" dxfId="13212" priority="135"/>
    <cfRule type="duplicateValues" dxfId="13211" priority="136"/>
    <cfRule type="duplicateValues" dxfId="13210" priority="137"/>
    <cfRule type="duplicateValues" dxfId="13209" priority="138"/>
    <cfRule type="duplicateValues" dxfId="13208" priority="139"/>
    <cfRule type="duplicateValues" dxfId="13207" priority="140"/>
    <cfRule type="duplicateValues" dxfId="13206" priority="141"/>
    <cfRule type="duplicateValues" dxfId="13205" priority="142"/>
    <cfRule type="duplicateValues" dxfId="13204" priority="143"/>
    <cfRule type="duplicateValues" dxfId="13203" priority="144"/>
    <cfRule type="duplicateValues" dxfId="13202" priority="145"/>
    <cfRule type="duplicateValues" dxfId="13201" priority="146"/>
    <cfRule type="duplicateValues" dxfId="13200" priority="147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6DFC-C774-4692-B685-4F3AB8011587}">
  <dimension ref="A1:K5"/>
  <sheetViews>
    <sheetView workbookViewId="0">
      <selection sqref="A1:K1"/>
    </sheetView>
  </sheetViews>
  <sheetFormatPr defaultRowHeight="14.4"/>
  <cols>
    <col min="1" max="1" width="3.88671875" bestFit="1" customWidth="1"/>
    <col min="2" max="2" width="12" customWidth="1"/>
    <col min="3" max="3" width="5.109375" bestFit="1" customWidth="1"/>
    <col min="4" max="4" width="15.6640625" customWidth="1"/>
    <col min="5" max="5" width="13.44140625" customWidth="1"/>
    <col min="6" max="6" width="14.109375" customWidth="1"/>
    <col min="7" max="7" width="13.33203125" customWidth="1"/>
    <col min="8" max="8" width="10.109375" customWidth="1"/>
    <col min="9" max="9" width="9.21875" customWidth="1"/>
    <col min="10" max="10" width="12.109375" customWidth="1"/>
    <col min="11" max="11" width="60.88671875" customWidth="1"/>
  </cols>
  <sheetData>
    <row r="1" spans="1:11" ht="25.8">
      <c r="A1" s="274" t="s">
        <v>676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1" ht="15.6">
      <c r="A2" s="284" t="s">
        <v>4422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>
      <c r="A3" s="37" t="s">
        <v>22</v>
      </c>
      <c r="B3" s="35" t="s">
        <v>13</v>
      </c>
      <c r="C3" s="35" t="s">
        <v>26</v>
      </c>
      <c r="D3" s="35" t="s">
        <v>14</v>
      </c>
      <c r="E3" s="36" t="s">
        <v>28</v>
      </c>
      <c r="F3" s="36" t="s">
        <v>29</v>
      </c>
      <c r="G3" s="36" t="s">
        <v>43</v>
      </c>
      <c r="H3" s="35" t="s">
        <v>0</v>
      </c>
      <c r="I3" s="35" t="s">
        <v>1</v>
      </c>
      <c r="J3" s="35" t="s">
        <v>2</v>
      </c>
      <c r="K3" s="35" t="s">
        <v>19</v>
      </c>
    </row>
    <row r="4" spans="1:11">
      <c r="A4" s="1">
        <v>1</v>
      </c>
      <c r="B4" s="13" t="s">
        <v>4420</v>
      </c>
      <c r="C4" s="8" t="s">
        <v>3</v>
      </c>
      <c r="D4" s="12" t="s">
        <v>48</v>
      </c>
      <c r="E4" s="11">
        <v>2749999</v>
      </c>
      <c r="F4" s="10">
        <f t="shared" ref="F4:F5" si="0">E4*0.97</f>
        <v>2667499.0299999998</v>
      </c>
      <c r="G4" s="9">
        <f t="shared" ref="G4:G5" si="1">E4*0.94</f>
        <v>2584999.06</v>
      </c>
      <c r="H4" s="8">
        <v>1559.8</v>
      </c>
      <c r="I4" s="8">
        <v>1243.3399999999999</v>
      </c>
      <c r="J4" s="8">
        <v>316.45999999999998</v>
      </c>
      <c r="K4" s="8" t="s">
        <v>4421</v>
      </c>
    </row>
    <row r="5" spans="1:11">
      <c r="A5" s="1">
        <v>2</v>
      </c>
      <c r="B5" s="13" t="s">
        <v>5060</v>
      </c>
      <c r="C5" s="8" t="s">
        <v>34</v>
      </c>
      <c r="D5" s="12" t="s">
        <v>4504</v>
      </c>
      <c r="E5" s="11">
        <v>2406999</v>
      </c>
      <c r="F5" s="10">
        <f t="shared" si="0"/>
        <v>2334789.0299999998</v>
      </c>
      <c r="G5" s="9">
        <f t="shared" si="1"/>
        <v>2262579.06</v>
      </c>
      <c r="H5" s="8">
        <v>2363.54</v>
      </c>
      <c r="I5" s="8">
        <v>1028.17</v>
      </c>
      <c r="J5" s="8">
        <v>1335.37</v>
      </c>
      <c r="K5" s="8" t="s">
        <v>5061</v>
      </c>
    </row>
  </sheetData>
  <mergeCells count="2">
    <mergeCell ref="A1:K1"/>
    <mergeCell ref="A2:K2"/>
  </mergeCells>
  <conditionalFormatting sqref="B1">
    <cfRule type="duplicateValues" dxfId="13199" priority="233"/>
    <cfRule type="duplicateValues" dxfId="13198" priority="234"/>
    <cfRule type="duplicateValues" dxfId="13197" priority="235"/>
    <cfRule type="duplicateValues" dxfId="13196" priority="236"/>
    <cfRule type="duplicateValues" dxfId="13195" priority="237"/>
    <cfRule type="duplicateValues" dxfId="13194" priority="238"/>
    <cfRule type="duplicateValues" dxfId="13193" priority="239"/>
    <cfRule type="duplicateValues" dxfId="13192" priority="240"/>
    <cfRule type="duplicateValues" dxfId="13191" priority="241"/>
    <cfRule type="duplicateValues" dxfId="13190" priority="242"/>
    <cfRule type="duplicateValues" dxfId="13189" priority="243"/>
    <cfRule type="duplicateValues" dxfId="13188" priority="244"/>
    <cfRule type="duplicateValues" dxfId="13187" priority="245"/>
    <cfRule type="duplicateValues" dxfId="13186" priority="246"/>
  </conditionalFormatting>
  <conditionalFormatting sqref="B1:B3">
    <cfRule type="duplicateValues" dxfId="13185" priority="149"/>
    <cfRule type="duplicateValues" dxfId="13184" priority="150"/>
    <cfRule type="duplicateValues" dxfId="13183" priority="151"/>
    <cfRule type="duplicateValues" dxfId="13182" priority="152"/>
    <cfRule type="duplicateValues" dxfId="13181" priority="153"/>
    <cfRule type="duplicateValues" dxfId="13180" priority="154"/>
    <cfRule type="duplicateValues" dxfId="13179" priority="155"/>
    <cfRule type="duplicateValues" dxfId="13178" priority="156"/>
    <cfRule type="duplicateValues" dxfId="13177" priority="157"/>
    <cfRule type="duplicateValues" dxfId="13176" priority="158"/>
    <cfRule type="duplicateValues" dxfId="13175" priority="159"/>
    <cfRule type="duplicateValues" dxfId="13174" priority="160"/>
    <cfRule type="duplicateValues" dxfId="13173" priority="161"/>
    <cfRule type="duplicateValues" dxfId="13172" priority="177"/>
    <cfRule type="duplicateValues" dxfId="13171" priority="178"/>
    <cfRule type="duplicateValues" dxfId="13170" priority="179"/>
    <cfRule type="duplicateValues" dxfId="13169" priority="180"/>
    <cfRule type="duplicateValues" dxfId="13168" priority="181"/>
    <cfRule type="duplicateValues" dxfId="13167" priority="182"/>
    <cfRule type="duplicateValues" dxfId="13166" priority="183"/>
    <cfRule type="duplicateValues" dxfId="13165" priority="184"/>
    <cfRule type="duplicateValues" dxfId="13164" priority="185"/>
    <cfRule type="duplicateValues" dxfId="13163" priority="186"/>
    <cfRule type="duplicateValues" dxfId="13162" priority="187"/>
    <cfRule type="duplicateValues" dxfId="13161" priority="188"/>
    <cfRule type="duplicateValues" dxfId="13160" priority="189"/>
    <cfRule type="duplicateValues" dxfId="13159" priority="190"/>
    <cfRule type="duplicateValues" dxfId="13158" priority="191"/>
    <cfRule type="duplicateValues" dxfId="13157" priority="192"/>
    <cfRule type="duplicateValues" dxfId="13156" priority="193"/>
    <cfRule type="duplicateValues" dxfId="13155" priority="194"/>
    <cfRule type="duplicateValues" dxfId="13154" priority="195"/>
    <cfRule type="duplicateValues" dxfId="13153" priority="196"/>
    <cfRule type="duplicateValues" dxfId="13152" priority="197"/>
    <cfRule type="duplicateValues" dxfId="13151" priority="198"/>
    <cfRule type="duplicateValues" dxfId="13150" priority="199"/>
    <cfRule type="duplicateValues" dxfId="13149" priority="200"/>
    <cfRule type="duplicateValues" dxfId="13148" priority="201"/>
    <cfRule type="duplicateValues" dxfId="13147" priority="202"/>
    <cfRule type="duplicateValues" dxfId="13146" priority="203"/>
    <cfRule type="duplicateValues" dxfId="13145" priority="204"/>
    <cfRule type="duplicateValues" dxfId="13144" priority="205"/>
    <cfRule type="duplicateValues" dxfId="13143" priority="206"/>
    <cfRule type="duplicateValues" dxfId="13142" priority="207"/>
    <cfRule type="duplicateValues" dxfId="13141" priority="208"/>
    <cfRule type="duplicateValues" dxfId="13140" priority="209"/>
    <cfRule type="duplicateValues" dxfId="13139" priority="210"/>
    <cfRule type="duplicateValues" dxfId="13138" priority="211"/>
    <cfRule type="duplicateValues" dxfId="13137" priority="212"/>
    <cfRule type="duplicateValues" dxfId="13136" priority="213"/>
    <cfRule type="duplicateValues" dxfId="13135" priority="214"/>
    <cfRule type="duplicateValues" dxfId="13134" priority="215"/>
    <cfRule type="duplicateValues" dxfId="13133" priority="216"/>
    <cfRule type="duplicateValues" dxfId="13132" priority="217"/>
    <cfRule type="duplicateValues" dxfId="13131" priority="218"/>
    <cfRule type="duplicateValues" dxfId="13130" priority="219"/>
    <cfRule type="duplicateValues" dxfId="13129" priority="220"/>
    <cfRule type="duplicateValues" dxfId="13128" priority="221"/>
    <cfRule type="duplicateValues" dxfId="13127" priority="222"/>
    <cfRule type="duplicateValues" dxfId="13126" priority="223"/>
    <cfRule type="duplicateValues" dxfId="13125" priority="224"/>
    <cfRule type="duplicateValues" dxfId="13124" priority="225"/>
    <cfRule type="duplicateValues" dxfId="13123" priority="226"/>
    <cfRule type="duplicateValues" dxfId="13122" priority="227"/>
    <cfRule type="duplicateValues" dxfId="13121" priority="228"/>
    <cfRule type="duplicateValues" dxfId="13120" priority="229"/>
    <cfRule type="duplicateValues" dxfId="13119" priority="230"/>
    <cfRule type="duplicateValues" dxfId="13118" priority="231"/>
    <cfRule type="duplicateValues" dxfId="13117" priority="232"/>
  </conditionalFormatting>
  <conditionalFormatting sqref="B2:B3">
    <cfRule type="duplicateValues" dxfId="13116" priority="163"/>
    <cfRule type="duplicateValues" dxfId="13115" priority="164"/>
    <cfRule type="duplicateValues" dxfId="13114" priority="165"/>
    <cfRule type="duplicateValues" dxfId="13113" priority="166"/>
    <cfRule type="duplicateValues" dxfId="13112" priority="167"/>
    <cfRule type="duplicateValues" dxfId="13111" priority="168"/>
    <cfRule type="duplicateValues" dxfId="13110" priority="169"/>
    <cfRule type="duplicateValues" dxfId="13109" priority="170"/>
    <cfRule type="duplicateValues" dxfId="13108" priority="171"/>
    <cfRule type="duplicateValues" dxfId="13107" priority="172"/>
    <cfRule type="duplicateValues" dxfId="13106" priority="173"/>
    <cfRule type="duplicateValues" dxfId="13105" priority="174"/>
    <cfRule type="duplicateValues" dxfId="13104" priority="175"/>
    <cfRule type="duplicateValues" dxfId="13103" priority="176"/>
  </conditionalFormatting>
  <conditionalFormatting sqref="B3">
    <cfRule type="duplicateValues" dxfId="13102" priority="162"/>
  </conditionalFormatting>
  <conditionalFormatting sqref="B4:B5">
    <cfRule type="duplicateValues" dxfId="13101" priority="233596"/>
    <cfRule type="duplicateValues" dxfId="13100" priority="233597"/>
    <cfRule type="duplicateValues" dxfId="13099" priority="233598"/>
    <cfRule type="duplicateValues" dxfId="13098" priority="233599"/>
    <cfRule type="duplicateValues" dxfId="13097" priority="233600"/>
    <cfRule type="duplicateValues" dxfId="13096" priority="233601"/>
    <cfRule type="duplicateValues" dxfId="13095" priority="233602"/>
    <cfRule type="duplicateValues" dxfId="13094" priority="233603"/>
    <cfRule type="duplicateValues" dxfId="13093" priority="233604"/>
    <cfRule type="duplicateValues" dxfId="13092" priority="233605"/>
    <cfRule type="duplicateValues" dxfId="13091" priority="233606"/>
    <cfRule type="duplicateValues" dxfId="13090" priority="233607"/>
    <cfRule type="duplicateValues" dxfId="13089" priority="233608"/>
    <cfRule type="duplicateValues" dxfId="13088" priority="233609"/>
    <cfRule type="duplicateValues" dxfId="13087" priority="233610"/>
    <cfRule type="duplicateValues" dxfId="13086" priority="233611"/>
    <cfRule type="duplicateValues" dxfId="13085" priority="233612"/>
    <cfRule type="duplicateValues" dxfId="13084" priority="233613"/>
    <cfRule type="duplicateValues" dxfId="13083" priority="233614"/>
    <cfRule type="duplicateValues" dxfId="13082" priority="233615"/>
    <cfRule type="duplicateValues" dxfId="13081" priority="233616"/>
    <cfRule type="duplicateValues" dxfId="13080" priority="233617"/>
    <cfRule type="duplicateValues" dxfId="13079" priority="233618"/>
    <cfRule type="duplicateValues" dxfId="13078" priority="233619"/>
    <cfRule type="duplicateValues" dxfId="13077" priority="233620"/>
    <cfRule type="duplicateValues" dxfId="13076" priority="233621"/>
    <cfRule type="duplicateValues" dxfId="13075" priority="233622"/>
    <cfRule type="duplicateValues" dxfId="13074" priority="233623"/>
    <cfRule type="duplicateValues" dxfId="13073" priority="233624"/>
    <cfRule type="duplicateValues" dxfId="13072" priority="233625"/>
    <cfRule type="duplicateValues" dxfId="13071" priority="233626"/>
    <cfRule type="duplicateValues" dxfId="13070" priority="233627"/>
    <cfRule type="duplicateValues" dxfId="13069" priority="233628"/>
    <cfRule type="duplicateValues" dxfId="13068" priority="233629"/>
    <cfRule type="duplicateValues" dxfId="13067" priority="233630"/>
    <cfRule type="duplicateValues" dxfId="13066" priority="233631"/>
    <cfRule type="duplicateValues" dxfId="13065" priority="233632"/>
    <cfRule type="duplicateValues" dxfId="13064" priority="233633"/>
    <cfRule type="duplicateValues" dxfId="13063" priority="233634"/>
    <cfRule type="duplicateValues" dxfId="13062" priority="233635"/>
    <cfRule type="duplicateValues" dxfId="13061" priority="233636"/>
    <cfRule type="duplicateValues" dxfId="13060" priority="233637"/>
    <cfRule type="duplicateValues" dxfId="13059" priority="233638"/>
    <cfRule type="duplicateValues" dxfId="13058" priority="233639"/>
    <cfRule type="duplicateValues" dxfId="13057" priority="233640"/>
    <cfRule type="duplicateValues" dxfId="13056" priority="233641"/>
    <cfRule type="duplicateValues" dxfId="13055" priority="233642"/>
    <cfRule type="duplicateValues" dxfId="13054" priority="233643"/>
    <cfRule type="duplicateValues" dxfId="13053" priority="233644"/>
    <cfRule type="duplicateValues" dxfId="13052" priority="233645"/>
    <cfRule type="duplicateValues" dxfId="13051" priority="233646"/>
    <cfRule type="duplicateValues" dxfId="13050" priority="233647"/>
    <cfRule type="duplicateValues" dxfId="13049" priority="233648"/>
    <cfRule type="duplicateValues" dxfId="13048" priority="233649"/>
    <cfRule type="duplicateValues" dxfId="13047" priority="233650"/>
    <cfRule type="duplicateValues" dxfId="13046" priority="233651"/>
    <cfRule type="duplicateValues" dxfId="13045" priority="233652"/>
    <cfRule type="duplicateValues" dxfId="13044" priority="233653"/>
    <cfRule type="duplicateValues" dxfId="13043" priority="233654"/>
    <cfRule type="duplicateValues" dxfId="13042" priority="233655"/>
    <cfRule type="duplicateValues" dxfId="13041" priority="233656"/>
    <cfRule type="duplicateValues" dxfId="13040" priority="233657"/>
    <cfRule type="duplicateValues" dxfId="13039" priority="233658"/>
    <cfRule type="duplicateValues" dxfId="13038" priority="233659"/>
    <cfRule type="duplicateValues" dxfId="13037" priority="233660"/>
    <cfRule type="duplicateValues" dxfId="13036" priority="233661"/>
    <cfRule type="duplicateValues" dxfId="13035" priority="233662"/>
    <cfRule type="duplicateValues" dxfId="13034" priority="233663"/>
    <cfRule type="duplicateValues" dxfId="13033" priority="233664"/>
    <cfRule type="duplicateValues" dxfId="13032" priority="233665"/>
    <cfRule type="duplicateValues" dxfId="13031" priority="233666"/>
    <cfRule type="duplicateValues" dxfId="13030" priority="233667"/>
    <cfRule type="duplicateValues" dxfId="13029" priority="233668"/>
    <cfRule type="duplicateValues" dxfId="13028" priority="233669"/>
    <cfRule type="duplicateValues" dxfId="13027" priority="233670"/>
    <cfRule type="duplicateValues" dxfId="13026" priority="233671"/>
    <cfRule type="duplicateValues" dxfId="13025" priority="233672"/>
    <cfRule type="duplicateValues" dxfId="13024" priority="233673"/>
    <cfRule type="duplicateValues" dxfId="13023" priority="233674"/>
    <cfRule type="duplicateValues" dxfId="13022" priority="233675"/>
    <cfRule type="duplicateValues" dxfId="13021" priority="233676"/>
    <cfRule type="duplicateValues" dxfId="13020" priority="233677"/>
    <cfRule type="duplicateValues" dxfId="13019" priority="233678"/>
    <cfRule type="duplicateValues" dxfId="13018" priority="233679"/>
    <cfRule type="duplicateValues" dxfId="13017" priority="233680"/>
    <cfRule type="duplicateValues" dxfId="13016" priority="233681"/>
    <cfRule type="duplicateValues" dxfId="13015" priority="233682"/>
    <cfRule type="duplicateValues" dxfId="13014" priority="233683"/>
    <cfRule type="duplicateValues" dxfId="13013" priority="233684"/>
    <cfRule type="duplicateValues" dxfId="13012" priority="233685"/>
    <cfRule type="duplicateValues" dxfId="13011" priority="233686"/>
    <cfRule type="duplicateValues" dxfId="13010" priority="233687"/>
    <cfRule type="duplicateValues" dxfId="13009" priority="233688"/>
    <cfRule type="duplicateValues" dxfId="13008" priority="233689"/>
    <cfRule type="duplicateValues" dxfId="13007" priority="233690"/>
    <cfRule type="duplicateValues" dxfId="13006" priority="233691"/>
    <cfRule type="duplicateValues" dxfId="13005" priority="233692"/>
    <cfRule type="duplicateValues" dxfId="13004" priority="233693"/>
    <cfRule type="duplicateValues" dxfId="13003" priority="233694"/>
    <cfRule type="duplicateValues" dxfId="13002" priority="233695"/>
    <cfRule type="duplicateValues" dxfId="13001" priority="233696"/>
    <cfRule type="duplicateValues" dxfId="13000" priority="233697"/>
    <cfRule type="duplicateValues" dxfId="12999" priority="233698"/>
    <cfRule type="duplicateValues" dxfId="12998" priority="233699"/>
    <cfRule type="duplicateValues" dxfId="12997" priority="233700"/>
    <cfRule type="duplicateValues" dxfId="12996" priority="233701"/>
    <cfRule type="duplicateValues" dxfId="12995" priority="233702"/>
    <cfRule type="duplicateValues" dxfId="12994" priority="233703"/>
    <cfRule type="duplicateValues" dxfId="12993" priority="233704"/>
    <cfRule type="duplicateValues" dxfId="12992" priority="233705"/>
    <cfRule type="duplicateValues" dxfId="12991" priority="233706"/>
    <cfRule type="duplicateValues" dxfId="12990" priority="233707"/>
    <cfRule type="duplicateValues" dxfId="12989" priority="233708"/>
    <cfRule type="duplicateValues" dxfId="12988" priority="233709"/>
    <cfRule type="duplicateValues" dxfId="12987" priority="233710"/>
    <cfRule type="duplicateValues" dxfId="12986" priority="233711"/>
    <cfRule type="duplicateValues" dxfId="12985" priority="233712"/>
    <cfRule type="duplicateValues" dxfId="12984" priority="233713"/>
    <cfRule type="duplicateValues" dxfId="12983" priority="233714"/>
    <cfRule type="duplicateValues" dxfId="12982" priority="233715"/>
    <cfRule type="duplicateValues" dxfId="12981" priority="233716"/>
    <cfRule type="duplicateValues" dxfId="12980" priority="233717"/>
    <cfRule type="duplicateValues" dxfId="12979" priority="233718"/>
    <cfRule type="duplicateValues" dxfId="12978" priority="233719"/>
    <cfRule type="duplicateValues" dxfId="12977" priority="233720"/>
    <cfRule type="duplicateValues" dxfId="12976" priority="233721"/>
    <cfRule type="duplicateValues" dxfId="12975" priority="233722"/>
    <cfRule type="duplicateValues" dxfId="12974" priority="233723"/>
    <cfRule type="duplicateValues" dxfId="12973" priority="233724"/>
    <cfRule type="duplicateValues" dxfId="12972" priority="233725"/>
    <cfRule type="duplicateValues" dxfId="12971" priority="233726"/>
    <cfRule type="duplicateValues" dxfId="12970" priority="233727"/>
    <cfRule type="duplicateValues" dxfId="12969" priority="233728"/>
    <cfRule type="duplicateValues" dxfId="12968" priority="233729"/>
    <cfRule type="duplicateValues" dxfId="12967" priority="233730"/>
    <cfRule type="duplicateValues" dxfId="12966" priority="233731"/>
    <cfRule type="duplicateValues" dxfId="12965" priority="233732"/>
    <cfRule type="duplicateValues" dxfId="12964" priority="233733"/>
    <cfRule type="duplicateValues" dxfId="12963" priority="233734"/>
    <cfRule type="duplicateValues" dxfId="12962" priority="233735"/>
    <cfRule type="duplicateValues" dxfId="12961" priority="233736"/>
    <cfRule type="duplicateValues" dxfId="12960" priority="233737"/>
    <cfRule type="duplicateValues" dxfId="12959" priority="233738"/>
    <cfRule type="duplicateValues" dxfId="12958" priority="233739"/>
    <cfRule type="duplicateValues" dxfId="12957" priority="233740"/>
    <cfRule type="duplicateValues" dxfId="12956" priority="233741"/>
    <cfRule type="duplicateValues" dxfId="12955" priority="23374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B5AE-35BD-40A0-96CD-8366B3EC638F}">
  <dimension ref="A1:J125"/>
  <sheetViews>
    <sheetView zoomScale="97" zoomScaleNormal="100" workbookViewId="0">
      <selection activeCell="G20" sqref="G20"/>
    </sheetView>
  </sheetViews>
  <sheetFormatPr defaultColWidth="5.44140625" defaultRowHeight="14.4"/>
  <cols>
    <col min="1" max="1" width="5" customWidth="1"/>
    <col min="2" max="2" width="13.33203125" customWidth="1"/>
    <col min="3" max="3" width="8.21875" customWidth="1"/>
    <col min="4" max="4" width="15.33203125" bestFit="1" customWidth="1"/>
    <col min="5" max="5" width="13.109375" style="100" customWidth="1"/>
    <col min="6" max="6" width="14.6640625" style="100" customWidth="1"/>
    <col min="7" max="7" width="13.88671875" bestFit="1" customWidth="1"/>
    <col min="8" max="8" width="12.6640625" bestFit="1" customWidth="1"/>
    <col min="9" max="9" width="15.88671875" bestFit="1" customWidth="1"/>
    <col min="10" max="10" width="76" bestFit="1" customWidth="1"/>
  </cols>
  <sheetData>
    <row r="1" spans="1:10" ht="28.8">
      <c r="A1" s="291" t="s">
        <v>23</v>
      </c>
      <c r="B1" s="291"/>
      <c r="C1" s="291"/>
      <c r="D1" s="291"/>
      <c r="E1" s="292"/>
      <c r="F1" s="292"/>
      <c r="G1" s="291"/>
      <c r="H1" s="291"/>
      <c r="I1" s="291"/>
      <c r="J1" s="291"/>
    </row>
    <row r="2" spans="1:10" s="101" customFormat="1" ht="18">
      <c r="A2" s="293" t="s">
        <v>4256</v>
      </c>
      <c r="B2" s="293"/>
      <c r="C2" s="293"/>
      <c r="D2" s="293"/>
      <c r="E2" s="294"/>
      <c r="F2" s="294"/>
      <c r="G2" s="293"/>
      <c r="H2" s="293"/>
      <c r="I2" s="293"/>
      <c r="J2" s="293"/>
    </row>
    <row r="3" spans="1:10">
      <c r="A3" s="98" t="s">
        <v>22</v>
      </c>
      <c r="B3" s="99" t="s">
        <v>13</v>
      </c>
      <c r="C3" s="99" t="s">
        <v>26</v>
      </c>
      <c r="D3" s="98" t="s">
        <v>14</v>
      </c>
      <c r="E3" s="102" t="s">
        <v>15</v>
      </c>
      <c r="F3" s="102" t="s">
        <v>31</v>
      </c>
      <c r="G3" s="99" t="s">
        <v>16</v>
      </c>
      <c r="H3" s="99" t="s">
        <v>17</v>
      </c>
      <c r="I3" s="99" t="s">
        <v>18</v>
      </c>
      <c r="J3" s="99" t="s">
        <v>19</v>
      </c>
    </row>
    <row r="4" spans="1:10" s="73" customFormat="1" ht="13.8">
      <c r="A4" s="76">
        <v>1</v>
      </c>
      <c r="B4" s="146"/>
      <c r="C4" s="103"/>
      <c r="D4" s="104"/>
      <c r="E4" s="105"/>
      <c r="F4" s="106">
        <f t="shared" ref="F4:F29" si="0">E4*0.78</f>
        <v>0</v>
      </c>
      <c r="G4" s="107"/>
      <c r="H4" s="76"/>
      <c r="I4" s="76"/>
      <c r="J4" s="76"/>
    </row>
    <row r="5" spans="1:10" s="73" customFormat="1" ht="13.8">
      <c r="A5" s="76">
        <v>2</v>
      </c>
      <c r="B5" s="146"/>
      <c r="C5" s="103"/>
      <c r="D5" s="104"/>
      <c r="E5" s="105"/>
      <c r="F5" s="106">
        <f t="shared" si="0"/>
        <v>0</v>
      </c>
      <c r="G5" s="107"/>
      <c r="H5" s="76"/>
      <c r="I5" s="76"/>
      <c r="J5" s="76"/>
    </row>
    <row r="6" spans="1:10" s="73" customFormat="1" ht="13.8">
      <c r="A6" s="76">
        <v>3</v>
      </c>
      <c r="B6" s="146"/>
      <c r="C6" s="103"/>
      <c r="D6" s="104"/>
      <c r="E6" s="105"/>
      <c r="F6" s="106">
        <f t="shared" si="0"/>
        <v>0</v>
      </c>
      <c r="G6" s="107"/>
      <c r="H6" s="76"/>
      <c r="I6" s="76"/>
      <c r="J6" s="76"/>
    </row>
    <row r="7" spans="1:10" s="73" customFormat="1" ht="13.8">
      <c r="A7" s="76">
        <v>4</v>
      </c>
      <c r="B7" s="146"/>
      <c r="C7" s="103"/>
      <c r="D7" s="104"/>
      <c r="E7" s="105"/>
      <c r="F7" s="106">
        <f t="shared" si="0"/>
        <v>0</v>
      </c>
      <c r="G7" s="107"/>
      <c r="H7" s="76"/>
      <c r="I7" s="76"/>
      <c r="J7" s="76"/>
    </row>
    <row r="8" spans="1:10" s="73" customFormat="1" ht="13.8">
      <c r="A8" s="76">
        <v>5</v>
      </c>
      <c r="B8" s="146"/>
      <c r="C8" s="103"/>
      <c r="D8" s="104"/>
      <c r="E8" s="105"/>
      <c r="F8" s="106">
        <f t="shared" si="0"/>
        <v>0</v>
      </c>
      <c r="G8" s="107"/>
      <c r="H8" s="76"/>
      <c r="I8" s="76"/>
      <c r="J8" s="76"/>
    </row>
    <row r="9" spans="1:10" s="73" customFormat="1" ht="13.8">
      <c r="A9" s="76">
        <v>6</v>
      </c>
      <c r="B9" s="146"/>
      <c r="C9" s="103"/>
      <c r="D9" s="104"/>
      <c r="E9" s="105"/>
      <c r="F9" s="106">
        <f t="shared" si="0"/>
        <v>0</v>
      </c>
      <c r="G9" s="107"/>
      <c r="H9" s="76"/>
      <c r="I9" s="76"/>
      <c r="J9" s="76"/>
    </row>
    <row r="10" spans="1:10" s="73" customFormat="1" ht="13.8">
      <c r="A10" s="76">
        <v>7</v>
      </c>
      <c r="B10" s="146"/>
      <c r="C10" s="103"/>
      <c r="D10" s="104"/>
      <c r="E10" s="105"/>
      <c r="F10" s="106">
        <f t="shared" si="0"/>
        <v>0</v>
      </c>
      <c r="G10" s="107"/>
      <c r="H10" s="76"/>
      <c r="I10" s="76"/>
      <c r="J10" s="76"/>
    </row>
    <row r="11" spans="1:10" s="73" customFormat="1" ht="13.8">
      <c r="A11" s="76">
        <v>8</v>
      </c>
      <c r="B11" s="146"/>
      <c r="C11" s="103"/>
      <c r="D11" s="104"/>
      <c r="E11" s="105"/>
      <c r="F11" s="106">
        <f t="shared" si="0"/>
        <v>0</v>
      </c>
      <c r="G11" s="107"/>
      <c r="H11" s="76"/>
      <c r="I11" s="76"/>
      <c r="J11" s="76"/>
    </row>
    <row r="12" spans="1:10" s="73" customFormat="1" ht="13.8">
      <c r="A12" s="76">
        <v>9</v>
      </c>
      <c r="B12" s="146"/>
      <c r="C12" s="103"/>
      <c r="D12" s="104"/>
      <c r="E12" s="105"/>
      <c r="F12" s="106">
        <f t="shared" si="0"/>
        <v>0</v>
      </c>
      <c r="G12" s="107"/>
      <c r="H12" s="76"/>
      <c r="I12" s="76"/>
      <c r="J12" s="76"/>
    </row>
    <row r="13" spans="1:10" s="73" customFormat="1" ht="13.8">
      <c r="A13" s="76">
        <v>10</v>
      </c>
      <c r="B13" s="146"/>
      <c r="C13" s="103"/>
      <c r="D13" s="104"/>
      <c r="E13" s="105"/>
      <c r="F13" s="106">
        <f t="shared" si="0"/>
        <v>0</v>
      </c>
      <c r="G13" s="107"/>
      <c r="H13" s="76"/>
      <c r="I13" s="76"/>
      <c r="J13" s="76"/>
    </row>
    <row r="14" spans="1:10" s="73" customFormat="1" ht="13.8">
      <c r="A14" s="76">
        <v>11</v>
      </c>
      <c r="B14" s="146"/>
      <c r="C14" s="103"/>
      <c r="D14" s="104"/>
      <c r="E14" s="105"/>
      <c r="F14" s="106">
        <f t="shared" si="0"/>
        <v>0</v>
      </c>
      <c r="G14" s="107"/>
      <c r="H14" s="76"/>
      <c r="I14" s="76"/>
      <c r="J14" s="76"/>
    </row>
    <row r="15" spans="1:10" s="73" customFormat="1" ht="13.8">
      <c r="A15" s="76">
        <v>12</v>
      </c>
      <c r="B15" s="146"/>
      <c r="C15" s="103"/>
      <c r="D15" s="104"/>
      <c r="E15" s="105"/>
      <c r="F15" s="106">
        <f t="shared" si="0"/>
        <v>0</v>
      </c>
      <c r="G15" s="107"/>
      <c r="H15" s="76"/>
      <c r="I15" s="76"/>
      <c r="J15" s="76"/>
    </row>
    <row r="16" spans="1:10" s="73" customFormat="1" ht="13.8">
      <c r="A16" s="76">
        <v>13</v>
      </c>
      <c r="B16" s="146"/>
      <c r="C16" s="103"/>
      <c r="D16" s="104"/>
      <c r="E16" s="105"/>
      <c r="F16" s="106">
        <f t="shared" si="0"/>
        <v>0</v>
      </c>
      <c r="G16" s="107"/>
      <c r="H16" s="76"/>
      <c r="I16" s="76"/>
      <c r="J16" s="76"/>
    </row>
    <row r="17" spans="1:10" s="73" customFormat="1" ht="13.8">
      <c r="A17" s="76">
        <v>14</v>
      </c>
      <c r="B17" s="146"/>
      <c r="C17" s="103"/>
      <c r="D17" s="104"/>
      <c r="E17" s="105"/>
      <c r="F17" s="106">
        <f t="shared" si="0"/>
        <v>0</v>
      </c>
      <c r="G17" s="107"/>
      <c r="H17" s="76"/>
      <c r="I17" s="76"/>
      <c r="J17" s="76"/>
    </row>
    <row r="18" spans="1:10" s="73" customFormat="1" ht="13.8">
      <c r="A18" s="76">
        <v>15</v>
      </c>
      <c r="B18" s="146"/>
      <c r="C18" s="103"/>
      <c r="D18" s="104"/>
      <c r="E18" s="105"/>
      <c r="F18" s="106">
        <f t="shared" si="0"/>
        <v>0</v>
      </c>
      <c r="G18" s="107"/>
      <c r="H18" s="76"/>
      <c r="I18" s="76"/>
      <c r="J18" s="76"/>
    </row>
    <row r="19" spans="1:10" s="73" customFormat="1" ht="13.8">
      <c r="A19" s="76">
        <v>16</v>
      </c>
      <c r="B19" s="146"/>
      <c r="C19" s="103"/>
      <c r="D19" s="104"/>
      <c r="E19" s="105"/>
      <c r="F19" s="106">
        <f t="shared" si="0"/>
        <v>0</v>
      </c>
      <c r="G19" s="107"/>
      <c r="H19" s="76"/>
      <c r="I19" s="76"/>
      <c r="J19" s="76"/>
    </row>
    <row r="20" spans="1:10" s="73" customFormat="1" ht="13.8">
      <c r="A20" s="76">
        <v>17</v>
      </c>
      <c r="B20" s="146"/>
      <c r="C20" s="103"/>
      <c r="D20" s="104"/>
      <c r="E20" s="105"/>
      <c r="F20" s="106">
        <f t="shared" si="0"/>
        <v>0</v>
      </c>
      <c r="G20" s="107"/>
      <c r="H20" s="76"/>
      <c r="I20" s="76"/>
      <c r="J20" s="76"/>
    </row>
    <row r="21" spans="1:10" s="73" customFormat="1" ht="13.8">
      <c r="A21" s="76">
        <v>18</v>
      </c>
      <c r="B21" s="146"/>
      <c r="C21" s="103"/>
      <c r="D21" s="104"/>
      <c r="E21" s="105"/>
      <c r="F21" s="106">
        <f t="shared" si="0"/>
        <v>0</v>
      </c>
      <c r="G21" s="107"/>
      <c r="H21" s="76"/>
      <c r="I21" s="76"/>
      <c r="J21" s="76"/>
    </row>
    <row r="22" spans="1:10" s="73" customFormat="1" ht="13.8">
      <c r="A22" s="76">
        <v>19</v>
      </c>
      <c r="B22" s="146"/>
      <c r="C22" s="103"/>
      <c r="D22" s="104"/>
      <c r="E22" s="105"/>
      <c r="F22" s="106">
        <f t="shared" si="0"/>
        <v>0</v>
      </c>
      <c r="G22" s="107"/>
      <c r="H22" s="76"/>
      <c r="I22" s="76"/>
      <c r="J22" s="76"/>
    </row>
    <row r="23" spans="1:10" s="73" customFormat="1" ht="13.8">
      <c r="A23" s="76">
        <v>20</v>
      </c>
      <c r="B23" s="146"/>
      <c r="C23" s="103"/>
      <c r="D23" s="104"/>
      <c r="E23" s="105"/>
      <c r="F23" s="106">
        <f t="shared" si="0"/>
        <v>0</v>
      </c>
      <c r="G23" s="107"/>
      <c r="H23" s="76"/>
      <c r="I23" s="76"/>
      <c r="J23" s="76"/>
    </row>
    <row r="24" spans="1:10" s="73" customFormat="1" ht="13.8">
      <c r="A24" s="76">
        <v>21</v>
      </c>
      <c r="B24" s="146"/>
      <c r="C24" s="103"/>
      <c r="D24" s="104"/>
      <c r="E24" s="105"/>
      <c r="F24" s="106">
        <f t="shared" si="0"/>
        <v>0</v>
      </c>
      <c r="G24" s="107"/>
      <c r="H24" s="76"/>
      <c r="I24" s="76"/>
      <c r="J24" s="76"/>
    </row>
    <row r="25" spans="1:10" s="73" customFormat="1" ht="13.8">
      <c r="A25" s="76">
        <v>22</v>
      </c>
      <c r="B25" s="146"/>
      <c r="C25" s="103"/>
      <c r="D25" s="104"/>
      <c r="E25" s="105"/>
      <c r="F25" s="106">
        <f t="shared" si="0"/>
        <v>0</v>
      </c>
      <c r="G25" s="107"/>
      <c r="H25" s="76"/>
      <c r="I25" s="76"/>
      <c r="J25" s="76"/>
    </row>
    <row r="26" spans="1:10" s="73" customFormat="1" ht="13.8">
      <c r="A26" s="76">
        <v>23</v>
      </c>
      <c r="B26" s="146"/>
      <c r="C26" s="103"/>
      <c r="D26" s="104"/>
      <c r="E26" s="105"/>
      <c r="F26" s="106">
        <f t="shared" si="0"/>
        <v>0</v>
      </c>
      <c r="G26" s="107"/>
      <c r="H26" s="76"/>
      <c r="I26" s="76"/>
      <c r="J26" s="76"/>
    </row>
    <row r="27" spans="1:10" s="73" customFormat="1" ht="13.8">
      <c r="A27" s="76">
        <v>24</v>
      </c>
      <c r="B27" s="146"/>
      <c r="C27" s="103"/>
      <c r="D27" s="104"/>
      <c r="E27" s="105"/>
      <c r="F27" s="106">
        <f t="shared" si="0"/>
        <v>0</v>
      </c>
      <c r="G27" s="107"/>
      <c r="H27" s="76"/>
      <c r="I27" s="76"/>
      <c r="J27" s="76"/>
    </row>
    <row r="28" spans="1:10" s="73" customFormat="1" ht="13.8">
      <c r="A28" s="76">
        <v>25</v>
      </c>
      <c r="B28" s="146"/>
      <c r="C28" s="103"/>
      <c r="D28" s="104"/>
      <c r="E28" s="105"/>
      <c r="F28" s="106">
        <f t="shared" si="0"/>
        <v>0</v>
      </c>
      <c r="G28" s="107"/>
      <c r="H28" s="76"/>
      <c r="I28" s="76"/>
      <c r="J28" s="76"/>
    </row>
    <row r="29" spans="1:10" s="73" customFormat="1" ht="13.8">
      <c r="A29" s="76">
        <v>26</v>
      </c>
      <c r="B29" s="146"/>
      <c r="C29" s="103"/>
      <c r="D29" s="104"/>
      <c r="E29" s="105"/>
      <c r="F29" s="106">
        <f t="shared" si="0"/>
        <v>0</v>
      </c>
      <c r="G29" s="107"/>
      <c r="H29" s="76"/>
      <c r="I29" s="76"/>
      <c r="J29" s="76"/>
    </row>
    <row r="30" spans="1:10" s="73" customFormat="1" ht="13.8">
      <c r="A30" s="76">
        <v>27</v>
      </c>
      <c r="B30" s="146"/>
      <c r="C30" s="103"/>
      <c r="D30" s="104"/>
      <c r="E30" s="105"/>
      <c r="F30" s="106">
        <f t="shared" ref="F30:F58" si="1">E30*0.78</f>
        <v>0</v>
      </c>
      <c r="G30" s="107"/>
      <c r="H30" s="76"/>
      <c r="I30" s="76"/>
      <c r="J30" s="76"/>
    </row>
    <row r="31" spans="1:10" s="73" customFormat="1" ht="13.8">
      <c r="A31" s="76">
        <v>28</v>
      </c>
      <c r="B31" s="146"/>
      <c r="C31" s="103"/>
      <c r="D31" s="104"/>
      <c r="E31" s="105"/>
      <c r="F31" s="106">
        <f t="shared" si="1"/>
        <v>0</v>
      </c>
      <c r="G31" s="107"/>
      <c r="H31" s="76"/>
      <c r="I31" s="76"/>
      <c r="J31" s="76"/>
    </row>
    <row r="32" spans="1:10" s="73" customFormat="1" ht="13.8">
      <c r="A32" s="76">
        <v>29</v>
      </c>
      <c r="B32" s="146"/>
      <c r="C32" s="103"/>
      <c r="D32" s="104"/>
      <c r="E32" s="105"/>
      <c r="F32" s="106">
        <f t="shared" si="1"/>
        <v>0</v>
      </c>
      <c r="G32" s="107"/>
      <c r="H32" s="76"/>
      <c r="I32" s="76"/>
      <c r="J32" s="76"/>
    </row>
    <row r="33" spans="1:10" s="73" customFormat="1" ht="13.8">
      <c r="A33" s="76">
        <v>30</v>
      </c>
      <c r="B33" s="146"/>
      <c r="C33" s="103"/>
      <c r="D33" s="104"/>
      <c r="E33" s="105"/>
      <c r="F33" s="106">
        <f t="shared" si="1"/>
        <v>0</v>
      </c>
      <c r="G33" s="107"/>
      <c r="H33" s="76"/>
      <c r="I33" s="76"/>
      <c r="J33" s="76"/>
    </row>
    <row r="34" spans="1:10" s="73" customFormat="1" ht="13.8">
      <c r="A34" s="76">
        <v>31</v>
      </c>
      <c r="B34" s="146"/>
      <c r="C34" s="103"/>
      <c r="D34" s="104"/>
      <c r="E34" s="105"/>
      <c r="F34" s="106">
        <f t="shared" si="1"/>
        <v>0</v>
      </c>
      <c r="G34" s="107"/>
      <c r="H34" s="76"/>
      <c r="I34" s="76"/>
      <c r="J34" s="76"/>
    </row>
    <row r="35" spans="1:10" s="73" customFormat="1" ht="13.8">
      <c r="A35" s="76">
        <v>32</v>
      </c>
      <c r="B35" s="146"/>
      <c r="C35" s="103"/>
      <c r="D35" s="104"/>
      <c r="E35" s="105"/>
      <c r="F35" s="106">
        <f t="shared" si="1"/>
        <v>0</v>
      </c>
      <c r="G35" s="107"/>
      <c r="H35" s="76"/>
      <c r="I35" s="76"/>
      <c r="J35" s="76"/>
    </row>
    <row r="36" spans="1:10" s="73" customFormat="1" ht="13.8">
      <c r="A36" s="76">
        <v>33</v>
      </c>
      <c r="B36" s="146"/>
      <c r="C36" s="103"/>
      <c r="D36" s="104"/>
      <c r="E36" s="105"/>
      <c r="F36" s="106">
        <f t="shared" si="1"/>
        <v>0</v>
      </c>
      <c r="G36" s="107"/>
      <c r="H36" s="76"/>
      <c r="I36" s="76"/>
      <c r="J36" s="76"/>
    </row>
    <row r="37" spans="1:10" s="73" customFormat="1" ht="13.8">
      <c r="A37" s="76">
        <v>34</v>
      </c>
      <c r="B37" s="146"/>
      <c r="C37" s="103"/>
      <c r="D37" s="104"/>
      <c r="E37" s="105"/>
      <c r="F37" s="106">
        <f t="shared" si="1"/>
        <v>0</v>
      </c>
      <c r="G37" s="107"/>
      <c r="H37" s="76"/>
      <c r="I37" s="76"/>
      <c r="J37" s="76"/>
    </row>
    <row r="38" spans="1:10" s="73" customFormat="1" ht="13.8">
      <c r="A38" s="76">
        <v>35</v>
      </c>
      <c r="B38" s="146"/>
      <c r="C38" s="103"/>
      <c r="D38" s="104"/>
      <c r="E38" s="105"/>
      <c r="F38" s="106">
        <f t="shared" si="1"/>
        <v>0</v>
      </c>
      <c r="G38" s="107"/>
      <c r="H38" s="76"/>
      <c r="I38" s="76"/>
      <c r="J38" s="76"/>
    </row>
    <row r="39" spans="1:10" s="73" customFormat="1" ht="13.8">
      <c r="A39" s="76">
        <v>36</v>
      </c>
      <c r="B39" s="146"/>
      <c r="C39" s="103"/>
      <c r="D39" s="104"/>
      <c r="E39" s="105"/>
      <c r="F39" s="106">
        <f t="shared" si="1"/>
        <v>0</v>
      </c>
      <c r="G39" s="107"/>
      <c r="H39" s="76"/>
      <c r="I39" s="76"/>
      <c r="J39" s="76"/>
    </row>
    <row r="40" spans="1:10" s="73" customFormat="1" ht="13.8">
      <c r="A40" s="76">
        <v>37</v>
      </c>
      <c r="B40" s="146"/>
      <c r="C40" s="103"/>
      <c r="D40" s="104"/>
      <c r="E40" s="105"/>
      <c r="F40" s="106">
        <f t="shared" si="1"/>
        <v>0</v>
      </c>
      <c r="G40" s="107"/>
      <c r="H40" s="76"/>
      <c r="I40" s="76"/>
      <c r="J40" s="76"/>
    </row>
    <row r="41" spans="1:10" s="73" customFormat="1" ht="13.8">
      <c r="A41" s="76">
        <v>38</v>
      </c>
      <c r="B41" s="146"/>
      <c r="C41" s="103"/>
      <c r="D41" s="104"/>
      <c r="E41" s="105"/>
      <c r="F41" s="106">
        <f t="shared" si="1"/>
        <v>0</v>
      </c>
      <c r="G41" s="107"/>
      <c r="H41" s="76"/>
      <c r="I41" s="76"/>
      <c r="J41" s="76"/>
    </row>
    <row r="42" spans="1:10" s="73" customFormat="1" ht="13.8">
      <c r="A42" s="76">
        <v>39</v>
      </c>
      <c r="B42" s="146"/>
      <c r="C42" s="103"/>
      <c r="D42" s="104"/>
      <c r="E42" s="105"/>
      <c r="F42" s="106">
        <f t="shared" si="1"/>
        <v>0</v>
      </c>
      <c r="G42" s="107"/>
      <c r="H42" s="76"/>
      <c r="I42" s="76"/>
      <c r="J42" s="76"/>
    </row>
    <row r="43" spans="1:10" s="73" customFormat="1" ht="13.8">
      <c r="A43" s="76">
        <v>40</v>
      </c>
      <c r="B43" s="146"/>
      <c r="C43" s="103"/>
      <c r="D43" s="104"/>
      <c r="E43" s="105"/>
      <c r="F43" s="106">
        <f t="shared" si="1"/>
        <v>0</v>
      </c>
      <c r="G43" s="107"/>
      <c r="H43" s="76"/>
      <c r="I43" s="76"/>
      <c r="J43" s="76"/>
    </row>
    <row r="44" spans="1:10" s="73" customFormat="1" ht="13.8">
      <c r="A44" s="76">
        <v>41</v>
      </c>
      <c r="B44" s="146"/>
      <c r="C44" s="103"/>
      <c r="D44" s="104"/>
      <c r="E44" s="105"/>
      <c r="F44" s="106">
        <f t="shared" si="1"/>
        <v>0</v>
      </c>
      <c r="G44" s="107"/>
      <c r="H44" s="76"/>
      <c r="I44" s="76"/>
      <c r="J44" s="76"/>
    </row>
    <row r="45" spans="1:10" s="73" customFormat="1" ht="13.8">
      <c r="A45" s="76">
        <v>42</v>
      </c>
      <c r="B45" s="146"/>
      <c r="C45" s="103"/>
      <c r="D45" s="104"/>
      <c r="E45" s="105"/>
      <c r="F45" s="106">
        <f t="shared" si="1"/>
        <v>0</v>
      </c>
      <c r="G45" s="107"/>
      <c r="H45" s="76"/>
      <c r="I45" s="76"/>
      <c r="J45" s="76"/>
    </row>
    <row r="46" spans="1:10" s="73" customFormat="1" ht="13.8">
      <c r="A46" s="76">
        <v>43</v>
      </c>
      <c r="B46" s="146"/>
      <c r="C46" s="103"/>
      <c r="D46" s="104"/>
      <c r="E46" s="105"/>
      <c r="F46" s="106">
        <f t="shared" si="1"/>
        <v>0</v>
      </c>
      <c r="G46" s="107"/>
      <c r="H46" s="76"/>
      <c r="I46" s="76"/>
      <c r="J46" s="76"/>
    </row>
    <row r="47" spans="1:10" s="73" customFormat="1" ht="13.8">
      <c r="A47" s="76">
        <v>44</v>
      </c>
      <c r="B47" s="146"/>
      <c r="C47" s="103"/>
      <c r="D47" s="104"/>
      <c r="E47" s="105"/>
      <c r="F47" s="106">
        <f t="shared" si="1"/>
        <v>0</v>
      </c>
      <c r="G47" s="107"/>
      <c r="H47" s="76"/>
      <c r="I47" s="76"/>
      <c r="J47" s="76"/>
    </row>
    <row r="48" spans="1:10" s="73" customFormat="1" ht="13.8">
      <c r="A48" s="76">
        <v>45</v>
      </c>
      <c r="B48" s="146"/>
      <c r="C48" s="103"/>
      <c r="D48" s="104"/>
      <c r="E48" s="105"/>
      <c r="F48" s="106">
        <f t="shared" si="1"/>
        <v>0</v>
      </c>
      <c r="G48" s="107"/>
      <c r="H48" s="76"/>
      <c r="I48" s="76"/>
      <c r="J48" s="76"/>
    </row>
    <row r="49" spans="1:10" s="73" customFormat="1" ht="13.8">
      <c r="A49" s="76">
        <v>46</v>
      </c>
      <c r="B49" s="146"/>
      <c r="C49" s="103"/>
      <c r="D49" s="104"/>
      <c r="E49" s="105"/>
      <c r="F49" s="106">
        <f t="shared" si="1"/>
        <v>0</v>
      </c>
      <c r="G49" s="107"/>
      <c r="H49" s="76"/>
      <c r="I49" s="76"/>
      <c r="J49" s="76"/>
    </row>
    <row r="50" spans="1:10" s="73" customFormat="1" ht="13.8">
      <c r="A50" s="76">
        <v>47</v>
      </c>
      <c r="B50" s="146"/>
      <c r="C50" s="103"/>
      <c r="D50" s="104"/>
      <c r="E50" s="105"/>
      <c r="F50" s="106">
        <f t="shared" si="1"/>
        <v>0</v>
      </c>
      <c r="G50" s="107"/>
      <c r="H50" s="76"/>
      <c r="I50" s="76"/>
      <c r="J50" s="76"/>
    </row>
    <row r="51" spans="1:10" s="73" customFormat="1" ht="13.8">
      <c r="A51" s="76">
        <v>48</v>
      </c>
      <c r="B51" s="146"/>
      <c r="C51" s="103"/>
      <c r="D51" s="104"/>
      <c r="E51" s="105"/>
      <c r="F51" s="106">
        <f t="shared" si="1"/>
        <v>0</v>
      </c>
      <c r="G51" s="107"/>
      <c r="H51" s="76"/>
      <c r="I51" s="76"/>
      <c r="J51" s="76"/>
    </row>
    <row r="52" spans="1:10" s="73" customFormat="1" ht="13.8">
      <c r="A52" s="76">
        <v>49</v>
      </c>
      <c r="B52" s="146"/>
      <c r="C52" s="103"/>
      <c r="D52" s="104"/>
      <c r="E52" s="105"/>
      <c r="F52" s="106">
        <f t="shared" si="1"/>
        <v>0</v>
      </c>
      <c r="G52" s="107"/>
      <c r="H52" s="76"/>
      <c r="I52" s="76"/>
      <c r="J52" s="76"/>
    </row>
    <row r="53" spans="1:10" s="73" customFormat="1" ht="13.8">
      <c r="A53" s="76">
        <v>50</v>
      </c>
      <c r="B53" s="146"/>
      <c r="C53" s="103"/>
      <c r="D53" s="104"/>
      <c r="E53" s="105"/>
      <c r="F53" s="106">
        <f t="shared" si="1"/>
        <v>0</v>
      </c>
      <c r="G53" s="107"/>
      <c r="H53" s="76"/>
      <c r="I53" s="76"/>
      <c r="J53" s="76"/>
    </row>
    <row r="54" spans="1:10" s="73" customFormat="1" ht="13.8">
      <c r="A54" s="76">
        <v>51</v>
      </c>
      <c r="B54" s="146"/>
      <c r="C54" s="103"/>
      <c r="D54" s="104"/>
      <c r="E54" s="105"/>
      <c r="F54" s="106">
        <f t="shared" si="1"/>
        <v>0</v>
      </c>
      <c r="G54" s="107"/>
      <c r="H54" s="76"/>
      <c r="I54" s="76"/>
      <c r="J54" s="76"/>
    </row>
    <row r="55" spans="1:10" s="73" customFormat="1" ht="13.8">
      <c r="A55" s="76">
        <v>52</v>
      </c>
      <c r="B55" s="146"/>
      <c r="C55" s="103"/>
      <c r="D55" s="104"/>
      <c r="E55" s="105"/>
      <c r="F55" s="106">
        <f t="shared" si="1"/>
        <v>0</v>
      </c>
      <c r="G55" s="107"/>
      <c r="H55" s="76"/>
      <c r="I55" s="76"/>
      <c r="J55" s="76"/>
    </row>
    <row r="56" spans="1:10" s="73" customFormat="1" ht="13.8">
      <c r="A56" s="76">
        <v>53</v>
      </c>
      <c r="B56" s="146"/>
      <c r="C56" s="103"/>
      <c r="D56" s="104"/>
      <c r="E56" s="105"/>
      <c r="F56" s="106">
        <f t="shared" si="1"/>
        <v>0</v>
      </c>
      <c r="G56" s="107"/>
      <c r="H56" s="76"/>
      <c r="I56" s="76"/>
      <c r="J56" s="76"/>
    </row>
    <row r="57" spans="1:10" s="73" customFormat="1" ht="13.8">
      <c r="A57" s="76">
        <v>54</v>
      </c>
      <c r="B57" s="146"/>
      <c r="C57" s="103"/>
      <c r="D57" s="104"/>
      <c r="E57" s="105"/>
      <c r="F57" s="106">
        <f t="shared" si="1"/>
        <v>0</v>
      </c>
      <c r="G57" s="107"/>
      <c r="H57" s="76"/>
      <c r="I57" s="76"/>
      <c r="J57" s="76"/>
    </row>
    <row r="58" spans="1:10" s="73" customFormat="1" ht="13.8">
      <c r="A58" s="76">
        <v>55</v>
      </c>
      <c r="B58" s="146"/>
      <c r="C58" s="103"/>
      <c r="D58" s="237"/>
      <c r="E58" s="105"/>
      <c r="F58" s="106">
        <f t="shared" si="1"/>
        <v>0</v>
      </c>
      <c r="G58" s="107"/>
      <c r="H58" s="76"/>
      <c r="I58" s="76"/>
      <c r="J58" s="76"/>
    </row>
    <row r="59" spans="1:10">
      <c r="E59"/>
      <c r="F59"/>
    </row>
    <row r="60" spans="1:10">
      <c r="E60"/>
      <c r="F60"/>
    </row>
    <row r="61" spans="1:10">
      <c r="E61"/>
      <c r="F61"/>
    </row>
    <row r="62" spans="1:10">
      <c r="E62"/>
      <c r="F62"/>
    </row>
    <row r="63" spans="1:10">
      <c r="E63"/>
      <c r="F63"/>
    </row>
    <row r="64" spans="1:10">
      <c r="E64"/>
      <c r="F64"/>
    </row>
    <row r="65" spans="5:6">
      <c r="E65"/>
      <c r="F65"/>
    </row>
    <row r="66" spans="5:6">
      <c r="E66"/>
      <c r="F66"/>
    </row>
    <row r="67" spans="5:6">
      <c r="E67"/>
      <c r="F67"/>
    </row>
    <row r="68" spans="5:6">
      <c r="E68"/>
      <c r="F68"/>
    </row>
    <row r="69" spans="5:6">
      <c r="E69"/>
      <c r="F69"/>
    </row>
    <row r="70" spans="5:6">
      <c r="E70"/>
      <c r="F70"/>
    </row>
    <row r="71" spans="5:6">
      <c r="E71"/>
      <c r="F71"/>
    </row>
    <row r="72" spans="5:6">
      <c r="E72"/>
      <c r="F72"/>
    </row>
    <row r="73" spans="5:6">
      <c r="E73"/>
      <c r="F73"/>
    </row>
    <row r="74" spans="5:6">
      <c r="E74"/>
      <c r="F74"/>
    </row>
    <row r="75" spans="5:6">
      <c r="E75"/>
      <c r="F75"/>
    </row>
    <row r="76" spans="5:6">
      <c r="E76"/>
      <c r="F76"/>
    </row>
    <row r="77" spans="5:6">
      <c r="E77"/>
      <c r="F77"/>
    </row>
    <row r="78" spans="5:6">
      <c r="E78"/>
      <c r="F78"/>
    </row>
    <row r="79" spans="5:6">
      <c r="E79"/>
      <c r="F79"/>
    </row>
    <row r="80" spans="5:6">
      <c r="E80"/>
      <c r="F80"/>
    </row>
    <row r="81" spans="5:6">
      <c r="E81"/>
      <c r="F81"/>
    </row>
    <row r="82" spans="5:6">
      <c r="E82"/>
      <c r="F82"/>
    </row>
    <row r="83" spans="5:6">
      <c r="E83"/>
      <c r="F83"/>
    </row>
    <row r="84" spans="5:6">
      <c r="E84"/>
      <c r="F84"/>
    </row>
    <row r="85" spans="5:6">
      <c r="E85"/>
      <c r="F85"/>
    </row>
    <row r="86" spans="5:6">
      <c r="E86"/>
      <c r="F86"/>
    </row>
    <row r="87" spans="5:6">
      <c r="E87"/>
      <c r="F87"/>
    </row>
    <row r="88" spans="5:6">
      <c r="E88"/>
      <c r="F88"/>
    </row>
    <row r="89" spans="5:6">
      <c r="E89"/>
      <c r="F89"/>
    </row>
    <row r="90" spans="5:6">
      <c r="E90"/>
      <c r="F90"/>
    </row>
    <row r="91" spans="5:6">
      <c r="E91"/>
      <c r="F91"/>
    </row>
    <row r="92" spans="5:6">
      <c r="E92"/>
      <c r="F92"/>
    </row>
    <row r="93" spans="5:6">
      <c r="E93"/>
      <c r="F93"/>
    </row>
    <row r="94" spans="5:6">
      <c r="E94"/>
      <c r="F94"/>
    </row>
    <row r="95" spans="5:6">
      <c r="E95"/>
      <c r="F95"/>
    </row>
    <row r="96" spans="5:6">
      <c r="E96"/>
      <c r="F96"/>
    </row>
    <row r="97" spans="5:6">
      <c r="E97"/>
      <c r="F97"/>
    </row>
    <row r="98" spans="5:6">
      <c r="E98"/>
      <c r="F98"/>
    </row>
    <row r="99" spans="5:6">
      <c r="E99"/>
      <c r="F99"/>
    </row>
    <row r="100" spans="5:6">
      <c r="E100"/>
      <c r="F100"/>
    </row>
    <row r="101" spans="5:6">
      <c r="E101"/>
      <c r="F101"/>
    </row>
    <row r="102" spans="5:6">
      <c r="E102"/>
      <c r="F102"/>
    </row>
    <row r="103" spans="5:6">
      <c r="E103"/>
      <c r="F103"/>
    </row>
    <row r="104" spans="5:6">
      <c r="E104"/>
      <c r="F104"/>
    </row>
    <row r="105" spans="5:6">
      <c r="E105"/>
      <c r="F105"/>
    </row>
    <row r="106" spans="5:6">
      <c r="E106"/>
      <c r="F106"/>
    </row>
    <row r="107" spans="5:6">
      <c r="E107"/>
      <c r="F107"/>
    </row>
    <row r="108" spans="5:6">
      <c r="E108"/>
      <c r="F108"/>
    </row>
    <row r="109" spans="5:6">
      <c r="E109"/>
      <c r="F109"/>
    </row>
    <row r="110" spans="5:6">
      <c r="E110"/>
      <c r="F110"/>
    </row>
    <row r="111" spans="5:6">
      <c r="E111"/>
      <c r="F111"/>
    </row>
    <row r="112" spans="5:6">
      <c r="E112"/>
      <c r="F112"/>
    </row>
    <row r="113" spans="1:6">
      <c r="E113"/>
      <c r="F113"/>
    </row>
    <row r="114" spans="1:6">
      <c r="E114"/>
      <c r="F114"/>
    </row>
    <row r="115" spans="1:6">
      <c r="E115"/>
      <c r="F115"/>
    </row>
    <row r="116" spans="1:6">
      <c r="E116"/>
      <c r="F116"/>
    </row>
    <row r="117" spans="1:6">
      <c r="E117"/>
      <c r="F117"/>
    </row>
    <row r="118" spans="1:6">
      <c r="E118"/>
      <c r="F118"/>
    </row>
    <row r="119" spans="1:6">
      <c r="E119"/>
      <c r="F119"/>
    </row>
    <row r="120" spans="1:6">
      <c r="E120"/>
      <c r="F120"/>
    </row>
    <row r="121" spans="1:6">
      <c r="E121"/>
      <c r="F121"/>
    </row>
    <row r="122" spans="1:6">
      <c r="E122"/>
      <c r="F122"/>
    </row>
    <row r="123" spans="1:6">
      <c r="A123" s="100"/>
      <c r="E123"/>
      <c r="F123"/>
    </row>
    <row r="124" spans="1:6">
      <c r="A124" s="100"/>
      <c r="E124"/>
      <c r="F124"/>
    </row>
    <row r="125" spans="1:6">
      <c r="A125" s="100"/>
      <c r="B125" s="100"/>
      <c r="C125" s="100"/>
      <c r="D125" s="100"/>
      <c r="E125"/>
      <c r="F125"/>
    </row>
  </sheetData>
  <autoFilter ref="A3:J58" xr:uid="{CB7DB5AE-35BD-40A0-96CD-8366B3EC638F}">
    <sortState xmlns:xlrd2="http://schemas.microsoft.com/office/spreadsheetml/2017/richdata2" ref="A3:J3">
      <sortCondition sortBy="cellColor" ref="B3" dxfId="16094"/>
    </sortState>
  </autoFilter>
  <mergeCells count="2">
    <mergeCell ref="A1:J1"/>
    <mergeCell ref="A2:J2"/>
  </mergeCells>
  <conditionalFormatting sqref="B1:B58">
    <cfRule type="duplicateValues" dxfId="12954" priority="249148"/>
    <cfRule type="duplicateValues" dxfId="12953" priority="249149"/>
    <cfRule type="duplicateValues" dxfId="12952" priority="249150"/>
    <cfRule type="duplicateValues" dxfId="12951" priority="249151"/>
    <cfRule type="duplicateValues" dxfId="12950" priority="249152"/>
    <cfRule type="duplicateValues" dxfId="12949" priority="249153"/>
    <cfRule type="duplicateValues" dxfId="12948" priority="249154"/>
    <cfRule type="duplicateValues" dxfId="12947" priority="249155"/>
    <cfRule type="duplicateValues" dxfId="12946" priority="249156"/>
    <cfRule type="duplicateValues" dxfId="12945" priority="249157"/>
    <cfRule type="duplicateValues" dxfId="12944" priority="249158"/>
    <cfRule type="duplicateValues" dxfId="12943" priority="249159"/>
  </conditionalFormatting>
  <conditionalFormatting sqref="B1:B1048576">
    <cfRule type="duplicateValues" dxfId="12942" priority="1"/>
  </conditionalFormatting>
  <conditionalFormatting sqref="B122:B1048576 B1:B58">
    <cfRule type="duplicateValues" dxfId="12941" priority="50"/>
  </conditionalFormatting>
  <conditionalFormatting sqref="B124:B1048576 B1:B58">
    <cfRule type="duplicateValues" dxfId="12940" priority="52"/>
  </conditionalFormatting>
  <conditionalFormatting sqref="B126:B1048576 B1:B58">
    <cfRule type="duplicateValues" dxfId="12939" priority="58"/>
    <cfRule type="duplicateValues" dxfId="12938" priority="80068"/>
    <cfRule type="duplicateValues" dxfId="12937" priority="80069"/>
    <cfRule type="duplicateValues" dxfId="12936" priority="80070"/>
    <cfRule type="duplicateValues" dxfId="12935" priority="80071"/>
    <cfRule type="duplicateValues" dxfId="12934" priority="80072"/>
    <cfRule type="duplicateValues" dxfId="12933" priority="80073"/>
    <cfRule type="duplicateValues" dxfId="12932" priority="80074"/>
    <cfRule type="duplicateValues" dxfId="12931" priority="80075"/>
    <cfRule type="duplicateValues" dxfId="12930" priority="80076"/>
    <cfRule type="duplicateValues" dxfId="12929" priority="80077"/>
    <cfRule type="duplicateValues" dxfId="12928" priority="80078"/>
    <cfRule type="duplicateValues" dxfId="12927" priority="80079"/>
    <cfRule type="duplicateValues" dxfId="12926" priority="80080"/>
    <cfRule type="duplicateValues" dxfId="12925" priority="80081"/>
    <cfRule type="duplicateValues" dxfId="12924" priority="80082"/>
    <cfRule type="duplicateValues" dxfId="12923" priority="80083"/>
    <cfRule type="duplicateValues" dxfId="12922" priority="80084"/>
    <cfRule type="duplicateValues" dxfId="12921" priority="80085"/>
    <cfRule type="duplicateValues" dxfId="12920" priority="80086"/>
    <cfRule type="duplicateValues" dxfId="12919" priority="80087"/>
    <cfRule type="duplicateValues" dxfId="12918" priority="80088"/>
    <cfRule type="duplicateValues" dxfId="12917" priority="80089"/>
    <cfRule type="duplicateValues" dxfId="12916" priority="80090"/>
    <cfRule type="duplicateValues" dxfId="12915" priority="80091"/>
    <cfRule type="duplicateValues" dxfId="12914" priority="80092"/>
    <cfRule type="duplicateValues" dxfId="12913" priority="80093"/>
    <cfRule type="duplicateValues" dxfId="12912" priority="80094"/>
    <cfRule type="duplicateValues" dxfId="12911" priority="80095"/>
    <cfRule type="duplicateValues" dxfId="12910" priority="80096"/>
    <cfRule type="duplicateValues" dxfId="12909" priority="80097"/>
    <cfRule type="duplicateValues" dxfId="12908" priority="80098"/>
    <cfRule type="duplicateValues" dxfId="12907" priority="80099"/>
    <cfRule type="duplicateValues" dxfId="12906" priority="80100"/>
  </conditionalFormatting>
  <conditionalFormatting sqref="B126:B1048576">
    <cfRule type="duplicateValues" dxfId="12905" priority="80134"/>
    <cfRule type="duplicateValues" dxfId="12904" priority="80135"/>
    <cfRule type="duplicateValues" dxfId="12903" priority="80136"/>
    <cfRule type="duplicateValues" dxfId="12902" priority="80137"/>
    <cfRule type="duplicateValues" dxfId="12901" priority="80138"/>
    <cfRule type="duplicateValues" dxfId="12900" priority="80139"/>
    <cfRule type="duplicateValues" dxfId="12899" priority="80140"/>
    <cfRule type="duplicateValues" dxfId="12898" priority="8014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10BF-D2EC-459A-A842-EFAFCF6B630B}">
  <dimension ref="A1:K129"/>
  <sheetViews>
    <sheetView topLeftCell="C1" zoomScaleNormal="100" workbookViewId="0">
      <selection activeCell="H4" sqref="H4:K27"/>
    </sheetView>
  </sheetViews>
  <sheetFormatPr defaultColWidth="8.88671875" defaultRowHeight="14.4"/>
  <cols>
    <col min="1" max="1" width="6.33203125" style="33" customWidth="1"/>
    <col min="2" max="2" width="13.44140625" style="33" bestFit="1" customWidth="1"/>
    <col min="3" max="3" width="6.33203125" style="33" customWidth="1"/>
    <col min="4" max="4" width="13.21875" style="33" bestFit="1" customWidth="1"/>
    <col min="5" max="6" width="12.6640625" style="34" bestFit="1" customWidth="1"/>
    <col min="7" max="7" width="13.88671875" style="34" bestFit="1" customWidth="1"/>
    <col min="8" max="10" width="11.6640625" style="162" customWidth="1"/>
    <col min="11" max="11" width="94.44140625" style="33" bestFit="1" customWidth="1"/>
    <col min="12" max="16384" width="8.88671875" style="33"/>
  </cols>
  <sheetData>
    <row r="1" spans="1:11" ht="25.8">
      <c r="A1" s="274" t="s">
        <v>49</v>
      </c>
      <c r="B1" s="274"/>
      <c r="C1" s="274"/>
      <c r="D1" s="274"/>
      <c r="E1" s="295"/>
      <c r="F1" s="295"/>
      <c r="G1" s="295"/>
      <c r="H1" s="274"/>
      <c r="I1" s="274"/>
      <c r="J1" s="274"/>
      <c r="K1" s="274"/>
    </row>
    <row r="2" spans="1:11">
      <c r="A2" s="296" t="s">
        <v>38</v>
      </c>
      <c r="B2" s="296"/>
      <c r="C2" s="296"/>
      <c r="D2" s="296"/>
      <c r="E2" s="297"/>
      <c r="F2" s="297"/>
      <c r="G2" s="297"/>
      <c r="H2" s="296"/>
      <c r="I2" s="296"/>
      <c r="J2" s="296"/>
      <c r="K2" s="296"/>
    </row>
    <row r="3" spans="1:11">
      <c r="A3" s="159" t="s">
        <v>22</v>
      </c>
      <c r="B3" s="160" t="s">
        <v>13</v>
      </c>
      <c r="C3" s="160" t="s">
        <v>26</v>
      </c>
      <c r="D3" s="160" t="s">
        <v>14</v>
      </c>
      <c r="E3" s="161" t="s">
        <v>28</v>
      </c>
      <c r="F3" s="161" t="s">
        <v>29</v>
      </c>
      <c r="G3" s="161" t="s">
        <v>43</v>
      </c>
      <c r="H3" s="161" t="s">
        <v>0</v>
      </c>
      <c r="I3" s="161" t="s">
        <v>1</v>
      </c>
      <c r="J3" s="161" t="s">
        <v>2</v>
      </c>
      <c r="K3" s="160" t="s">
        <v>19</v>
      </c>
    </row>
    <row r="4" spans="1:11">
      <c r="A4" s="1">
        <v>1</v>
      </c>
      <c r="B4" s="13"/>
      <c r="C4" s="8"/>
      <c r="D4" s="8"/>
      <c r="E4" s="11"/>
      <c r="F4" s="10">
        <f t="shared" ref="F4:F14" si="0">E4*0.97</f>
        <v>0</v>
      </c>
      <c r="G4" s="9">
        <f t="shared" ref="G4:G14" si="1">E4*0.94</f>
        <v>0</v>
      </c>
      <c r="H4" s="72"/>
      <c r="I4" s="72"/>
      <c r="J4" s="72"/>
      <c r="K4" s="8"/>
    </row>
    <row r="5" spans="1:11">
      <c r="A5" s="1">
        <v>2</v>
      </c>
      <c r="B5" s="13"/>
      <c r="C5" s="8"/>
      <c r="D5" s="8"/>
      <c r="E5" s="11"/>
      <c r="F5" s="10">
        <f t="shared" si="0"/>
        <v>0</v>
      </c>
      <c r="G5" s="9">
        <f t="shared" si="1"/>
        <v>0</v>
      </c>
      <c r="H5" s="72"/>
      <c r="I5" s="72"/>
      <c r="J5" s="72"/>
      <c r="K5" s="8"/>
    </row>
    <row r="6" spans="1:11">
      <c r="A6" s="1">
        <v>3</v>
      </c>
      <c r="B6" s="13"/>
      <c r="C6" s="8"/>
      <c r="D6" s="8"/>
      <c r="E6" s="11"/>
      <c r="F6" s="10">
        <f t="shared" si="0"/>
        <v>0</v>
      </c>
      <c r="G6" s="9">
        <f t="shared" si="1"/>
        <v>0</v>
      </c>
      <c r="H6" s="72"/>
      <c r="I6" s="72"/>
      <c r="J6" s="72"/>
      <c r="K6" s="8"/>
    </row>
    <row r="7" spans="1:11">
      <c r="A7" s="1">
        <v>4</v>
      </c>
      <c r="B7" s="13"/>
      <c r="C7" s="8"/>
      <c r="D7" s="8"/>
      <c r="E7" s="11"/>
      <c r="F7" s="10">
        <f t="shared" si="0"/>
        <v>0</v>
      </c>
      <c r="G7" s="9">
        <f t="shared" si="1"/>
        <v>0</v>
      </c>
      <c r="H7" s="72"/>
      <c r="I7" s="72"/>
      <c r="J7" s="72"/>
      <c r="K7" s="8"/>
    </row>
    <row r="8" spans="1:11">
      <c r="A8" s="1">
        <v>5</v>
      </c>
      <c r="B8" s="13"/>
      <c r="C8" s="8"/>
      <c r="D8" s="8"/>
      <c r="E8" s="11"/>
      <c r="F8" s="10">
        <f t="shared" si="0"/>
        <v>0</v>
      </c>
      <c r="G8" s="9">
        <f t="shared" si="1"/>
        <v>0</v>
      </c>
      <c r="H8" s="72"/>
      <c r="I8" s="72"/>
      <c r="J8" s="72"/>
      <c r="K8" s="8"/>
    </row>
    <row r="9" spans="1:11">
      <c r="A9" s="1">
        <v>6</v>
      </c>
      <c r="B9" s="13"/>
      <c r="C9" s="8"/>
      <c r="D9" s="8"/>
      <c r="E9" s="11"/>
      <c r="F9" s="10">
        <f t="shared" si="0"/>
        <v>0</v>
      </c>
      <c r="G9" s="9">
        <f t="shared" si="1"/>
        <v>0</v>
      </c>
      <c r="H9" s="72"/>
      <c r="I9" s="72"/>
      <c r="J9" s="72"/>
      <c r="K9" s="8"/>
    </row>
    <row r="10" spans="1:11">
      <c r="A10" s="1">
        <v>7</v>
      </c>
      <c r="B10" s="13"/>
      <c r="C10" s="8"/>
      <c r="D10" s="8"/>
      <c r="E10" s="11"/>
      <c r="F10" s="10">
        <f t="shared" si="0"/>
        <v>0</v>
      </c>
      <c r="G10" s="9">
        <f t="shared" si="1"/>
        <v>0</v>
      </c>
      <c r="H10" s="72"/>
      <c r="I10" s="72"/>
      <c r="J10" s="72"/>
      <c r="K10" s="8"/>
    </row>
    <row r="11" spans="1:11">
      <c r="A11" s="1">
        <v>8</v>
      </c>
      <c r="B11" s="13"/>
      <c r="C11" s="8"/>
      <c r="D11" s="8"/>
      <c r="E11" s="11"/>
      <c r="F11" s="10">
        <f t="shared" si="0"/>
        <v>0</v>
      </c>
      <c r="G11" s="9">
        <f t="shared" si="1"/>
        <v>0</v>
      </c>
      <c r="H11" s="72"/>
      <c r="I11" s="72"/>
      <c r="J11" s="72"/>
      <c r="K11" s="8"/>
    </row>
    <row r="12" spans="1:11">
      <c r="A12" s="1">
        <v>9</v>
      </c>
      <c r="B12" s="13"/>
      <c r="C12" s="8"/>
      <c r="D12" s="8"/>
      <c r="E12" s="11"/>
      <c r="F12" s="10">
        <f t="shared" si="0"/>
        <v>0</v>
      </c>
      <c r="G12" s="9">
        <f t="shared" si="1"/>
        <v>0</v>
      </c>
      <c r="H12" s="72"/>
      <c r="I12" s="72"/>
      <c r="J12" s="72"/>
      <c r="K12" s="8"/>
    </row>
    <row r="13" spans="1:11">
      <c r="A13" s="1">
        <v>10</v>
      </c>
      <c r="B13" s="13"/>
      <c r="C13" s="8"/>
      <c r="D13" s="8"/>
      <c r="E13" s="11"/>
      <c r="F13" s="10">
        <f t="shared" si="0"/>
        <v>0</v>
      </c>
      <c r="G13" s="9">
        <f t="shared" si="1"/>
        <v>0</v>
      </c>
      <c r="H13" s="72"/>
      <c r="I13" s="72"/>
      <c r="J13" s="72"/>
      <c r="K13" s="8"/>
    </row>
    <row r="14" spans="1:11">
      <c r="A14" s="1">
        <v>11</v>
      </c>
      <c r="B14" s="13"/>
      <c r="C14" s="8"/>
      <c r="D14" s="8"/>
      <c r="E14" s="11"/>
      <c r="F14" s="10">
        <f t="shared" si="0"/>
        <v>0</v>
      </c>
      <c r="G14" s="9">
        <f t="shared" si="1"/>
        <v>0</v>
      </c>
      <c r="H14" s="72"/>
      <c r="I14" s="72"/>
      <c r="J14" s="72"/>
      <c r="K14" s="8"/>
    </row>
    <row r="15" spans="1:11">
      <c r="A15" s="1">
        <v>12</v>
      </c>
      <c r="B15" s="13"/>
      <c r="C15" s="8"/>
      <c r="D15" s="8"/>
      <c r="E15" s="11"/>
      <c r="F15" s="10">
        <f t="shared" ref="F15:F27" si="2">E15*0.97</f>
        <v>0</v>
      </c>
      <c r="G15" s="9">
        <f t="shared" ref="G15:G27" si="3">E15*0.94</f>
        <v>0</v>
      </c>
      <c r="H15" s="72"/>
      <c r="I15" s="72"/>
      <c r="J15" s="72"/>
      <c r="K15" s="8"/>
    </row>
    <row r="16" spans="1:11">
      <c r="A16" s="1">
        <v>13</v>
      </c>
      <c r="B16" s="13"/>
      <c r="C16" s="8"/>
      <c r="D16" s="8"/>
      <c r="E16" s="11"/>
      <c r="F16" s="10">
        <f t="shared" si="2"/>
        <v>0</v>
      </c>
      <c r="G16" s="9">
        <f t="shared" si="3"/>
        <v>0</v>
      </c>
      <c r="H16" s="72"/>
      <c r="I16" s="72"/>
      <c r="J16" s="72"/>
      <c r="K16" s="8"/>
    </row>
    <row r="17" spans="1:11">
      <c r="A17" s="1">
        <v>14</v>
      </c>
      <c r="B17" s="13"/>
      <c r="C17" s="8"/>
      <c r="D17" s="8"/>
      <c r="E17" s="11"/>
      <c r="F17" s="10">
        <f t="shared" si="2"/>
        <v>0</v>
      </c>
      <c r="G17" s="9">
        <f t="shared" si="3"/>
        <v>0</v>
      </c>
      <c r="H17" s="72"/>
      <c r="I17" s="72"/>
      <c r="J17" s="72"/>
      <c r="K17" s="8"/>
    </row>
    <row r="18" spans="1:11">
      <c r="A18" s="1">
        <v>15</v>
      </c>
      <c r="B18" s="13"/>
      <c r="C18" s="8"/>
      <c r="D18" s="8"/>
      <c r="E18" s="11"/>
      <c r="F18" s="10">
        <f t="shared" si="2"/>
        <v>0</v>
      </c>
      <c r="G18" s="9">
        <f t="shared" si="3"/>
        <v>0</v>
      </c>
      <c r="H18" s="72"/>
      <c r="I18" s="72"/>
      <c r="J18" s="72"/>
      <c r="K18" s="8"/>
    </row>
    <row r="19" spans="1:11">
      <c r="A19" s="1">
        <v>16</v>
      </c>
      <c r="B19" s="13"/>
      <c r="C19" s="8"/>
      <c r="D19" s="8"/>
      <c r="E19" s="11"/>
      <c r="F19" s="10">
        <f t="shared" si="2"/>
        <v>0</v>
      </c>
      <c r="G19" s="9">
        <f t="shared" si="3"/>
        <v>0</v>
      </c>
      <c r="H19" s="72"/>
      <c r="I19" s="72"/>
      <c r="J19" s="72"/>
      <c r="K19" s="8"/>
    </row>
    <row r="20" spans="1:11">
      <c r="A20" s="1">
        <v>17</v>
      </c>
      <c r="B20" s="13"/>
      <c r="C20" s="8"/>
      <c r="D20" s="8"/>
      <c r="E20" s="11"/>
      <c r="F20" s="10">
        <f t="shared" si="2"/>
        <v>0</v>
      </c>
      <c r="G20" s="9">
        <f t="shared" si="3"/>
        <v>0</v>
      </c>
      <c r="H20" s="72"/>
      <c r="I20" s="72"/>
      <c r="J20" s="72"/>
      <c r="K20" s="8"/>
    </row>
    <row r="21" spans="1:11">
      <c r="A21" s="1">
        <v>18</v>
      </c>
      <c r="B21" s="13"/>
      <c r="C21" s="8"/>
      <c r="D21" s="8"/>
      <c r="E21" s="11"/>
      <c r="F21" s="10">
        <f t="shared" si="2"/>
        <v>0</v>
      </c>
      <c r="G21" s="9">
        <f t="shared" si="3"/>
        <v>0</v>
      </c>
      <c r="H21" s="72"/>
      <c r="I21" s="72"/>
      <c r="J21" s="72"/>
      <c r="K21" s="8"/>
    </row>
    <row r="22" spans="1:11">
      <c r="A22" s="1">
        <v>19</v>
      </c>
      <c r="B22" s="13"/>
      <c r="C22" s="8"/>
      <c r="D22" s="8"/>
      <c r="E22" s="11"/>
      <c r="F22" s="10">
        <f t="shared" si="2"/>
        <v>0</v>
      </c>
      <c r="G22" s="9">
        <f t="shared" si="3"/>
        <v>0</v>
      </c>
      <c r="H22" s="72"/>
      <c r="I22" s="72"/>
      <c r="J22" s="72"/>
      <c r="K22" s="8"/>
    </row>
    <row r="23" spans="1:11">
      <c r="A23" s="1">
        <v>20</v>
      </c>
      <c r="B23" s="13"/>
      <c r="C23" s="8"/>
      <c r="D23" s="8"/>
      <c r="E23" s="11"/>
      <c r="F23" s="10">
        <f t="shared" si="2"/>
        <v>0</v>
      </c>
      <c r="G23" s="9">
        <f t="shared" si="3"/>
        <v>0</v>
      </c>
      <c r="H23" s="72"/>
      <c r="I23" s="72"/>
      <c r="J23" s="72"/>
      <c r="K23" s="8"/>
    </row>
    <row r="24" spans="1:11">
      <c r="A24" s="1">
        <v>21</v>
      </c>
      <c r="B24" s="13"/>
      <c r="C24" s="8"/>
      <c r="D24" s="8"/>
      <c r="E24" s="11"/>
      <c r="F24" s="10">
        <f t="shared" si="2"/>
        <v>0</v>
      </c>
      <c r="G24" s="9">
        <f t="shared" si="3"/>
        <v>0</v>
      </c>
      <c r="H24" s="72"/>
      <c r="I24" s="72"/>
      <c r="J24" s="72"/>
      <c r="K24" s="8"/>
    </row>
    <row r="25" spans="1:11">
      <c r="A25" s="1">
        <v>22</v>
      </c>
      <c r="B25" s="13"/>
      <c r="C25" s="8"/>
      <c r="D25" s="8"/>
      <c r="E25" s="11"/>
      <c r="F25" s="10">
        <f t="shared" si="2"/>
        <v>0</v>
      </c>
      <c r="G25" s="9">
        <f t="shared" si="3"/>
        <v>0</v>
      </c>
      <c r="H25" s="72"/>
      <c r="I25" s="72"/>
      <c r="J25" s="72"/>
      <c r="K25" s="8"/>
    </row>
    <row r="26" spans="1:11">
      <c r="A26" s="1">
        <v>23</v>
      </c>
      <c r="B26" s="13"/>
      <c r="C26" s="8"/>
      <c r="D26" s="8"/>
      <c r="E26" s="11"/>
      <c r="F26" s="10">
        <f t="shared" si="2"/>
        <v>0</v>
      </c>
      <c r="G26" s="9">
        <f t="shared" si="3"/>
        <v>0</v>
      </c>
      <c r="H26" s="72"/>
      <c r="I26" s="72"/>
      <c r="J26" s="72"/>
      <c r="K26" s="8"/>
    </row>
    <row r="27" spans="1:11">
      <c r="A27" s="1">
        <v>24</v>
      </c>
      <c r="B27" s="13"/>
      <c r="C27" s="8"/>
      <c r="D27" s="8"/>
      <c r="E27" s="11"/>
      <c r="F27" s="10">
        <f t="shared" si="2"/>
        <v>0</v>
      </c>
      <c r="G27" s="9">
        <f t="shared" si="3"/>
        <v>0</v>
      </c>
      <c r="H27" s="72"/>
      <c r="I27" s="72"/>
      <c r="J27" s="72"/>
      <c r="K27" s="8"/>
    </row>
    <row r="28" spans="1:11">
      <c r="E28" s="33"/>
      <c r="F28" s="33"/>
      <c r="G28" s="33"/>
    </row>
    <row r="29" spans="1:11">
      <c r="E29" s="33"/>
      <c r="F29" s="33"/>
      <c r="G29" s="33"/>
    </row>
    <row r="30" spans="1:11">
      <c r="E30" s="33"/>
      <c r="F30" s="33"/>
      <c r="G30" s="33"/>
    </row>
    <row r="31" spans="1:11">
      <c r="E31" s="33"/>
      <c r="F31" s="33"/>
      <c r="G31" s="33"/>
    </row>
    <row r="32" spans="1:11">
      <c r="E32" s="33"/>
      <c r="F32" s="33"/>
      <c r="G32" s="33"/>
    </row>
    <row r="33" spans="5:7">
      <c r="E33" s="33"/>
      <c r="F33" s="33"/>
      <c r="G33" s="33"/>
    </row>
    <row r="34" spans="5:7">
      <c r="E34" s="33"/>
      <c r="F34" s="33"/>
      <c r="G34" s="33"/>
    </row>
    <row r="35" spans="5:7">
      <c r="E35" s="33"/>
      <c r="F35" s="33"/>
      <c r="G35" s="33"/>
    </row>
    <row r="36" spans="5:7">
      <c r="E36" s="33"/>
      <c r="F36" s="33"/>
      <c r="G36" s="33"/>
    </row>
    <row r="37" spans="5:7">
      <c r="E37" s="33"/>
      <c r="F37" s="33"/>
      <c r="G37" s="33"/>
    </row>
    <row r="38" spans="5:7">
      <c r="E38" s="33"/>
      <c r="F38" s="33"/>
      <c r="G38" s="33"/>
    </row>
    <row r="39" spans="5:7">
      <c r="E39" s="33"/>
      <c r="F39" s="33"/>
      <c r="G39" s="33"/>
    </row>
    <row r="40" spans="5:7">
      <c r="E40" s="33"/>
      <c r="F40" s="33"/>
      <c r="G40" s="33"/>
    </row>
    <row r="41" spans="5:7">
      <c r="E41" s="33"/>
      <c r="F41" s="33"/>
      <c r="G41" s="33"/>
    </row>
    <row r="42" spans="5:7">
      <c r="E42" s="33"/>
      <c r="F42" s="33"/>
      <c r="G42" s="33"/>
    </row>
    <row r="43" spans="5:7">
      <c r="E43" s="33"/>
      <c r="F43" s="33"/>
      <c r="G43" s="33"/>
    </row>
    <row r="44" spans="5:7">
      <c r="E44" s="33"/>
      <c r="F44" s="33"/>
      <c r="G44" s="33"/>
    </row>
    <row r="45" spans="5:7">
      <c r="E45" s="33"/>
      <c r="F45" s="33"/>
      <c r="G45" s="33"/>
    </row>
    <row r="46" spans="5:7">
      <c r="E46" s="33"/>
      <c r="F46" s="33"/>
      <c r="G46" s="33"/>
    </row>
    <row r="47" spans="5:7">
      <c r="E47" s="33"/>
      <c r="F47" s="33"/>
      <c r="G47" s="33"/>
    </row>
    <row r="48" spans="5:7">
      <c r="E48" s="33"/>
      <c r="F48" s="33"/>
      <c r="G48" s="33"/>
    </row>
    <row r="49" spans="5:7">
      <c r="E49" s="33"/>
      <c r="F49" s="33"/>
      <c r="G49" s="33"/>
    </row>
    <row r="50" spans="5:7">
      <c r="E50" s="33"/>
      <c r="F50" s="33"/>
      <c r="G50" s="33"/>
    </row>
    <row r="51" spans="5:7">
      <c r="E51" s="33"/>
      <c r="F51" s="33"/>
      <c r="G51" s="33"/>
    </row>
    <row r="52" spans="5:7">
      <c r="E52" s="33"/>
      <c r="F52" s="33"/>
      <c r="G52" s="33"/>
    </row>
    <row r="53" spans="5:7">
      <c r="E53" s="33"/>
      <c r="F53" s="33"/>
      <c r="G53" s="33"/>
    </row>
    <row r="54" spans="5:7">
      <c r="E54" s="33"/>
      <c r="F54" s="33"/>
      <c r="G54" s="33"/>
    </row>
    <row r="55" spans="5:7">
      <c r="E55" s="33"/>
      <c r="F55" s="33"/>
      <c r="G55" s="33"/>
    </row>
    <row r="56" spans="5:7">
      <c r="E56" s="33"/>
      <c r="F56" s="33"/>
      <c r="G56" s="33"/>
    </row>
    <row r="57" spans="5:7">
      <c r="E57" s="33"/>
      <c r="F57" s="33"/>
      <c r="G57" s="33"/>
    </row>
    <row r="58" spans="5:7">
      <c r="E58" s="33"/>
      <c r="F58" s="33"/>
      <c r="G58" s="33"/>
    </row>
    <row r="59" spans="5:7">
      <c r="E59" s="33"/>
      <c r="F59" s="33"/>
      <c r="G59" s="33"/>
    </row>
    <row r="60" spans="5:7">
      <c r="E60" s="33"/>
      <c r="F60" s="33"/>
      <c r="G60" s="33"/>
    </row>
    <row r="61" spans="5:7">
      <c r="E61" s="33"/>
      <c r="F61" s="33"/>
      <c r="G61" s="33"/>
    </row>
    <row r="62" spans="5:7">
      <c r="E62" s="33"/>
      <c r="F62" s="33"/>
      <c r="G62" s="33"/>
    </row>
    <row r="63" spans="5:7">
      <c r="E63" s="33"/>
      <c r="F63" s="33"/>
      <c r="G63" s="33"/>
    </row>
    <row r="64" spans="5:7">
      <c r="E64" s="33"/>
      <c r="F64" s="33"/>
      <c r="G64" s="33"/>
    </row>
    <row r="65" spans="5:7">
      <c r="E65" s="33"/>
      <c r="F65" s="33"/>
      <c r="G65" s="33"/>
    </row>
    <row r="66" spans="5:7">
      <c r="E66" s="33"/>
      <c r="F66" s="33"/>
      <c r="G66" s="33"/>
    </row>
    <row r="67" spans="5:7">
      <c r="E67" s="33"/>
      <c r="F67" s="33"/>
      <c r="G67" s="33"/>
    </row>
    <row r="68" spans="5:7">
      <c r="E68" s="33"/>
      <c r="F68" s="33"/>
      <c r="G68" s="33"/>
    </row>
    <row r="69" spans="5:7">
      <c r="E69" s="33"/>
      <c r="F69" s="33"/>
      <c r="G69" s="33"/>
    </row>
    <row r="70" spans="5:7">
      <c r="E70" s="33"/>
      <c r="F70" s="33"/>
      <c r="G70" s="33"/>
    </row>
    <row r="71" spans="5:7">
      <c r="E71" s="33"/>
      <c r="F71" s="33"/>
      <c r="G71" s="33"/>
    </row>
    <row r="72" spans="5:7">
      <c r="E72" s="33"/>
      <c r="F72" s="33"/>
      <c r="G72" s="33"/>
    </row>
    <row r="73" spans="5:7">
      <c r="E73" s="33"/>
      <c r="F73" s="33"/>
      <c r="G73" s="33"/>
    </row>
    <row r="74" spans="5:7">
      <c r="E74" s="33"/>
      <c r="F74" s="33"/>
      <c r="G74" s="33"/>
    </row>
    <row r="75" spans="5:7">
      <c r="E75" s="33"/>
      <c r="F75" s="33"/>
      <c r="G75" s="33"/>
    </row>
    <row r="76" spans="5:7">
      <c r="E76" s="33"/>
      <c r="F76" s="33"/>
      <c r="G76" s="33"/>
    </row>
    <row r="77" spans="5:7">
      <c r="E77" s="33"/>
      <c r="F77" s="33"/>
      <c r="G77" s="33"/>
    </row>
    <row r="78" spans="5:7">
      <c r="E78" s="33"/>
      <c r="F78" s="33"/>
      <c r="G78" s="33"/>
    </row>
    <row r="79" spans="5:7">
      <c r="E79" s="33"/>
      <c r="F79" s="33"/>
      <c r="G79" s="33"/>
    </row>
    <row r="80" spans="5:7">
      <c r="E80" s="33"/>
      <c r="F80" s="33"/>
      <c r="G80" s="33"/>
    </row>
    <row r="81" spans="5:7">
      <c r="E81" s="33"/>
      <c r="F81" s="33"/>
      <c r="G81" s="33"/>
    </row>
    <row r="82" spans="5:7">
      <c r="E82" s="33"/>
      <c r="F82" s="33"/>
      <c r="G82" s="33"/>
    </row>
    <row r="83" spans="5:7">
      <c r="E83" s="33"/>
      <c r="F83" s="33"/>
      <c r="G83" s="33"/>
    </row>
    <row r="84" spans="5:7">
      <c r="E84" s="33"/>
      <c r="F84" s="33"/>
      <c r="G84" s="33"/>
    </row>
    <row r="85" spans="5:7">
      <c r="E85" s="33"/>
      <c r="F85" s="33"/>
      <c r="G85" s="33"/>
    </row>
    <row r="86" spans="5:7">
      <c r="E86" s="33"/>
      <c r="F86" s="33"/>
      <c r="G86" s="33"/>
    </row>
    <row r="87" spans="5:7">
      <c r="E87" s="33"/>
      <c r="F87" s="33"/>
      <c r="G87" s="33"/>
    </row>
    <row r="88" spans="5:7">
      <c r="E88" s="33"/>
      <c r="F88" s="33"/>
      <c r="G88" s="33"/>
    </row>
    <row r="89" spans="5:7">
      <c r="E89" s="33"/>
      <c r="F89" s="33"/>
      <c r="G89" s="33"/>
    </row>
    <row r="90" spans="5:7">
      <c r="E90" s="33"/>
      <c r="F90" s="33"/>
      <c r="G90" s="33"/>
    </row>
    <row r="91" spans="5:7">
      <c r="E91" s="33"/>
      <c r="F91" s="33"/>
      <c r="G91" s="33"/>
    </row>
    <row r="92" spans="5:7">
      <c r="E92" s="33"/>
      <c r="F92" s="33"/>
      <c r="G92" s="33"/>
    </row>
    <row r="93" spans="5:7">
      <c r="E93" s="33"/>
      <c r="F93" s="33"/>
      <c r="G93" s="33"/>
    </row>
    <row r="94" spans="5:7">
      <c r="E94" s="33"/>
      <c r="F94" s="33"/>
      <c r="G94" s="33"/>
    </row>
    <row r="95" spans="5:7">
      <c r="E95" s="33"/>
      <c r="F95" s="33"/>
      <c r="G95" s="33"/>
    </row>
    <row r="96" spans="5:7">
      <c r="E96" s="33"/>
      <c r="F96" s="33"/>
      <c r="G96" s="33"/>
    </row>
    <row r="97" spans="5:7">
      <c r="E97" s="33"/>
      <c r="F97" s="33"/>
      <c r="G97" s="33"/>
    </row>
    <row r="98" spans="5:7">
      <c r="E98" s="33"/>
      <c r="F98" s="33"/>
      <c r="G98" s="33"/>
    </row>
    <row r="99" spans="5:7">
      <c r="E99" s="33"/>
      <c r="F99" s="33"/>
      <c r="G99" s="33"/>
    </row>
    <row r="100" spans="5:7">
      <c r="E100" s="33"/>
      <c r="F100" s="33"/>
      <c r="G100" s="33"/>
    </row>
    <row r="101" spans="5:7">
      <c r="E101" s="33"/>
      <c r="F101" s="33"/>
      <c r="G101" s="33"/>
    </row>
    <row r="102" spans="5:7">
      <c r="E102" s="33"/>
      <c r="F102" s="33"/>
      <c r="G102" s="33"/>
    </row>
    <row r="103" spans="5:7">
      <c r="E103" s="33"/>
      <c r="F103" s="33"/>
      <c r="G103" s="33"/>
    </row>
    <row r="104" spans="5:7">
      <c r="E104" s="33"/>
      <c r="F104" s="33"/>
      <c r="G104" s="33"/>
    </row>
    <row r="105" spans="5:7">
      <c r="E105" s="33"/>
      <c r="F105" s="33"/>
      <c r="G105" s="33"/>
    </row>
    <row r="106" spans="5:7">
      <c r="E106" s="33"/>
      <c r="F106" s="33"/>
      <c r="G106" s="33"/>
    </row>
    <row r="107" spans="5:7">
      <c r="E107" s="33"/>
      <c r="F107" s="33"/>
      <c r="G107" s="33"/>
    </row>
    <row r="108" spans="5:7">
      <c r="E108" s="33"/>
      <c r="F108" s="33"/>
      <c r="G108" s="33"/>
    </row>
    <row r="109" spans="5:7">
      <c r="E109" s="33"/>
      <c r="F109" s="33"/>
      <c r="G109" s="33"/>
    </row>
    <row r="110" spans="5:7">
      <c r="E110" s="33"/>
      <c r="F110" s="33"/>
      <c r="G110" s="33"/>
    </row>
    <row r="111" spans="5:7">
      <c r="E111" s="33"/>
      <c r="F111" s="33"/>
      <c r="G111" s="33"/>
    </row>
    <row r="112" spans="5:7">
      <c r="E112" s="33"/>
      <c r="F112" s="33"/>
      <c r="G112" s="33"/>
    </row>
    <row r="113" spans="5:7">
      <c r="E113" s="33"/>
      <c r="F113" s="33"/>
      <c r="G113" s="33"/>
    </row>
    <row r="114" spans="5:7">
      <c r="E114" s="33"/>
      <c r="F114" s="33"/>
      <c r="G114" s="33"/>
    </row>
    <row r="115" spans="5:7">
      <c r="E115" s="33"/>
      <c r="F115" s="33"/>
      <c r="G115" s="33"/>
    </row>
    <row r="116" spans="5:7">
      <c r="E116" s="33"/>
      <c r="F116" s="33"/>
      <c r="G116" s="33"/>
    </row>
    <row r="117" spans="5:7">
      <c r="E117" s="33"/>
      <c r="F117" s="33"/>
      <c r="G117" s="33"/>
    </row>
    <row r="118" spans="5:7">
      <c r="E118" s="33"/>
      <c r="F118" s="33"/>
      <c r="G118" s="33"/>
    </row>
    <row r="119" spans="5:7">
      <c r="E119" s="33"/>
      <c r="F119" s="33"/>
      <c r="G119" s="33"/>
    </row>
    <row r="120" spans="5:7">
      <c r="E120" s="33"/>
      <c r="F120" s="33"/>
      <c r="G120" s="33"/>
    </row>
    <row r="121" spans="5:7">
      <c r="E121" s="33"/>
      <c r="F121" s="33"/>
      <c r="G121" s="33"/>
    </row>
    <row r="122" spans="5:7">
      <c r="E122" s="33"/>
      <c r="F122" s="33"/>
      <c r="G122" s="33"/>
    </row>
    <row r="123" spans="5:7">
      <c r="E123" s="33"/>
      <c r="F123" s="33"/>
      <c r="G123" s="33"/>
    </row>
    <row r="124" spans="5:7">
      <c r="E124" s="33"/>
      <c r="F124" s="33"/>
      <c r="G124" s="33"/>
    </row>
    <row r="125" spans="5:7">
      <c r="E125" s="33"/>
      <c r="F125" s="33"/>
      <c r="G125" s="33"/>
    </row>
    <row r="126" spans="5:7">
      <c r="E126" s="33"/>
      <c r="F126" s="33"/>
      <c r="G126" s="33"/>
    </row>
    <row r="127" spans="5:7">
      <c r="E127" s="33"/>
      <c r="F127" s="33"/>
      <c r="G127" s="33"/>
    </row>
    <row r="128" spans="5:7">
      <c r="E128" s="33"/>
      <c r="F128" s="33"/>
      <c r="G128" s="33"/>
    </row>
    <row r="129" spans="1:7">
      <c r="A129" s="34"/>
      <c r="B129" s="34"/>
      <c r="C129" s="34"/>
      <c r="E129" s="33"/>
      <c r="F129" s="33"/>
      <c r="G129" s="33"/>
    </row>
  </sheetData>
  <mergeCells count="2">
    <mergeCell ref="A1:K1"/>
    <mergeCell ref="A2:K2"/>
  </mergeCells>
  <conditionalFormatting sqref="B1:B3">
    <cfRule type="duplicateValues" dxfId="12897" priority="176"/>
    <cfRule type="duplicateValues" dxfId="12896" priority="700"/>
    <cfRule type="duplicateValues" dxfId="12895" priority="701"/>
    <cfRule type="duplicateValues" dxfId="12894" priority="702"/>
    <cfRule type="duplicateValues" dxfId="12893" priority="703"/>
    <cfRule type="duplicateValues" dxfId="12892" priority="704"/>
    <cfRule type="duplicateValues" dxfId="12891" priority="705"/>
    <cfRule type="duplicateValues" dxfId="12890" priority="706"/>
    <cfRule type="duplicateValues" dxfId="12889" priority="707"/>
    <cfRule type="duplicateValues" dxfId="12888" priority="708"/>
    <cfRule type="duplicateValues" dxfId="12887" priority="709"/>
    <cfRule type="duplicateValues" dxfId="12886" priority="710"/>
    <cfRule type="duplicateValues" dxfId="12885" priority="711"/>
    <cfRule type="duplicateValues" dxfId="12884" priority="712"/>
    <cfRule type="duplicateValues" dxfId="12883" priority="713"/>
    <cfRule type="duplicateValues" dxfId="12882" priority="714"/>
    <cfRule type="duplicateValues" dxfId="12881" priority="715"/>
    <cfRule type="duplicateValues" dxfId="12880" priority="716"/>
    <cfRule type="duplicateValues" dxfId="12879" priority="717"/>
    <cfRule type="duplicateValues" dxfId="12878" priority="718"/>
    <cfRule type="duplicateValues" dxfId="12877" priority="719"/>
    <cfRule type="duplicateValues" dxfId="12876" priority="720"/>
    <cfRule type="duplicateValues" dxfId="12875" priority="721"/>
    <cfRule type="duplicateValues" dxfId="12874" priority="722"/>
    <cfRule type="duplicateValues" dxfId="12873" priority="723"/>
    <cfRule type="duplicateValues" dxfId="12872" priority="724"/>
    <cfRule type="duplicateValues" dxfId="12871" priority="725"/>
    <cfRule type="duplicateValues" dxfId="12870" priority="726"/>
    <cfRule type="duplicateValues" dxfId="12869" priority="727"/>
    <cfRule type="duplicateValues" dxfId="12868" priority="728"/>
    <cfRule type="duplicateValues" dxfId="12867" priority="729"/>
    <cfRule type="duplicateValues" dxfId="12866" priority="730"/>
    <cfRule type="duplicateValues" dxfId="12865" priority="731"/>
    <cfRule type="duplicateValues" dxfId="12864" priority="732"/>
    <cfRule type="duplicateValues" dxfId="12863" priority="733"/>
    <cfRule type="duplicateValues" dxfId="12862" priority="734"/>
    <cfRule type="duplicateValues" dxfId="12861" priority="735"/>
    <cfRule type="duplicateValues" dxfId="12860" priority="736"/>
    <cfRule type="duplicateValues" dxfId="12859" priority="737"/>
    <cfRule type="duplicateValues" dxfId="12858" priority="738"/>
    <cfRule type="duplicateValues" dxfId="12857" priority="739"/>
    <cfRule type="duplicateValues" dxfId="12856" priority="740"/>
    <cfRule type="duplicateValues" dxfId="12855" priority="741"/>
  </conditionalFormatting>
  <conditionalFormatting sqref="B1:B27">
    <cfRule type="timePeriod" dxfId="12854" priority="132" timePeriod="yesterday">
      <formula>FLOOR(B1,1)=TODAY()-1</formula>
    </cfRule>
  </conditionalFormatting>
  <conditionalFormatting sqref="B4">
    <cfRule type="duplicateValues" dxfId="12853" priority="435"/>
    <cfRule type="duplicateValues" dxfId="12852" priority="56858"/>
    <cfRule type="duplicateValues" dxfId="12851" priority="56859"/>
    <cfRule type="duplicateValues" dxfId="12850" priority="56860"/>
    <cfRule type="duplicateValues" dxfId="12849" priority="56861"/>
    <cfRule type="duplicateValues" dxfId="12848" priority="56862"/>
    <cfRule type="duplicateValues" dxfId="12847" priority="56863"/>
    <cfRule type="duplicateValues" dxfId="12846" priority="56864"/>
    <cfRule type="duplicateValues" dxfId="12845" priority="56865"/>
    <cfRule type="duplicateValues" dxfId="12844" priority="56866"/>
    <cfRule type="duplicateValues" dxfId="12843" priority="56867"/>
    <cfRule type="duplicateValues" dxfId="12842" priority="56868"/>
    <cfRule type="duplicateValues" dxfId="12841" priority="56869"/>
    <cfRule type="duplicateValues" dxfId="12840" priority="56870"/>
    <cfRule type="duplicateValues" dxfId="12839" priority="56871"/>
    <cfRule type="duplicateValues" dxfId="12838" priority="56872"/>
    <cfRule type="duplicateValues" dxfId="12837" priority="56873"/>
    <cfRule type="duplicateValues" dxfId="12836" priority="56874"/>
    <cfRule type="duplicateValues" dxfId="12835" priority="56875"/>
    <cfRule type="duplicateValues" dxfId="12834" priority="56876"/>
    <cfRule type="duplicateValues" dxfId="12833" priority="56877"/>
    <cfRule type="duplicateValues" dxfId="12832" priority="56878"/>
    <cfRule type="duplicateValues" dxfId="12831" priority="56879"/>
    <cfRule type="duplicateValues" dxfId="12830" priority="56880"/>
    <cfRule type="duplicateValues" dxfId="12829" priority="56881"/>
    <cfRule type="duplicateValues" dxfId="12828" priority="56882"/>
    <cfRule type="duplicateValues" dxfId="12827" priority="56883"/>
    <cfRule type="duplicateValues" dxfId="12826" priority="56884"/>
    <cfRule type="duplicateValues" dxfId="12825" priority="56885"/>
    <cfRule type="duplicateValues" dxfId="12824" priority="56886"/>
    <cfRule type="duplicateValues" dxfId="12823" priority="56887"/>
    <cfRule type="duplicateValues" dxfId="12822" priority="56888"/>
    <cfRule type="duplicateValues" dxfId="12821" priority="56889"/>
    <cfRule type="duplicateValues" dxfId="12820" priority="56890"/>
    <cfRule type="duplicateValues" dxfId="12819" priority="56891"/>
    <cfRule type="duplicateValues" dxfId="12818" priority="56892"/>
    <cfRule type="duplicateValues" dxfId="12817" priority="56893"/>
    <cfRule type="duplicateValues" dxfId="12816" priority="56894"/>
    <cfRule type="duplicateValues" dxfId="12815" priority="56895"/>
    <cfRule type="duplicateValues" dxfId="12814" priority="56896"/>
    <cfRule type="duplicateValues" dxfId="12813" priority="56897"/>
    <cfRule type="duplicateValues" dxfId="12812" priority="56898"/>
    <cfRule type="duplicateValues" dxfId="12811" priority="56899"/>
  </conditionalFormatting>
  <conditionalFormatting sqref="B4:B27">
    <cfRule type="duplicateValues" dxfId="12810" priority="224367"/>
  </conditionalFormatting>
  <conditionalFormatting sqref="B5">
    <cfRule type="duplicateValues" dxfId="12809" priority="56900"/>
    <cfRule type="duplicateValues" dxfId="12808" priority="56901"/>
    <cfRule type="duplicateValues" dxfId="12807" priority="56902"/>
    <cfRule type="duplicateValues" dxfId="12806" priority="56903"/>
    <cfRule type="duplicateValues" dxfId="12805" priority="56904"/>
    <cfRule type="duplicateValues" dxfId="12804" priority="56905"/>
    <cfRule type="duplicateValues" dxfId="12803" priority="56906"/>
    <cfRule type="duplicateValues" dxfId="12802" priority="56907"/>
    <cfRule type="duplicateValues" dxfId="12801" priority="56908"/>
    <cfRule type="duplicateValues" dxfId="12800" priority="56909"/>
    <cfRule type="duplicateValues" dxfId="12799" priority="56910"/>
    <cfRule type="duplicateValues" dxfId="12798" priority="56911"/>
    <cfRule type="duplicateValues" dxfId="12797" priority="56912"/>
    <cfRule type="duplicateValues" dxfId="12796" priority="56913"/>
    <cfRule type="duplicateValues" dxfId="12795" priority="56914"/>
    <cfRule type="duplicateValues" dxfId="12794" priority="56915"/>
    <cfRule type="duplicateValues" dxfId="12793" priority="56916"/>
    <cfRule type="duplicateValues" dxfId="12792" priority="56917"/>
    <cfRule type="duplicateValues" dxfId="12791" priority="56918"/>
    <cfRule type="duplicateValues" dxfId="12790" priority="56919"/>
    <cfRule type="duplicateValues" dxfId="12789" priority="56920"/>
    <cfRule type="duplicateValues" dxfId="12788" priority="56921"/>
    <cfRule type="duplicateValues" dxfId="12787" priority="56922"/>
    <cfRule type="duplicateValues" dxfId="12786" priority="56923"/>
    <cfRule type="duplicateValues" dxfId="12785" priority="56924"/>
    <cfRule type="duplicateValues" dxfId="12784" priority="56925"/>
    <cfRule type="duplicateValues" dxfId="12783" priority="56926"/>
    <cfRule type="duplicateValues" dxfId="12782" priority="56927"/>
    <cfRule type="duplicateValues" dxfId="12781" priority="56928"/>
    <cfRule type="duplicateValues" dxfId="12780" priority="56929"/>
    <cfRule type="duplicateValues" dxfId="12779" priority="56930"/>
    <cfRule type="duplicateValues" dxfId="12778" priority="56931"/>
    <cfRule type="duplicateValues" dxfId="12777" priority="56932"/>
    <cfRule type="duplicateValues" dxfId="12776" priority="56933"/>
    <cfRule type="duplicateValues" dxfId="12775" priority="56934"/>
    <cfRule type="duplicateValues" dxfId="12774" priority="56935"/>
    <cfRule type="duplicateValues" dxfId="12773" priority="56936"/>
    <cfRule type="duplicateValues" dxfId="12772" priority="56937"/>
    <cfRule type="duplicateValues" dxfId="12771" priority="56938"/>
    <cfRule type="duplicateValues" dxfId="12770" priority="56939"/>
    <cfRule type="duplicateValues" dxfId="12769" priority="56940"/>
    <cfRule type="duplicateValues" dxfId="12768" priority="56941"/>
    <cfRule type="duplicateValues" dxfId="12767" priority="56943"/>
  </conditionalFormatting>
  <conditionalFormatting sqref="B6:B7">
    <cfRule type="duplicateValues" dxfId="12766" priority="56665"/>
    <cfRule type="duplicateValues" dxfId="12765" priority="178381"/>
    <cfRule type="duplicateValues" dxfId="12764" priority="178382"/>
    <cfRule type="duplicateValues" dxfId="12763" priority="178383"/>
    <cfRule type="duplicateValues" dxfId="12762" priority="178384"/>
    <cfRule type="duplicateValues" dxfId="12761" priority="178385"/>
    <cfRule type="duplicateValues" dxfId="12760" priority="178386"/>
    <cfRule type="duplicateValues" dxfId="12759" priority="178387"/>
    <cfRule type="duplicateValues" dxfId="12758" priority="178388"/>
    <cfRule type="duplicateValues" dxfId="12757" priority="178389"/>
    <cfRule type="duplicateValues" dxfId="12756" priority="178390"/>
    <cfRule type="duplicateValues" dxfId="12755" priority="178391"/>
    <cfRule type="duplicateValues" dxfId="12754" priority="178392"/>
    <cfRule type="duplicateValues" dxfId="12753" priority="178393"/>
    <cfRule type="duplicateValues" dxfId="12752" priority="178394"/>
    <cfRule type="duplicateValues" dxfId="12751" priority="178395"/>
    <cfRule type="duplicateValues" dxfId="12750" priority="178396"/>
    <cfRule type="duplicateValues" dxfId="12749" priority="178397"/>
    <cfRule type="duplicateValues" dxfId="12748" priority="178398"/>
    <cfRule type="duplicateValues" dxfId="12747" priority="178399"/>
    <cfRule type="duplicateValues" dxfId="12746" priority="178400"/>
    <cfRule type="duplicateValues" dxfId="12745" priority="178401"/>
    <cfRule type="duplicateValues" dxfId="12744" priority="178402"/>
    <cfRule type="duplicateValues" dxfId="12743" priority="178403"/>
    <cfRule type="duplicateValues" dxfId="12742" priority="178404"/>
    <cfRule type="duplicateValues" dxfId="12741" priority="178405"/>
    <cfRule type="duplicateValues" dxfId="12740" priority="178406"/>
    <cfRule type="duplicateValues" dxfId="12739" priority="178407"/>
    <cfRule type="duplicateValues" dxfId="12738" priority="178408"/>
    <cfRule type="duplicateValues" dxfId="12737" priority="178409"/>
    <cfRule type="duplicateValues" dxfId="12736" priority="178410"/>
    <cfRule type="duplicateValues" dxfId="12735" priority="178411"/>
    <cfRule type="duplicateValues" dxfId="12734" priority="178412"/>
    <cfRule type="duplicateValues" dxfId="12733" priority="178413"/>
    <cfRule type="duplicateValues" dxfId="12732" priority="178414"/>
    <cfRule type="duplicateValues" dxfId="12731" priority="178415"/>
    <cfRule type="duplicateValues" dxfId="12730" priority="178416"/>
    <cfRule type="duplicateValues" dxfId="12729" priority="178417"/>
    <cfRule type="duplicateValues" dxfId="12728" priority="178418"/>
    <cfRule type="duplicateValues" dxfId="12727" priority="178419"/>
    <cfRule type="duplicateValues" dxfId="12726" priority="178420"/>
    <cfRule type="duplicateValues" dxfId="12725" priority="178421"/>
    <cfRule type="duplicateValues" dxfId="12724" priority="178422"/>
  </conditionalFormatting>
  <conditionalFormatting sqref="B8">
    <cfRule type="duplicateValues" dxfId="12723" priority="178423"/>
    <cfRule type="duplicateValues" dxfId="12722" priority="178424"/>
    <cfRule type="duplicateValues" dxfId="12721" priority="178425"/>
    <cfRule type="duplicateValues" dxfId="12720" priority="178426"/>
    <cfRule type="duplicateValues" dxfId="12719" priority="178427"/>
    <cfRule type="duplicateValues" dxfId="12718" priority="178428"/>
    <cfRule type="duplicateValues" dxfId="12717" priority="178429"/>
    <cfRule type="duplicateValues" dxfId="12716" priority="178430"/>
    <cfRule type="duplicateValues" dxfId="12715" priority="178431"/>
    <cfRule type="duplicateValues" dxfId="12714" priority="178432"/>
    <cfRule type="duplicateValues" dxfId="12713" priority="178433"/>
    <cfRule type="duplicateValues" dxfId="12712" priority="178434"/>
    <cfRule type="duplicateValues" dxfId="12711" priority="178435"/>
    <cfRule type="duplicateValues" dxfId="12710" priority="178436"/>
    <cfRule type="duplicateValues" dxfId="12709" priority="178437"/>
    <cfRule type="duplicateValues" dxfId="12708" priority="178438"/>
    <cfRule type="duplicateValues" dxfId="12707" priority="178439"/>
    <cfRule type="duplicateValues" dxfId="12706" priority="178440"/>
    <cfRule type="duplicateValues" dxfId="12705" priority="178441"/>
    <cfRule type="duplicateValues" dxfId="12704" priority="178442"/>
    <cfRule type="duplicateValues" dxfId="12703" priority="178443"/>
    <cfRule type="duplicateValues" dxfId="12702" priority="178444"/>
    <cfRule type="duplicateValues" dxfId="12701" priority="178445"/>
    <cfRule type="duplicateValues" dxfId="12700" priority="178446"/>
    <cfRule type="duplicateValues" dxfId="12699" priority="178447"/>
    <cfRule type="duplicateValues" dxfId="12698" priority="178448"/>
    <cfRule type="duplicateValues" dxfId="12697" priority="178449"/>
    <cfRule type="duplicateValues" dxfId="12696" priority="178450"/>
    <cfRule type="duplicateValues" dxfId="12695" priority="178451"/>
    <cfRule type="duplicateValues" dxfId="12694" priority="178452"/>
    <cfRule type="duplicateValues" dxfId="12693" priority="178453"/>
    <cfRule type="duplicateValues" dxfId="12692" priority="178454"/>
    <cfRule type="duplicateValues" dxfId="12691" priority="178455"/>
    <cfRule type="duplicateValues" dxfId="12690" priority="178456"/>
    <cfRule type="duplicateValues" dxfId="12689" priority="178457"/>
    <cfRule type="duplicateValues" dxfId="12688" priority="178458"/>
    <cfRule type="duplicateValues" dxfId="12687" priority="178459"/>
    <cfRule type="duplicateValues" dxfId="12686" priority="178460"/>
    <cfRule type="duplicateValues" dxfId="12685" priority="178461"/>
    <cfRule type="duplicateValues" dxfId="12684" priority="178462"/>
    <cfRule type="duplicateValues" dxfId="12683" priority="178463"/>
    <cfRule type="duplicateValues" dxfId="12682" priority="178464"/>
    <cfRule type="duplicateValues" dxfId="12681" priority="178466"/>
  </conditionalFormatting>
  <conditionalFormatting sqref="B9">
    <cfRule type="duplicateValues" dxfId="12680" priority="612"/>
    <cfRule type="duplicateValues" dxfId="12679" priority="613"/>
    <cfRule type="duplicateValues" dxfId="12678" priority="614"/>
    <cfRule type="duplicateValues" dxfId="12677" priority="615"/>
    <cfRule type="duplicateValues" dxfId="12676" priority="616"/>
    <cfRule type="duplicateValues" dxfId="12675" priority="617"/>
    <cfRule type="duplicateValues" dxfId="12674" priority="618"/>
    <cfRule type="duplicateValues" dxfId="12673" priority="619"/>
    <cfRule type="duplicateValues" dxfId="12672" priority="620"/>
    <cfRule type="duplicateValues" dxfId="12671" priority="621"/>
    <cfRule type="duplicateValues" dxfId="12670" priority="622"/>
    <cfRule type="duplicateValues" dxfId="12669" priority="623"/>
    <cfRule type="duplicateValues" dxfId="12668" priority="624"/>
    <cfRule type="duplicateValues" dxfId="12667" priority="625"/>
    <cfRule type="duplicateValues" dxfId="12666" priority="626"/>
    <cfRule type="duplicateValues" dxfId="12665" priority="627"/>
    <cfRule type="duplicateValues" dxfId="12664" priority="628"/>
    <cfRule type="duplicateValues" dxfId="12663" priority="629"/>
    <cfRule type="duplicateValues" dxfId="12662" priority="630"/>
    <cfRule type="duplicateValues" dxfId="12661" priority="631"/>
    <cfRule type="duplicateValues" dxfId="12660" priority="632"/>
    <cfRule type="duplicateValues" dxfId="12659" priority="633"/>
    <cfRule type="duplicateValues" dxfId="12658" priority="634"/>
    <cfRule type="duplicateValues" dxfId="12657" priority="635"/>
    <cfRule type="duplicateValues" dxfId="12656" priority="636"/>
    <cfRule type="duplicateValues" dxfId="12655" priority="637"/>
    <cfRule type="duplicateValues" dxfId="12654" priority="638"/>
    <cfRule type="duplicateValues" dxfId="12653" priority="639"/>
    <cfRule type="duplicateValues" dxfId="12652" priority="640"/>
    <cfRule type="duplicateValues" dxfId="12651" priority="641"/>
    <cfRule type="duplicateValues" dxfId="12650" priority="642"/>
    <cfRule type="duplicateValues" dxfId="12649" priority="643"/>
    <cfRule type="duplicateValues" dxfId="12648" priority="644"/>
    <cfRule type="duplicateValues" dxfId="12647" priority="645"/>
    <cfRule type="duplicateValues" dxfId="12646" priority="646"/>
    <cfRule type="duplicateValues" dxfId="12645" priority="647"/>
    <cfRule type="duplicateValues" dxfId="12644" priority="648"/>
    <cfRule type="duplicateValues" dxfId="12643" priority="649"/>
    <cfRule type="duplicateValues" dxfId="12642" priority="650"/>
    <cfRule type="duplicateValues" dxfId="12641" priority="651"/>
    <cfRule type="duplicateValues" dxfId="12640" priority="652"/>
    <cfRule type="duplicateValues" dxfId="12639" priority="653"/>
    <cfRule type="duplicateValues" dxfId="12638" priority="654"/>
  </conditionalFormatting>
  <conditionalFormatting sqref="B10">
    <cfRule type="duplicateValues" dxfId="12637" priority="22178"/>
    <cfRule type="duplicateValues" dxfId="12636" priority="22179"/>
    <cfRule type="duplicateValues" dxfId="12635" priority="22180"/>
    <cfRule type="duplicateValues" dxfId="12634" priority="22181"/>
    <cfRule type="duplicateValues" dxfId="12633" priority="22182"/>
    <cfRule type="duplicateValues" dxfId="12632" priority="22183"/>
    <cfRule type="duplicateValues" dxfId="12631" priority="22184"/>
    <cfRule type="duplicateValues" dxfId="12630" priority="22185"/>
    <cfRule type="duplicateValues" dxfId="12629" priority="22186"/>
    <cfRule type="duplicateValues" dxfId="12628" priority="22187"/>
    <cfRule type="duplicateValues" dxfId="12627" priority="22188"/>
    <cfRule type="duplicateValues" dxfId="12626" priority="22189"/>
    <cfRule type="duplicateValues" dxfId="12625" priority="22190"/>
    <cfRule type="duplicateValues" dxfId="12624" priority="22191"/>
    <cfRule type="duplicateValues" dxfId="12623" priority="22192"/>
    <cfRule type="duplicateValues" dxfId="12622" priority="22193"/>
    <cfRule type="duplicateValues" dxfId="12621" priority="22194"/>
    <cfRule type="duplicateValues" dxfId="12620" priority="22195"/>
    <cfRule type="duplicateValues" dxfId="12619" priority="22196"/>
    <cfRule type="duplicateValues" dxfId="12618" priority="22197"/>
    <cfRule type="duplicateValues" dxfId="12617" priority="22198"/>
    <cfRule type="duplicateValues" dxfId="12616" priority="22199"/>
    <cfRule type="duplicateValues" dxfId="12615" priority="22200"/>
    <cfRule type="duplicateValues" dxfId="12614" priority="22201"/>
    <cfRule type="duplicateValues" dxfId="12613" priority="22202"/>
    <cfRule type="duplicateValues" dxfId="12612" priority="22203"/>
    <cfRule type="duplicateValues" dxfId="12611" priority="22204"/>
    <cfRule type="duplicateValues" dxfId="12610" priority="22205"/>
    <cfRule type="duplicateValues" dxfId="12609" priority="22206"/>
    <cfRule type="duplicateValues" dxfId="12608" priority="22207"/>
    <cfRule type="duplicateValues" dxfId="12607" priority="22208"/>
    <cfRule type="duplicateValues" dxfId="12606" priority="22209"/>
    <cfRule type="duplicateValues" dxfId="12605" priority="22210"/>
    <cfRule type="duplicateValues" dxfId="12604" priority="22211"/>
    <cfRule type="duplicateValues" dxfId="12603" priority="22212"/>
    <cfRule type="duplicateValues" dxfId="12602" priority="22213"/>
    <cfRule type="duplicateValues" dxfId="12601" priority="22214"/>
    <cfRule type="duplicateValues" dxfId="12600" priority="22215"/>
    <cfRule type="duplicateValues" dxfId="12599" priority="22216"/>
    <cfRule type="duplicateValues" dxfId="12598" priority="22217"/>
    <cfRule type="duplicateValues" dxfId="12597" priority="22218"/>
    <cfRule type="duplicateValues" dxfId="12596" priority="22219"/>
    <cfRule type="duplicateValues" dxfId="12595" priority="22220"/>
  </conditionalFormatting>
  <conditionalFormatting sqref="B11">
    <cfRule type="duplicateValues" dxfId="12594" priority="73165"/>
    <cfRule type="duplicateValues" dxfId="12593" priority="73166"/>
    <cfRule type="duplicateValues" dxfId="12592" priority="73167"/>
    <cfRule type="duplicateValues" dxfId="12591" priority="73168"/>
    <cfRule type="duplicateValues" dxfId="12590" priority="73169"/>
    <cfRule type="duplicateValues" dxfId="12589" priority="73170"/>
    <cfRule type="duplicateValues" dxfId="12588" priority="73171"/>
    <cfRule type="duplicateValues" dxfId="12587" priority="73172"/>
    <cfRule type="duplicateValues" dxfId="12586" priority="73173"/>
    <cfRule type="duplicateValues" dxfId="12585" priority="73174"/>
    <cfRule type="duplicateValues" dxfId="12584" priority="73175"/>
    <cfRule type="duplicateValues" dxfId="12583" priority="73176"/>
    <cfRule type="duplicateValues" dxfId="12582" priority="73177"/>
    <cfRule type="duplicateValues" dxfId="12581" priority="73178"/>
    <cfRule type="duplicateValues" dxfId="12580" priority="73179"/>
    <cfRule type="duplicateValues" dxfId="12579" priority="73180"/>
    <cfRule type="duplicateValues" dxfId="12578" priority="73181"/>
    <cfRule type="duplicateValues" dxfId="12577" priority="73182"/>
    <cfRule type="duplicateValues" dxfId="12576" priority="73183"/>
    <cfRule type="duplicateValues" dxfId="12575" priority="73184"/>
    <cfRule type="duplicateValues" dxfId="12574" priority="73185"/>
    <cfRule type="duplicateValues" dxfId="12573" priority="73186"/>
    <cfRule type="duplicateValues" dxfId="12572" priority="73187"/>
    <cfRule type="duplicateValues" dxfId="12571" priority="73188"/>
    <cfRule type="duplicateValues" dxfId="12570" priority="73189"/>
    <cfRule type="duplicateValues" dxfId="12569" priority="73190"/>
    <cfRule type="duplicateValues" dxfId="12568" priority="73191"/>
    <cfRule type="duplicateValues" dxfId="12567" priority="73192"/>
    <cfRule type="duplicateValues" dxfId="12566" priority="73193"/>
    <cfRule type="duplicateValues" dxfId="12565" priority="73194"/>
    <cfRule type="duplicateValues" dxfId="12564" priority="73195"/>
    <cfRule type="duplicateValues" dxfId="12563" priority="73196"/>
    <cfRule type="duplicateValues" dxfId="12562" priority="73197"/>
    <cfRule type="duplicateValues" dxfId="12561" priority="73198"/>
    <cfRule type="duplicateValues" dxfId="12560" priority="73199"/>
    <cfRule type="duplicateValues" dxfId="12559" priority="73200"/>
    <cfRule type="duplicateValues" dxfId="12558" priority="73201"/>
    <cfRule type="duplicateValues" dxfId="12557" priority="73202"/>
    <cfRule type="duplicateValues" dxfId="12556" priority="73203"/>
    <cfRule type="duplicateValues" dxfId="12555" priority="73204"/>
    <cfRule type="duplicateValues" dxfId="12554" priority="73205"/>
    <cfRule type="duplicateValues" dxfId="12553" priority="73206"/>
    <cfRule type="duplicateValues" dxfId="12552" priority="73207"/>
  </conditionalFormatting>
  <conditionalFormatting sqref="B12">
    <cfRule type="duplicateValues" dxfId="12551" priority="56483"/>
    <cfRule type="duplicateValues" dxfId="12550" priority="56484"/>
    <cfRule type="duplicateValues" dxfId="12549" priority="56485"/>
    <cfRule type="duplicateValues" dxfId="12548" priority="56486"/>
    <cfRule type="duplicateValues" dxfId="12547" priority="56487"/>
    <cfRule type="duplicateValues" dxfId="12546" priority="56488"/>
    <cfRule type="duplicateValues" dxfId="12545" priority="56489"/>
    <cfRule type="duplicateValues" dxfId="12544" priority="56490"/>
    <cfRule type="duplicateValues" dxfId="12543" priority="56491"/>
    <cfRule type="duplicateValues" dxfId="12542" priority="56492"/>
    <cfRule type="duplicateValues" dxfId="12541" priority="56493"/>
    <cfRule type="duplicateValues" dxfId="12540" priority="56494"/>
    <cfRule type="duplicateValues" dxfId="12539" priority="56495"/>
    <cfRule type="duplicateValues" dxfId="12538" priority="56496"/>
    <cfRule type="duplicateValues" dxfId="12537" priority="56497"/>
    <cfRule type="duplicateValues" dxfId="12536" priority="56498"/>
    <cfRule type="duplicateValues" dxfId="12535" priority="56499"/>
    <cfRule type="duplicateValues" dxfId="12534" priority="56500"/>
    <cfRule type="duplicateValues" dxfId="12533" priority="56501"/>
    <cfRule type="duplicateValues" dxfId="12532" priority="56502"/>
    <cfRule type="duplicateValues" dxfId="12531" priority="56503"/>
    <cfRule type="duplicateValues" dxfId="12530" priority="56504"/>
    <cfRule type="duplicateValues" dxfId="12529" priority="56505"/>
    <cfRule type="duplicateValues" dxfId="12528" priority="56506"/>
    <cfRule type="duplicateValues" dxfId="12527" priority="56507"/>
    <cfRule type="duplicateValues" dxfId="12526" priority="56508"/>
    <cfRule type="duplicateValues" dxfId="12525" priority="56509"/>
    <cfRule type="duplicateValues" dxfId="12524" priority="56510"/>
    <cfRule type="duplicateValues" dxfId="12523" priority="56511"/>
    <cfRule type="duplicateValues" dxfId="12522" priority="56512"/>
    <cfRule type="duplicateValues" dxfId="12521" priority="56513"/>
    <cfRule type="duplicateValues" dxfId="12520" priority="56514"/>
    <cfRule type="duplicateValues" dxfId="12519" priority="56515"/>
    <cfRule type="duplicateValues" dxfId="12518" priority="56516"/>
    <cfRule type="duplicateValues" dxfId="12517" priority="56517"/>
    <cfRule type="duplicateValues" dxfId="12516" priority="56518"/>
    <cfRule type="duplicateValues" dxfId="12515" priority="56519"/>
    <cfRule type="duplicateValues" dxfId="12514" priority="56520"/>
    <cfRule type="duplicateValues" dxfId="12513" priority="56521"/>
    <cfRule type="duplicateValues" dxfId="12512" priority="56522"/>
    <cfRule type="duplicateValues" dxfId="12511" priority="56523"/>
    <cfRule type="duplicateValues" dxfId="12510" priority="56524"/>
    <cfRule type="duplicateValues" dxfId="12509" priority="56526"/>
  </conditionalFormatting>
  <conditionalFormatting sqref="B13:B14">
    <cfRule type="duplicateValues" dxfId="12508" priority="913"/>
    <cfRule type="duplicateValues" dxfId="12507" priority="914"/>
    <cfRule type="duplicateValues" dxfId="12506" priority="915"/>
    <cfRule type="duplicateValues" dxfId="12505" priority="916"/>
    <cfRule type="duplicateValues" dxfId="12504" priority="917"/>
    <cfRule type="duplicateValues" dxfId="12503" priority="918"/>
    <cfRule type="duplicateValues" dxfId="12502" priority="919"/>
    <cfRule type="duplicateValues" dxfId="12501" priority="920"/>
    <cfRule type="duplicateValues" dxfId="12500" priority="921"/>
    <cfRule type="duplicateValues" dxfId="12499" priority="922"/>
    <cfRule type="duplicateValues" dxfId="12498" priority="923"/>
    <cfRule type="duplicateValues" dxfId="12497" priority="924"/>
    <cfRule type="duplicateValues" dxfId="12496" priority="925"/>
    <cfRule type="duplicateValues" dxfId="12495" priority="926"/>
    <cfRule type="duplicateValues" dxfId="12494" priority="927"/>
    <cfRule type="duplicateValues" dxfId="12493" priority="928"/>
    <cfRule type="duplicateValues" dxfId="12492" priority="929"/>
    <cfRule type="duplicateValues" dxfId="12491" priority="930"/>
    <cfRule type="duplicateValues" dxfId="12490" priority="931"/>
    <cfRule type="duplicateValues" dxfId="12489" priority="932"/>
    <cfRule type="duplicateValues" dxfId="12488" priority="933"/>
    <cfRule type="duplicateValues" dxfId="12487" priority="934"/>
    <cfRule type="duplicateValues" dxfId="12486" priority="935"/>
    <cfRule type="duplicateValues" dxfId="12485" priority="936"/>
    <cfRule type="duplicateValues" dxfId="12484" priority="937"/>
    <cfRule type="duplicateValues" dxfId="12483" priority="938"/>
    <cfRule type="duplicateValues" dxfId="12482" priority="939"/>
    <cfRule type="duplicateValues" dxfId="12481" priority="940"/>
    <cfRule type="duplicateValues" dxfId="12480" priority="941"/>
    <cfRule type="duplicateValues" dxfId="12479" priority="942"/>
    <cfRule type="duplicateValues" dxfId="12478" priority="943"/>
    <cfRule type="duplicateValues" dxfId="12477" priority="944"/>
    <cfRule type="duplicateValues" dxfId="12476" priority="945"/>
    <cfRule type="duplicateValues" dxfId="12475" priority="946"/>
    <cfRule type="duplicateValues" dxfId="12474" priority="947"/>
    <cfRule type="duplicateValues" dxfId="12473" priority="948"/>
    <cfRule type="duplicateValues" dxfId="12472" priority="949"/>
    <cfRule type="duplicateValues" dxfId="12471" priority="950"/>
    <cfRule type="duplicateValues" dxfId="12470" priority="951"/>
    <cfRule type="duplicateValues" dxfId="12469" priority="952"/>
    <cfRule type="duplicateValues" dxfId="12468" priority="953"/>
    <cfRule type="duplicateValues" dxfId="12467" priority="954"/>
    <cfRule type="duplicateValues" dxfId="12466" priority="955"/>
  </conditionalFormatting>
  <conditionalFormatting sqref="B15">
    <cfRule type="duplicateValues" dxfId="12465" priority="568"/>
    <cfRule type="duplicateValues" dxfId="12464" priority="828"/>
    <cfRule type="duplicateValues" dxfId="12463" priority="829"/>
    <cfRule type="duplicateValues" dxfId="12462" priority="830"/>
    <cfRule type="duplicateValues" dxfId="12461" priority="831"/>
    <cfRule type="duplicateValues" dxfId="12460" priority="832"/>
    <cfRule type="duplicateValues" dxfId="12459" priority="833"/>
    <cfRule type="duplicateValues" dxfId="12458" priority="834"/>
    <cfRule type="duplicateValues" dxfId="12457" priority="835"/>
    <cfRule type="duplicateValues" dxfId="12456" priority="836"/>
    <cfRule type="duplicateValues" dxfId="12455" priority="837"/>
    <cfRule type="duplicateValues" dxfId="12454" priority="838"/>
    <cfRule type="duplicateValues" dxfId="12453" priority="839"/>
    <cfRule type="duplicateValues" dxfId="12452" priority="840"/>
    <cfRule type="duplicateValues" dxfId="12451" priority="841"/>
    <cfRule type="duplicateValues" dxfId="12450" priority="842"/>
    <cfRule type="duplicateValues" dxfId="12449" priority="843"/>
    <cfRule type="duplicateValues" dxfId="12448" priority="844"/>
    <cfRule type="duplicateValues" dxfId="12447" priority="845"/>
    <cfRule type="duplicateValues" dxfId="12446" priority="846"/>
    <cfRule type="duplicateValues" dxfId="12445" priority="847"/>
    <cfRule type="duplicateValues" dxfId="12444" priority="848"/>
    <cfRule type="duplicateValues" dxfId="12443" priority="849"/>
    <cfRule type="duplicateValues" dxfId="12442" priority="850"/>
    <cfRule type="duplicateValues" dxfId="12441" priority="851"/>
    <cfRule type="duplicateValues" dxfId="12440" priority="852"/>
    <cfRule type="duplicateValues" dxfId="12439" priority="853"/>
    <cfRule type="duplicateValues" dxfId="12438" priority="854"/>
    <cfRule type="duplicateValues" dxfId="12437" priority="855"/>
    <cfRule type="duplicateValues" dxfId="12436" priority="856"/>
    <cfRule type="duplicateValues" dxfId="12435" priority="857"/>
    <cfRule type="duplicateValues" dxfId="12434" priority="858"/>
    <cfRule type="duplicateValues" dxfId="12433" priority="859"/>
    <cfRule type="duplicateValues" dxfId="12432" priority="860"/>
    <cfRule type="duplicateValues" dxfId="12431" priority="861"/>
    <cfRule type="duplicateValues" dxfId="12430" priority="862"/>
    <cfRule type="duplicateValues" dxfId="12429" priority="863"/>
    <cfRule type="duplicateValues" dxfId="12428" priority="864"/>
    <cfRule type="duplicateValues" dxfId="12427" priority="865"/>
    <cfRule type="duplicateValues" dxfId="12426" priority="866"/>
    <cfRule type="duplicateValues" dxfId="12425" priority="867"/>
    <cfRule type="duplicateValues" dxfId="12424" priority="868"/>
    <cfRule type="duplicateValues" dxfId="12423" priority="869"/>
  </conditionalFormatting>
  <conditionalFormatting sqref="B16">
    <cfRule type="duplicateValues" dxfId="12422" priority="870"/>
    <cfRule type="duplicateValues" dxfId="12421" priority="871"/>
    <cfRule type="duplicateValues" dxfId="12420" priority="872"/>
    <cfRule type="duplicateValues" dxfId="12419" priority="873"/>
    <cfRule type="duplicateValues" dxfId="12418" priority="874"/>
    <cfRule type="duplicateValues" dxfId="12417" priority="875"/>
    <cfRule type="duplicateValues" dxfId="12416" priority="876"/>
    <cfRule type="duplicateValues" dxfId="12415" priority="877"/>
    <cfRule type="duplicateValues" dxfId="12414" priority="878"/>
    <cfRule type="duplicateValues" dxfId="12413" priority="879"/>
    <cfRule type="duplicateValues" dxfId="12412" priority="880"/>
    <cfRule type="duplicateValues" dxfId="12411" priority="881"/>
    <cfRule type="duplicateValues" dxfId="12410" priority="882"/>
    <cfRule type="duplicateValues" dxfId="12409" priority="883"/>
    <cfRule type="duplicateValues" dxfId="12408" priority="884"/>
    <cfRule type="duplicateValues" dxfId="12407" priority="885"/>
    <cfRule type="duplicateValues" dxfId="12406" priority="886"/>
    <cfRule type="duplicateValues" dxfId="12405" priority="887"/>
    <cfRule type="duplicateValues" dxfId="12404" priority="888"/>
    <cfRule type="duplicateValues" dxfId="12403" priority="889"/>
    <cfRule type="duplicateValues" dxfId="12402" priority="890"/>
    <cfRule type="duplicateValues" dxfId="12401" priority="891"/>
    <cfRule type="duplicateValues" dxfId="12400" priority="892"/>
    <cfRule type="duplicateValues" dxfId="12399" priority="893"/>
    <cfRule type="duplicateValues" dxfId="12398" priority="894"/>
    <cfRule type="duplicateValues" dxfId="12397" priority="895"/>
    <cfRule type="duplicateValues" dxfId="12396" priority="896"/>
    <cfRule type="duplicateValues" dxfId="12395" priority="897"/>
    <cfRule type="duplicateValues" dxfId="12394" priority="898"/>
    <cfRule type="duplicateValues" dxfId="12393" priority="899"/>
    <cfRule type="duplicateValues" dxfId="12392" priority="900"/>
    <cfRule type="duplicateValues" dxfId="12391" priority="901"/>
    <cfRule type="duplicateValues" dxfId="12390" priority="902"/>
    <cfRule type="duplicateValues" dxfId="12389" priority="903"/>
    <cfRule type="duplicateValues" dxfId="12388" priority="904"/>
    <cfRule type="duplicateValues" dxfId="12387" priority="905"/>
    <cfRule type="duplicateValues" dxfId="12386" priority="906"/>
    <cfRule type="duplicateValues" dxfId="12385" priority="907"/>
    <cfRule type="duplicateValues" dxfId="12384" priority="908"/>
    <cfRule type="duplicateValues" dxfId="12383" priority="909"/>
    <cfRule type="duplicateValues" dxfId="12382" priority="910"/>
    <cfRule type="duplicateValues" dxfId="12381" priority="911"/>
    <cfRule type="duplicateValues" dxfId="12380" priority="912"/>
  </conditionalFormatting>
  <conditionalFormatting sqref="B17">
    <cfRule type="duplicateValues" dxfId="12379" priority="56302"/>
    <cfRule type="duplicateValues" dxfId="12378" priority="56303"/>
    <cfRule type="duplicateValues" dxfId="12377" priority="56304"/>
    <cfRule type="duplicateValues" dxfId="12376" priority="56305"/>
    <cfRule type="duplicateValues" dxfId="12375" priority="56306"/>
    <cfRule type="duplicateValues" dxfId="12374" priority="56307"/>
    <cfRule type="duplicateValues" dxfId="12373" priority="56308"/>
    <cfRule type="duplicateValues" dxfId="12372" priority="56309"/>
    <cfRule type="duplicateValues" dxfId="12371" priority="56310"/>
    <cfRule type="duplicateValues" dxfId="12370" priority="56311"/>
    <cfRule type="duplicateValues" dxfId="12369" priority="56312"/>
    <cfRule type="duplicateValues" dxfId="12368" priority="56313"/>
    <cfRule type="duplicateValues" dxfId="12367" priority="56314"/>
    <cfRule type="duplicateValues" dxfId="12366" priority="56315"/>
    <cfRule type="duplicateValues" dxfId="12365" priority="56316"/>
    <cfRule type="duplicateValues" dxfId="12364" priority="56317"/>
    <cfRule type="duplicateValues" dxfId="12363" priority="56318"/>
    <cfRule type="duplicateValues" dxfId="12362" priority="56319"/>
    <cfRule type="duplicateValues" dxfId="12361" priority="56320"/>
    <cfRule type="duplicateValues" dxfId="12360" priority="56321"/>
    <cfRule type="duplicateValues" dxfId="12359" priority="56322"/>
    <cfRule type="duplicateValues" dxfId="12358" priority="56323"/>
    <cfRule type="duplicateValues" dxfId="12357" priority="56324"/>
    <cfRule type="duplicateValues" dxfId="12356" priority="56325"/>
    <cfRule type="duplicateValues" dxfId="12355" priority="56326"/>
    <cfRule type="duplicateValues" dxfId="12354" priority="56327"/>
    <cfRule type="duplicateValues" dxfId="12353" priority="56328"/>
    <cfRule type="duplicateValues" dxfId="12352" priority="56329"/>
    <cfRule type="duplicateValues" dxfId="12351" priority="56330"/>
    <cfRule type="duplicateValues" dxfId="12350" priority="56331"/>
    <cfRule type="duplicateValues" dxfId="12349" priority="56332"/>
    <cfRule type="duplicateValues" dxfId="12348" priority="56333"/>
    <cfRule type="duplicateValues" dxfId="12347" priority="56334"/>
    <cfRule type="duplicateValues" dxfId="12346" priority="56335"/>
    <cfRule type="duplicateValues" dxfId="12345" priority="56336"/>
    <cfRule type="duplicateValues" dxfId="12344" priority="56337"/>
    <cfRule type="duplicateValues" dxfId="12343" priority="56338"/>
    <cfRule type="duplicateValues" dxfId="12342" priority="56339"/>
    <cfRule type="duplicateValues" dxfId="12341" priority="56340"/>
    <cfRule type="duplicateValues" dxfId="12340" priority="56341"/>
    <cfRule type="duplicateValues" dxfId="12339" priority="56342"/>
    <cfRule type="duplicateValues" dxfId="12338" priority="56343"/>
    <cfRule type="duplicateValues" dxfId="12337" priority="56344"/>
  </conditionalFormatting>
  <conditionalFormatting sqref="B18">
    <cfRule type="duplicateValues" dxfId="12336" priority="567"/>
    <cfRule type="duplicateValues" dxfId="12335" priority="1832"/>
    <cfRule type="duplicateValues" dxfId="12334" priority="1833"/>
    <cfRule type="duplicateValues" dxfId="12333" priority="1834"/>
    <cfRule type="duplicateValues" dxfId="12332" priority="1835"/>
    <cfRule type="duplicateValues" dxfId="12331" priority="1836"/>
    <cfRule type="duplicateValues" dxfId="12330" priority="1837"/>
    <cfRule type="duplicateValues" dxfId="12329" priority="1838"/>
    <cfRule type="duplicateValues" dxfId="12328" priority="1839"/>
    <cfRule type="duplicateValues" dxfId="12327" priority="1840"/>
    <cfRule type="duplicateValues" dxfId="12326" priority="1841"/>
    <cfRule type="duplicateValues" dxfId="12325" priority="1842"/>
    <cfRule type="duplicateValues" dxfId="12324" priority="1843"/>
    <cfRule type="duplicateValues" dxfId="12323" priority="1844"/>
    <cfRule type="duplicateValues" dxfId="12322" priority="1845"/>
    <cfRule type="duplicateValues" dxfId="12321" priority="1846"/>
    <cfRule type="duplicateValues" dxfId="12320" priority="1847"/>
    <cfRule type="duplicateValues" dxfId="12319" priority="1848"/>
    <cfRule type="duplicateValues" dxfId="12318" priority="1849"/>
    <cfRule type="duplicateValues" dxfId="12317" priority="1850"/>
    <cfRule type="duplicateValues" dxfId="12316" priority="1851"/>
    <cfRule type="duplicateValues" dxfId="12315" priority="1852"/>
    <cfRule type="duplicateValues" dxfId="12314" priority="1853"/>
    <cfRule type="duplicateValues" dxfId="12313" priority="1854"/>
    <cfRule type="duplicateValues" dxfId="12312" priority="1855"/>
    <cfRule type="duplicateValues" dxfId="12311" priority="1856"/>
    <cfRule type="duplicateValues" dxfId="12310" priority="1857"/>
    <cfRule type="duplicateValues" dxfId="12309" priority="1858"/>
    <cfRule type="duplicateValues" dxfId="12308" priority="1859"/>
    <cfRule type="duplicateValues" dxfId="12307" priority="1860"/>
    <cfRule type="duplicateValues" dxfId="12306" priority="1861"/>
    <cfRule type="duplicateValues" dxfId="12305" priority="1862"/>
    <cfRule type="duplicateValues" dxfId="12304" priority="1863"/>
    <cfRule type="duplicateValues" dxfId="12303" priority="1864"/>
    <cfRule type="duplicateValues" dxfId="12302" priority="1865"/>
    <cfRule type="duplicateValues" dxfId="12301" priority="1866"/>
    <cfRule type="duplicateValues" dxfId="12300" priority="1867"/>
    <cfRule type="duplicateValues" dxfId="12299" priority="1868"/>
    <cfRule type="duplicateValues" dxfId="12298" priority="1869"/>
    <cfRule type="duplicateValues" dxfId="12297" priority="1870"/>
    <cfRule type="duplicateValues" dxfId="12296" priority="1871"/>
    <cfRule type="duplicateValues" dxfId="12295" priority="1872"/>
    <cfRule type="duplicateValues" dxfId="12294" priority="1873"/>
  </conditionalFormatting>
  <conditionalFormatting sqref="B19">
    <cfRule type="duplicateValues" dxfId="12293" priority="17381"/>
    <cfRule type="duplicateValues" dxfId="12292" priority="17382"/>
    <cfRule type="duplicateValues" dxfId="12291" priority="17383"/>
    <cfRule type="duplicateValues" dxfId="12290" priority="17384"/>
    <cfRule type="duplicateValues" dxfId="12289" priority="17385"/>
    <cfRule type="duplicateValues" dxfId="12288" priority="17386"/>
    <cfRule type="duplicateValues" dxfId="12287" priority="17387"/>
    <cfRule type="duplicateValues" dxfId="12286" priority="17388"/>
    <cfRule type="duplicateValues" dxfId="12285" priority="17389"/>
    <cfRule type="duplicateValues" dxfId="12284" priority="17390"/>
    <cfRule type="duplicateValues" dxfId="12283" priority="17391"/>
    <cfRule type="duplicateValues" dxfId="12282" priority="17392"/>
    <cfRule type="duplicateValues" dxfId="12281" priority="17393"/>
    <cfRule type="duplicateValues" dxfId="12280" priority="17394"/>
    <cfRule type="duplicateValues" dxfId="12279" priority="17395"/>
    <cfRule type="duplicateValues" dxfId="12278" priority="17396"/>
    <cfRule type="duplicateValues" dxfId="12277" priority="17397"/>
    <cfRule type="duplicateValues" dxfId="12276" priority="17398"/>
    <cfRule type="duplicateValues" dxfId="12275" priority="17399"/>
    <cfRule type="duplicateValues" dxfId="12274" priority="17400"/>
    <cfRule type="duplicateValues" dxfId="12273" priority="17401"/>
    <cfRule type="duplicateValues" dxfId="12272" priority="17402"/>
    <cfRule type="duplicateValues" dxfId="12271" priority="17403"/>
    <cfRule type="duplicateValues" dxfId="12270" priority="17404"/>
    <cfRule type="duplicateValues" dxfId="12269" priority="17405"/>
    <cfRule type="duplicateValues" dxfId="12268" priority="17406"/>
    <cfRule type="duplicateValues" dxfId="12267" priority="17407"/>
    <cfRule type="duplicateValues" dxfId="12266" priority="17408"/>
    <cfRule type="duplicateValues" dxfId="12265" priority="17409"/>
    <cfRule type="duplicateValues" dxfId="12264" priority="17410"/>
    <cfRule type="duplicateValues" dxfId="12263" priority="17411"/>
    <cfRule type="duplicateValues" dxfId="12262" priority="17412"/>
    <cfRule type="duplicateValues" dxfId="12261" priority="17413"/>
    <cfRule type="duplicateValues" dxfId="12260" priority="17414"/>
    <cfRule type="duplicateValues" dxfId="12259" priority="17415"/>
    <cfRule type="duplicateValues" dxfId="12258" priority="17416"/>
    <cfRule type="duplicateValues" dxfId="12257" priority="17417"/>
    <cfRule type="duplicateValues" dxfId="12256" priority="17418"/>
    <cfRule type="duplicateValues" dxfId="12255" priority="17419"/>
    <cfRule type="duplicateValues" dxfId="12254" priority="17420"/>
    <cfRule type="duplicateValues" dxfId="12253" priority="17421"/>
    <cfRule type="duplicateValues" dxfId="12252" priority="17422"/>
    <cfRule type="duplicateValues" dxfId="12251" priority="17423"/>
  </conditionalFormatting>
  <conditionalFormatting sqref="B20">
    <cfRule type="duplicateValues" dxfId="12250" priority="120897"/>
    <cfRule type="duplicateValues" dxfId="12249" priority="120898"/>
    <cfRule type="duplicateValues" dxfId="12248" priority="120899"/>
    <cfRule type="duplicateValues" dxfId="12247" priority="120900"/>
    <cfRule type="duplicateValues" dxfId="12246" priority="120901"/>
    <cfRule type="duplicateValues" dxfId="12245" priority="120902"/>
    <cfRule type="duplicateValues" dxfId="12244" priority="120903"/>
    <cfRule type="duplicateValues" dxfId="12243" priority="120904"/>
    <cfRule type="duplicateValues" dxfId="12242" priority="120905"/>
    <cfRule type="duplicateValues" dxfId="12241" priority="120906"/>
    <cfRule type="duplicateValues" dxfId="12240" priority="120907"/>
    <cfRule type="duplicateValues" dxfId="12239" priority="120908"/>
    <cfRule type="duplicateValues" dxfId="12238" priority="120909"/>
    <cfRule type="duplicateValues" dxfId="12237" priority="120910"/>
    <cfRule type="duplicateValues" dxfId="12236" priority="120911"/>
    <cfRule type="duplicateValues" dxfId="12235" priority="120912"/>
    <cfRule type="duplicateValues" dxfId="12234" priority="120913"/>
    <cfRule type="duplicateValues" dxfId="12233" priority="120914"/>
    <cfRule type="duplicateValues" dxfId="12232" priority="120915"/>
    <cfRule type="duplicateValues" dxfId="12231" priority="120916"/>
    <cfRule type="duplicateValues" dxfId="12230" priority="120917"/>
    <cfRule type="duplicateValues" dxfId="12229" priority="120918"/>
    <cfRule type="duplicateValues" dxfId="12228" priority="120919"/>
    <cfRule type="duplicateValues" dxfId="12227" priority="120920"/>
    <cfRule type="duplicateValues" dxfId="12226" priority="120921"/>
    <cfRule type="duplicateValues" dxfId="12225" priority="120922"/>
    <cfRule type="duplicateValues" dxfId="12224" priority="120923"/>
    <cfRule type="duplicateValues" dxfId="12223" priority="120924"/>
    <cfRule type="duplicateValues" dxfId="12222" priority="120925"/>
    <cfRule type="duplicateValues" dxfId="12221" priority="120926"/>
    <cfRule type="duplicateValues" dxfId="12220" priority="120927"/>
    <cfRule type="duplicateValues" dxfId="12219" priority="120928"/>
    <cfRule type="duplicateValues" dxfId="12218" priority="120929"/>
    <cfRule type="duplicateValues" dxfId="12217" priority="120930"/>
    <cfRule type="duplicateValues" dxfId="12216" priority="120931"/>
    <cfRule type="duplicateValues" dxfId="12215" priority="120932"/>
    <cfRule type="duplicateValues" dxfId="12214" priority="120933"/>
    <cfRule type="duplicateValues" dxfId="12213" priority="120934"/>
    <cfRule type="duplicateValues" dxfId="12212" priority="120935"/>
    <cfRule type="duplicateValues" dxfId="12211" priority="120936"/>
    <cfRule type="duplicateValues" dxfId="12210" priority="120937"/>
    <cfRule type="duplicateValues" dxfId="12209" priority="120938"/>
    <cfRule type="duplicateValues" dxfId="12208" priority="120939"/>
  </conditionalFormatting>
  <conditionalFormatting sqref="B21">
    <cfRule type="duplicateValues" dxfId="12207" priority="56162"/>
    <cfRule type="duplicateValues" dxfId="12206" priority="56163"/>
    <cfRule type="duplicateValues" dxfId="12205" priority="56164"/>
    <cfRule type="duplicateValues" dxfId="12204" priority="56165"/>
    <cfRule type="duplicateValues" dxfId="12203" priority="56166"/>
    <cfRule type="duplicateValues" dxfId="12202" priority="56167"/>
    <cfRule type="duplicateValues" dxfId="12201" priority="56168"/>
    <cfRule type="duplicateValues" dxfId="12200" priority="56169"/>
    <cfRule type="duplicateValues" dxfId="12199" priority="56170"/>
    <cfRule type="duplicateValues" dxfId="12198" priority="56171"/>
    <cfRule type="duplicateValues" dxfId="12197" priority="56172"/>
    <cfRule type="duplicateValues" dxfId="12196" priority="56173"/>
    <cfRule type="duplicateValues" dxfId="12195" priority="56174"/>
    <cfRule type="duplicateValues" dxfId="12194" priority="56175"/>
    <cfRule type="duplicateValues" dxfId="12193" priority="56176"/>
    <cfRule type="duplicateValues" dxfId="12192" priority="56177"/>
    <cfRule type="duplicateValues" dxfId="12191" priority="56178"/>
    <cfRule type="duplicateValues" dxfId="12190" priority="56179"/>
    <cfRule type="duplicateValues" dxfId="12189" priority="56180"/>
    <cfRule type="duplicateValues" dxfId="12188" priority="56181"/>
    <cfRule type="duplicateValues" dxfId="12187" priority="56182"/>
    <cfRule type="duplicateValues" dxfId="12186" priority="56183"/>
    <cfRule type="duplicateValues" dxfId="12185" priority="56184"/>
    <cfRule type="duplicateValues" dxfId="12184" priority="56185"/>
    <cfRule type="duplicateValues" dxfId="12183" priority="56186"/>
    <cfRule type="duplicateValues" dxfId="12182" priority="56187"/>
    <cfRule type="duplicateValues" dxfId="12181" priority="56188"/>
    <cfRule type="duplicateValues" dxfId="12180" priority="56189"/>
    <cfRule type="duplicateValues" dxfId="12179" priority="56190"/>
    <cfRule type="duplicateValues" dxfId="12178" priority="56191"/>
    <cfRule type="duplicateValues" dxfId="12177" priority="56192"/>
    <cfRule type="duplicateValues" dxfId="12176" priority="56193"/>
    <cfRule type="duplicateValues" dxfId="12175" priority="56194"/>
    <cfRule type="duplicateValues" dxfId="12174" priority="56195"/>
    <cfRule type="duplicateValues" dxfId="12173" priority="56196"/>
    <cfRule type="duplicateValues" dxfId="12172" priority="56197"/>
    <cfRule type="duplicateValues" dxfId="12171" priority="56198"/>
    <cfRule type="duplicateValues" dxfId="12170" priority="56199"/>
    <cfRule type="duplicateValues" dxfId="12169" priority="56200"/>
    <cfRule type="duplicateValues" dxfId="12168" priority="56201"/>
    <cfRule type="duplicateValues" dxfId="12167" priority="56202"/>
    <cfRule type="duplicateValues" dxfId="12166" priority="56203"/>
    <cfRule type="duplicateValues" dxfId="12165" priority="56205"/>
  </conditionalFormatting>
  <conditionalFormatting sqref="B22">
    <cfRule type="duplicateValues" dxfId="12164" priority="1619"/>
    <cfRule type="duplicateValues" dxfId="12163" priority="1620"/>
    <cfRule type="duplicateValues" dxfId="12162" priority="1621"/>
    <cfRule type="duplicateValues" dxfId="12161" priority="1622"/>
    <cfRule type="duplicateValues" dxfId="12160" priority="1623"/>
    <cfRule type="duplicateValues" dxfId="12159" priority="1624"/>
    <cfRule type="duplicateValues" dxfId="12158" priority="1625"/>
    <cfRule type="duplicateValues" dxfId="12157" priority="1626"/>
    <cfRule type="duplicateValues" dxfId="12156" priority="1627"/>
    <cfRule type="duplicateValues" dxfId="12155" priority="1628"/>
    <cfRule type="duplicateValues" dxfId="12154" priority="1629"/>
    <cfRule type="duplicateValues" dxfId="12153" priority="1630"/>
    <cfRule type="duplicateValues" dxfId="12152" priority="1631"/>
    <cfRule type="duplicateValues" dxfId="12151" priority="1632"/>
    <cfRule type="duplicateValues" dxfId="12150" priority="1633"/>
    <cfRule type="duplicateValues" dxfId="12149" priority="1634"/>
    <cfRule type="duplicateValues" dxfId="12148" priority="1635"/>
    <cfRule type="duplicateValues" dxfId="12147" priority="1636"/>
    <cfRule type="duplicateValues" dxfId="12146" priority="1637"/>
    <cfRule type="duplicateValues" dxfId="12145" priority="1638"/>
    <cfRule type="duplicateValues" dxfId="12144" priority="1639"/>
    <cfRule type="duplicateValues" dxfId="12143" priority="1640"/>
    <cfRule type="duplicateValues" dxfId="12142" priority="1641"/>
    <cfRule type="duplicateValues" dxfId="12141" priority="1642"/>
    <cfRule type="duplicateValues" dxfId="12140" priority="1643"/>
    <cfRule type="duplicateValues" dxfId="12139" priority="1644"/>
    <cfRule type="duplicateValues" dxfId="12138" priority="1645"/>
    <cfRule type="duplicateValues" dxfId="12137" priority="1646"/>
    <cfRule type="duplicateValues" dxfId="12136" priority="1647"/>
    <cfRule type="duplicateValues" dxfId="12135" priority="1648"/>
    <cfRule type="duplicateValues" dxfId="12134" priority="1649"/>
    <cfRule type="duplicateValues" dxfId="12133" priority="1650"/>
    <cfRule type="duplicateValues" dxfId="12132" priority="1651"/>
    <cfRule type="duplicateValues" dxfId="12131" priority="1652"/>
    <cfRule type="duplicateValues" dxfId="12130" priority="1653"/>
    <cfRule type="duplicateValues" dxfId="12129" priority="1654"/>
    <cfRule type="duplicateValues" dxfId="12128" priority="1655"/>
    <cfRule type="duplicateValues" dxfId="12127" priority="1656"/>
    <cfRule type="duplicateValues" dxfId="12126" priority="1657"/>
    <cfRule type="duplicateValues" dxfId="12125" priority="1658"/>
    <cfRule type="duplicateValues" dxfId="12124" priority="1659"/>
    <cfRule type="duplicateValues" dxfId="12123" priority="1660"/>
    <cfRule type="duplicateValues" dxfId="12122" priority="1661"/>
  </conditionalFormatting>
  <conditionalFormatting sqref="B23">
    <cfRule type="duplicateValues" dxfId="12121" priority="827"/>
    <cfRule type="duplicateValues" dxfId="12120" priority="1490"/>
    <cfRule type="duplicateValues" dxfId="12119" priority="1491"/>
    <cfRule type="duplicateValues" dxfId="12118" priority="1492"/>
    <cfRule type="duplicateValues" dxfId="12117" priority="1493"/>
    <cfRule type="duplicateValues" dxfId="12116" priority="1494"/>
    <cfRule type="duplicateValues" dxfId="12115" priority="1495"/>
    <cfRule type="duplicateValues" dxfId="12114" priority="1496"/>
    <cfRule type="duplicateValues" dxfId="12113" priority="1497"/>
    <cfRule type="duplicateValues" dxfId="12112" priority="1498"/>
    <cfRule type="duplicateValues" dxfId="12111" priority="1499"/>
    <cfRule type="duplicateValues" dxfId="12110" priority="1500"/>
    <cfRule type="duplicateValues" dxfId="12109" priority="1501"/>
    <cfRule type="duplicateValues" dxfId="12108" priority="1502"/>
    <cfRule type="duplicateValues" dxfId="12107" priority="1503"/>
    <cfRule type="duplicateValues" dxfId="12106" priority="1504"/>
    <cfRule type="duplicateValues" dxfId="12105" priority="1505"/>
    <cfRule type="duplicateValues" dxfId="12104" priority="1506"/>
    <cfRule type="duplicateValues" dxfId="12103" priority="1507"/>
    <cfRule type="duplicateValues" dxfId="12102" priority="1508"/>
    <cfRule type="duplicateValues" dxfId="12101" priority="1509"/>
    <cfRule type="duplicateValues" dxfId="12100" priority="1510"/>
    <cfRule type="duplicateValues" dxfId="12099" priority="1511"/>
    <cfRule type="duplicateValues" dxfId="12098" priority="1512"/>
    <cfRule type="duplicateValues" dxfId="12097" priority="1513"/>
    <cfRule type="duplicateValues" dxfId="12096" priority="1514"/>
    <cfRule type="duplicateValues" dxfId="12095" priority="1515"/>
    <cfRule type="duplicateValues" dxfId="12094" priority="1516"/>
    <cfRule type="duplicateValues" dxfId="12093" priority="1517"/>
    <cfRule type="duplicateValues" dxfId="12092" priority="1518"/>
    <cfRule type="duplicateValues" dxfId="12091" priority="1519"/>
    <cfRule type="duplicateValues" dxfId="12090" priority="1520"/>
    <cfRule type="duplicateValues" dxfId="12089" priority="1521"/>
    <cfRule type="duplicateValues" dxfId="12088" priority="1522"/>
    <cfRule type="duplicateValues" dxfId="12087" priority="1523"/>
    <cfRule type="duplicateValues" dxfId="12086" priority="1524"/>
    <cfRule type="duplicateValues" dxfId="12085" priority="1525"/>
    <cfRule type="duplicateValues" dxfId="12084" priority="1526"/>
    <cfRule type="duplicateValues" dxfId="12083" priority="1527"/>
    <cfRule type="duplicateValues" dxfId="12082" priority="1528"/>
    <cfRule type="duplicateValues" dxfId="12081" priority="1529"/>
    <cfRule type="duplicateValues" dxfId="12080" priority="1530"/>
    <cfRule type="duplicateValues" dxfId="12079" priority="1531"/>
  </conditionalFormatting>
  <conditionalFormatting sqref="B24:B26">
    <cfRule type="duplicateValues" dxfId="12078" priority="1426"/>
    <cfRule type="duplicateValues" dxfId="12077" priority="17180"/>
    <cfRule type="duplicateValues" dxfId="12076" priority="17181"/>
    <cfRule type="duplicateValues" dxfId="12075" priority="17182"/>
    <cfRule type="duplicateValues" dxfId="12074" priority="17183"/>
    <cfRule type="duplicateValues" dxfId="12073" priority="17184"/>
    <cfRule type="duplicateValues" dxfId="12072" priority="17185"/>
    <cfRule type="duplicateValues" dxfId="12071" priority="17186"/>
    <cfRule type="duplicateValues" dxfId="12070" priority="17187"/>
    <cfRule type="duplicateValues" dxfId="12069" priority="17188"/>
    <cfRule type="duplicateValues" dxfId="12068" priority="17189"/>
    <cfRule type="duplicateValues" dxfId="12067" priority="17190"/>
    <cfRule type="duplicateValues" dxfId="12066" priority="17191"/>
    <cfRule type="duplicateValues" dxfId="12065" priority="17192"/>
    <cfRule type="duplicateValues" dxfId="12064" priority="17193"/>
    <cfRule type="duplicateValues" dxfId="12063" priority="17194"/>
    <cfRule type="duplicateValues" dxfId="12062" priority="17195"/>
    <cfRule type="duplicateValues" dxfId="12061" priority="17196"/>
    <cfRule type="duplicateValues" dxfId="12060" priority="17197"/>
    <cfRule type="duplicateValues" dxfId="12059" priority="17198"/>
    <cfRule type="duplicateValues" dxfId="12058" priority="17199"/>
    <cfRule type="duplicateValues" dxfId="12057" priority="17200"/>
    <cfRule type="duplicateValues" dxfId="12056" priority="17201"/>
    <cfRule type="duplicateValues" dxfId="12055" priority="17202"/>
    <cfRule type="duplicateValues" dxfId="12054" priority="17203"/>
    <cfRule type="duplicateValues" dxfId="12053" priority="17204"/>
    <cfRule type="duplicateValues" dxfId="12052" priority="17205"/>
    <cfRule type="duplicateValues" dxfId="12051" priority="17206"/>
    <cfRule type="duplicateValues" dxfId="12050" priority="17207"/>
    <cfRule type="duplicateValues" dxfId="12049" priority="17208"/>
    <cfRule type="duplicateValues" dxfId="12048" priority="17209"/>
    <cfRule type="duplicateValues" dxfId="12047" priority="17210"/>
    <cfRule type="duplicateValues" dxfId="12046" priority="17211"/>
    <cfRule type="duplicateValues" dxfId="12045" priority="17212"/>
    <cfRule type="duplicateValues" dxfId="12044" priority="17213"/>
    <cfRule type="duplicateValues" dxfId="12043" priority="17214"/>
    <cfRule type="duplicateValues" dxfId="12042" priority="17215"/>
    <cfRule type="duplicateValues" dxfId="12041" priority="17216"/>
    <cfRule type="duplicateValues" dxfId="12040" priority="17217"/>
    <cfRule type="duplicateValues" dxfId="12039" priority="17218"/>
    <cfRule type="duplicateValues" dxfId="12038" priority="17219"/>
    <cfRule type="duplicateValues" dxfId="12037" priority="17220"/>
    <cfRule type="duplicateValues" dxfId="12036" priority="17221"/>
  </conditionalFormatting>
  <conditionalFormatting sqref="B27">
    <cfRule type="duplicateValues" dxfId="12035" priority="479"/>
    <cfRule type="duplicateValues" dxfId="12034" priority="999"/>
    <cfRule type="duplicateValues" dxfId="12033" priority="1000"/>
    <cfRule type="duplicateValues" dxfId="12032" priority="1001"/>
    <cfRule type="duplicateValues" dxfId="12031" priority="1002"/>
    <cfRule type="duplicateValues" dxfId="12030" priority="1003"/>
    <cfRule type="duplicateValues" dxfId="12029" priority="1004"/>
    <cfRule type="duplicateValues" dxfId="12028" priority="1005"/>
    <cfRule type="duplicateValues" dxfId="12027" priority="1006"/>
    <cfRule type="duplicateValues" dxfId="12026" priority="1007"/>
    <cfRule type="duplicateValues" dxfId="12025" priority="1008"/>
    <cfRule type="duplicateValues" dxfId="12024" priority="1009"/>
    <cfRule type="duplicateValues" dxfId="12023" priority="1010"/>
    <cfRule type="duplicateValues" dxfId="12022" priority="1011"/>
    <cfRule type="duplicateValues" dxfId="12021" priority="1012"/>
    <cfRule type="duplicateValues" dxfId="12020" priority="1013"/>
    <cfRule type="duplicateValues" dxfId="12019" priority="1014"/>
    <cfRule type="duplicateValues" dxfId="12018" priority="1015"/>
    <cfRule type="duplicateValues" dxfId="12017" priority="1016"/>
    <cfRule type="duplicateValues" dxfId="12016" priority="1017"/>
    <cfRule type="duplicateValues" dxfId="12015" priority="1018"/>
    <cfRule type="duplicateValues" dxfId="12014" priority="1019"/>
    <cfRule type="duplicateValues" dxfId="12013" priority="1020"/>
    <cfRule type="duplicateValues" dxfId="12012" priority="1021"/>
    <cfRule type="duplicateValues" dxfId="12011" priority="1022"/>
    <cfRule type="duplicateValues" dxfId="12010" priority="1023"/>
    <cfRule type="duplicateValues" dxfId="12009" priority="1024"/>
    <cfRule type="duplicateValues" dxfId="12008" priority="1025"/>
    <cfRule type="duplicateValues" dxfId="12007" priority="1026"/>
    <cfRule type="duplicateValues" dxfId="12006" priority="1027"/>
    <cfRule type="duplicateValues" dxfId="12005" priority="1028"/>
    <cfRule type="duplicateValues" dxfId="12004" priority="1029"/>
    <cfRule type="duplicateValues" dxfId="12003" priority="1030"/>
    <cfRule type="duplicateValues" dxfId="12002" priority="1031"/>
    <cfRule type="duplicateValues" dxfId="12001" priority="1032"/>
    <cfRule type="duplicateValues" dxfId="12000" priority="1033"/>
    <cfRule type="duplicateValues" dxfId="11999" priority="1034"/>
    <cfRule type="duplicateValues" dxfId="11998" priority="1035"/>
    <cfRule type="duplicateValues" dxfId="11997" priority="1036"/>
    <cfRule type="duplicateValues" dxfId="11996" priority="1037"/>
    <cfRule type="duplicateValues" dxfId="11995" priority="1038"/>
    <cfRule type="duplicateValues" dxfId="11994" priority="1039"/>
    <cfRule type="duplicateValues" dxfId="11993" priority="1040"/>
  </conditionalFormatting>
  <conditionalFormatting sqref="B86:B1048576 B1:B27">
    <cfRule type="duplicateValues" dxfId="11992" priority="1"/>
  </conditionalFormatting>
  <conditionalFormatting sqref="B91:B1048576 B1:B27">
    <cfRule type="duplicateValues" dxfId="11991" priority="3"/>
  </conditionalFormatting>
  <conditionalFormatting sqref="B94:B1048576 B1:B27">
    <cfRule type="duplicateValues" dxfId="11990" priority="5"/>
  </conditionalFormatting>
  <conditionalFormatting sqref="B97:B1048576 B1:B27">
    <cfRule type="duplicateValues" dxfId="11989" priority="9"/>
  </conditionalFormatting>
  <conditionalFormatting sqref="B97:B1048576">
    <cfRule type="duplicateValues" dxfId="11988" priority="7"/>
  </conditionalFormatting>
  <conditionalFormatting sqref="B102:B1048576 B1:B27">
    <cfRule type="duplicateValues" dxfId="11987" priority="11"/>
  </conditionalFormatting>
  <conditionalFormatting sqref="B102:B1048576">
    <cfRule type="duplicateValues" dxfId="11986" priority="138249"/>
  </conditionalFormatting>
  <conditionalFormatting sqref="B118:B1048576 B1:B27">
    <cfRule type="duplicateValues" dxfId="11985" priority="15"/>
    <cfRule type="duplicateValues" dxfId="11984" priority="120952"/>
  </conditionalFormatting>
  <conditionalFormatting sqref="B118:B1048576">
    <cfRule type="duplicateValues" dxfId="11983" priority="120954"/>
  </conditionalFormatting>
  <conditionalFormatting sqref="B123:B1048576 B1:B27">
    <cfRule type="duplicateValues" dxfId="11982" priority="33"/>
  </conditionalFormatting>
  <conditionalFormatting sqref="B127:B1048576 B1:B27">
    <cfRule type="duplicateValues" dxfId="11981" priority="35"/>
  </conditionalFormatting>
  <conditionalFormatting sqref="B129:B1048576 B1:B27">
    <cfRule type="duplicateValues" dxfId="11980" priority="40"/>
    <cfRule type="duplicateValues" dxfId="11979" priority="99"/>
    <cfRule type="duplicateValues" dxfId="11978" priority="65659"/>
    <cfRule type="duplicateValues" dxfId="11977" priority="65660"/>
    <cfRule type="duplicateValues" dxfId="11976" priority="65661"/>
    <cfRule type="duplicateValues" dxfId="11975" priority="65670"/>
    <cfRule type="duplicateValues" dxfId="11974" priority="65671"/>
    <cfRule type="duplicateValues" dxfId="11973" priority="65672"/>
    <cfRule type="duplicateValues" dxfId="11972" priority="65673"/>
    <cfRule type="duplicateValues" dxfId="11971" priority="65674"/>
    <cfRule type="duplicateValues" dxfId="11970" priority="65675"/>
    <cfRule type="duplicateValues" dxfId="11969" priority="65676"/>
    <cfRule type="duplicateValues" dxfId="11968" priority="65677"/>
    <cfRule type="duplicateValues" dxfId="11967" priority="65678"/>
    <cfRule type="duplicateValues" dxfId="11966" priority="65679"/>
    <cfRule type="duplicateValues" dxfId="11965" priority="65680"/>
    <cfRule type="duplicateValues" dxfId="11964" priority="65681"/>
    <cfRule type="duplicateValues" dxfId="11963" priority="65682"/>
    <cfRule type="duplicateValues" dxfId="11962" priority="65683"/>
    <cfRule type="duplicateValues" dxfId="11961" priority="65684"/>
    <cfRule type="duplicateValues" dxfId="11960" priority="65685"/>
    <cfRule type="duplicateValues" dxfId="11959" priority="65686"/>
    <cfRule type="duplicateValues" dxfId="11958" priority="65705"/>
    <cfRule type="duplicateValues" dxfId="11957" priority="65706"/>
  </conditionalFormatting>
  <conditionalFormatting sqref="B129:B1048576">
    <cfRule type="duplicateValues" dxfId="11956" priority="65667"/>
  </conditionalFormatting>
  <conditionalFormatting sqref="B130:B1048576 B1:B27">
    <cfRule type="duplicateValues" dxfId="11955" priority="100"/>
    <cfRule type="duplicateValues" dxfId="11954" priority="101"/>
    <cfRule type="duplicateValues" dxfId="11953" priority="102"/>
    <cfRule type="duplicateValues" dxfId="11952" priority="1470"/>
    <cfRule type="duplicateValues" dxfId="11951" priority="1471"/>
    <cfRule type="duplicateValues" dxfId="11950" priority="1472"/>
    <cfRule type="duplicateValues" dxfId="11949" priority="1473"/>
    <cfRule type="duplicateValues" dxfId="11948" priority="1474"/>
    <cfRule type="duplicateValues" dxfId="11947" priority="1475"/>
    <cfRule type="duplicateValues" dxfId="11946" priority="1477"/>
    <cfRule type="duplicateValues" dxfId="11945" priority="1478"/>
    <cfRule type="duplicateValues" dxfId="11944" priority="1479"/>
    <cfRule type="duplicateValues" dxfId="11943" priority="1480"/>
    <cfRule type="duplicateValues" dxfId="11942" priority="1481"/>
    <cfRule type="duplicateValues" dxfId="11941" priority="1482"/>
    <cfRule type="duplicateValues" dxfId="11940" priority="1483"/>
    <cfRule type="duplicateValues" dxfId="11939" priority="1484"/>
    <cfRule type="duplicateValues" dxfId="11938" priority="1485"/>
    <cfRule type="duplicateValues" dxfId="11937" priority="1486"/>
  </conditionalFormatting>
  <conditionalFormatting sqref="B130:B1048576">
    <cfRule type="duplicateValues" dxfId="11936" priority="1476"/>
    <cfRule type="duplicateValues" dxfId="11935" priority="1487"/>
    <cfRule type="duplicateValues" dxfId="11934" priority="1488"/>
    <cfRule type="duplicateValues" dxfId="11933" priority="1489"/>
  </conditionalFormatting>
  <conditionalFormatting sqref="B3:H3">
    <cfRule type="duplicateValues" dxfId="11932" priority="103"/>
  </conditionalFormatting>
  <conditionalFormatting sqref="C3:H3">
    <cfRule type="duplicateValues" dxfId="11931" priority="104"/>
    <cfRule type="duplicateValues" dxfId="11930" priority="105"/>
    <cfRule type="duplicateValues" dxfId="11929" priority="106"/>
    <cfRule type="duplicateValues" dxfId="11928" priority="107"/>
    <cfRule type="duplicateValues" dxfId="11927" priority="108"/>
    <cfRule type="duplicateValues" dxfId="11926" priority="109"/>
    <cfRule type="duplicateValues" dxfId="11925" priority="110"/>
    <cfRule type="duplicateValues" dxfId="11924" priority="111"/>
    <cfRule type="duplicateValues" dxfId="11923" priority="112"/>
    <cfRule type="duplicateValues" dxfId="11922" priority="113"/>
    <cfRule type="duplicateValues" dxfId="11921" priority="114"/>
    <cfRule type="duplicateValues" dxfId="11920" priority="115"/>
    <cfRule type="duplicateValues" dxfId="11919" priority="116"/>
    <cfRule type="duplicateValues" dxfId="11918" priority="117"/>
    <cfRule type="duplicateValues" dxfId="11917" priority="118"/>
    <cfRule type="duplicateValues" dxfId="11916" priority="119"/>
    <cfRule type="duplicateValues" dxfId="11915" priority="120"/>
    <cfRule type="duplicateValues" dxfId="11914" priority="121"/>
    <cfRule type="duplicateValues" dxfId="11913" priority="122"/>
    <cfRule type="duplicateValues" dxfId="11912" priority="123"/>
    <cfRule type="duplicateValues" dxfId="11911" priority="124"/>
    <cfRule type="duplicateValues" dxfId="11910" priority="125"/>
    <cfRule type="duplicateValues" dxfId="11909" priority="126"/>
    <cfRule type="duplicateValues" dxfId="11908" priority="127"/>
    <cfRule type="duplicateValues" dxfId="11907" priority="128"/>
    <cfRule type="duplicateValues" dxfId="11906" priority="129"/>
    <cfRule type="duplicateValues" dxfId="11905" priority="130"/>
    <cfRule type="duplicateValues" dxfId="11904" priority="13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0D24-DED2-4832-BF0C-B20AFE8DE811}">
  <sheetPr>
    <tabColor theme="1"/>
  </sheetPr>
  <dimension ref="A1:I11"/>
  <sheetViews>
    <sheetView workbookViewId="0">
      <selection sqref="A1:I1"/>
    </sheetView>
  </sheetViews>
  <sheetFormatPr defaultRowHeight="14.4"/>
  <cols>
    <col min="1" max="1" width="3.88671875" bestFit="1" customWidth="1"/>
    <col min="2" max="2" width="12.21875" customWidth="1"/>
    <col min="3" max="3" width="6.88671875" customWidth="1"/>
    <col min="4" max="4" width="20.88671875" customWidth="1"/>
    <col min="5" max="5" width="14" customWidth="1"/>
    <col min="6" max="6" width="14.5546875" bestFit="1" customWidth="1"/>
    <col min="7" max="7" width="14" customWidth="1"/>
    <col min="8" max="8" width="11.33203125" customWidth="1"/>
    <col min="9" max="9" width="25.33203125" customWidth="1"/>
  </cols>
  <sheetData>
    <row r="1" spans="1:9" ht="28.8">
      <c r="A1" s="291" t="s">
        <v>4272</v>
      </c>
      <c r="B1" s="291"/>
      <c r="C1" s="291"/>
      <c r="D1" s="291"/>
      <c r="E1" s="292"/>
      <c r="F1" s="292"/>
      <c r="G1" s="291"/>
      <c r="H1" s="291"/>
      <c r="I1" s="291"/>
    </row>
    <row r="2" spans="1:9" ht="18">
      <c r="A2" s="293" t="s">
        <v>4255</v>
      </c>
      <c r="B2" s="293"/>
      <c r="C2" s="293"/>
      <c r="D2" s="293"/>
      <c r="E2" s="294"/>
      <c r="F2" s="294"/>
      <c r="G2" s="294"/>
      <c r="H2" s="293"/>
      <c r="I2" s="293"/>
    </row>
    <row r="3" spans="1:9">
      <c r="A3" s="98" t="s">
        <v>22</v>
      </c>
      <c r="B3" s="99" t="s">
        <v>13</v>
      </c>
      <c r="C3" s="99" t="s">
        <v>26</v>
      </c>
      <c r="D3" s="98" t="s">
        <v>14</v>
      </c>
      <c r="E3" s="102" t="s">
        <v>4633</v>
      </c>
      <c r="F3" s="99" t="s">
        <v>16</v>
      </c>
      <c r="G3" s="99" t="s">
        <v>17</v>
      </c>
      <c r="H3" s="99" t="s">
        <v>18</v>
      </c>
      <c r="I3" s="99" t="s">
        <v>19</v>
      </c>
    </row>
    <row r="4" spans="1:9">
      <c r="A4" s="76">
        <v>1</v>
      </c>
      <c r="B4" s="146" t="s">
        <v>4260</v>
      </c>
      <c r="C4" s="103" t="s">
        <v>11</v>
      </c>
      <c r="D4" s="104" t="s">
        <v>863</v>
      </c>
      <c r="E4" s="105">
        <v>1774999</v>
      </c>
      <c r="F4" s="107">
        <v>908.26</v>
      </c>
      <c r="G4" s="76">
        <v>673.39</v>
      </c>
      <c r="H4" s="76">
        <v>234.87</v>
      </c>
      <c r="I4" s="76" t="s">
        <v>4270</v>
      </c>
    </row>
    <row r="5" spans="1:9">
      <c r="A5" s="76">
        <v>2</v>
      </c>
      <c r="B5" s="146" t="s">
        <v>4261</v>
      </c>
      <c r="C5" s="103" t="s">
        <v>11</v>
      </c>
      <c r="D5" s="104" t="s">
        <v>863</v>
      </c>
      <c r="E5" s="105">
        <v>1774999</v>
      </c>
      <c r="F5" s="107">
        <v>914.93</v>
      </c>
      <c r="G5" s="76">
        <v>680.06</v>
      </c>
      <c r="H5" s="76">
        <v>234.87</v>
      </c>
      <c r="I5" s="76" t="s">
        <v>4268</v>
      </c>
    </row>
    <row r="6" spans="1:9">
      <c r="A6" s="76">
        <v>3</v>
      </c>
      <c r="B6" s="146" t="s">
        <v>4262</v>
      </c>
      <c r="C6" s="103" t="s">
        <v>12</v>
      </c>
      <c r="D6" s="104" t="s">
        <v>863</v>
      </c>
      <c r="E6" s="105">
        <v>1774999</v>
      </c>
      <c r="F6" s="107">
        <v>914.93</v>
      </c>
      <c r="G6" s="76">
        <v>680.06</v>
      </c>
      <c r="H6" s="76">
        <v>234.87</v>
      </c>
      <c r="I6" s="76" t="s">
        <v>4269</v>
      </c>
    </row>
    <row r="7" spans="1:9">
      <c r="A7" s="76">
        <v>4</v>
      </c>
      <c r="B7" s="146" t="s">
        <v>4263</v>
      </c>
      <c r="C7" s="103" t="s">
        <v>12</v>
      </c>
      <c r="D7" s="104" t="s">
        <v>863</v>
      </c>
      <c r="E7" s="105">
        <v>1762499</v>
      </c>
      <c r="F7" s="107">
        <v>908.26</v>
      </c>
      <c r="G7" s="76">
        <v>673.39</v>
      </c>
      <c r="H7" s="76">
        <v>234.87</v>
      </c>
      <c r="I7" s="76" t="s">
        <v>4270</v>
      </c>
    </row>
    <row r="8" spans="1:9">
      <c r="A8" s="76">
        <v>5</v>
      </c>
      <c r="B8" s="146" t="s">
        <v>4264</v>
      </c>
      <c r="C8" s="103" t="s">
        <v>12</v>
      </c>
      <c r="D8" s="104" t="s">
        <v>863</v>
      </c>
      <c r="E8" s="105">
        <v>1774999</v>
      </c>
      <c r="F8" s="107">
        <v>915.04</v>
      </c>
      <c r="G8" s="76">
        <v>680.17</v>
      </c>
      <c r="H8" s="76">
        <v>234.87</v>
      </c>
      <c r="I8" s="76" t="s">
        <v>4268</v>
      </c>
    </row>
    <row r="9" spans="1:9">
      <c r="A9" s="76">
        <v>6</v>
      </c>
      <c r="B9" s="146" t="s">
        <v>4265</v>
      </c>
      <c r="C9" s="103" t="s">
        <v>12</v>
      </c>
      <c r="D9" s="104" t="s">
        <v>863</v>
      </c>
      <c r="E9" s="105">
        <v>1762499</v>
      </c>
      <c r="F9" s="107">
        <v>908.26</v>
      </c>
      <c r="G9" s="76">
        <v>673.39</v>
      </c>
      <c r="H9" s="76">
        <v>234.87</v>
      </c>
      <c r="I9" s="76" t="s">
        <v>4271</v>
      </c>
    </row>
    <row r="10" spans="1:9">
      <c r="A10" s="76">
        <v>7</v>
      </c>
      <c r="B10" s="146" t="s">
        <v>4266</v>
      </c>
      <c r="C10" s="103" t="s">
        <v>32</v>
      </c>
      <c r="D10" s="104" t="s">
        <v>863</v>
      </c>
      <c r="E10" s="105">
        <v>1774999</v>
      </c>
      <c r="F10" s="107">
        <v>914.93</v>
      </c>
      <c r="G10" s="76">
        <v>680.06</v>
      </c>
      <c r="H10" s="76">
        <v>234.87</v>
      </c>
      <c r="I10" s="76" t="s">
        <v>4269</v>
      </c>
    </row>
    <row r="11" spans="1:9">
      <c r="A11" s="76">
        <v>8</v>
      </c>
      <c r="B11" s="146" t="s">
        <v>4267</v>
      </c>
      <c r="C11" s="103" t="s">
        <v>32</v>
      </c>
      <c r="D11" s="104" t="s">
        <v>863</v>
      </c>
      <c r="E11" s="105">
        <v>1749999</v>
      </c>
      <c r="F11" s="107">
        <v>908.26</v>
      </c>
      <c r="G11" s="76">
        <v>673.39</v>
      </c>
      <c r="H11" s="76">
        <v>234.87</v>
      </c>
      <c r="I11" s="76" t="s">
        <v>4270</v>
      </c>
    </row>
  </sheetData>
  <mergeCells count="2">
    <mergeCell ref="A2:I2"/>
    <mergeCell ref="A1:I1"/>
  </mergeCells>
  <conditionalFormatting sqref="B1">
    <cfRule type="duplicateValues" dxfId="11903" priority="3"/>
    <cfRule type="duplicateValues" dxfId="11902" priority="4"/>
    <cfRule type="duplicateValues" dxfId="11901" priority="5"/>
    <cfRule type="duplicateValues" dxfId="11900" priority="6"/>
    <cfRule type="duplicateValues" dxfId="11899" priority="7"/>
    <cfRule type="duplicateValues" dxfId="11898" priority="8"/>
    <cfRule type="duplicateValues" dxfId="11897" priority="9"/>
    <cfRule type="duplicateValues" dxfId="11896" priority="10"/>
    <cfRule type="duplicateValues" dxfId="11895" priority="11"/>
    <cfRule type="duplicateValues" dxfId="11894" priority="12"/>
    <cfRule type="duplicateValues" dxfId="11893" priority="13"/>
    <cfRule type="duplicateValues" dxfId="11892" priority="14"/>
    <cfRule type="duplicateValues" dxfId="11891" priority="15"/>
    <cfRule type="duplicateValues" dxfId="11890" priority="16"/>
    <cfRule type="duplicateValues" dxfId="11889" priority="17"/>
    <cfRule type="duplicateValues" dxfId="11888" priority="18"/>
    <cfRule type="duplicateValues" dxfId="11887" priority="19"/>
    <cfRule type="duplicateValues" dxfId="11886" priority="20"/>
    <cfRule type="duplicateValues" dxfId="11885" priority="21"/>
    <cfRule type="duplicateValues" dxfId="11884" priority="22"/>
    <cfRule type="duplicateValues" dxfId="11883" priority="23"/>
    <cfRule type="duplicateValues" dxfId="11882" priority="24"/>
    <cfRule type="duplicateValues" dxfId="11881" priority="25"/>
    <cfRule type="duplicateValues" dxfId="11880" priority="26"/>
    <cfRule type="duplicateValues" dxfId="11879" priority="27"/>
    <cfRule type="duplicateValues" dxfId="11878" priority="28"/>
    <cfRule type="duplicateValues" dxfId="11877" priority="29"/>
    <cfRule type="duplicateValues" dxfId="11876" priority="30"/>
    <cfRule type="duplicateValues" dxfId="11875" priority="31"/>
    <cfRule type="duplicateValues" dxfId="11874" priority="32"/>
    <cfRule type="duplicateValues" dxfId="11873" priority="33"/>
    <cfRule type="duplicateValues" dxfId="11872" priority="34"/>
    <cfRule type="duplicateValues" dxfId="11871" priority="35"/>
    <cfRule type="duplicateValues" dxfId="11870" priority="36"/>
    <cfRule type="duplicateValues" dxfId="11869" priority="37"/>
    <cfRule type="duplicateValues" dxfId="11868" priority="38"/>
    <cfRule type="duplicateValues" dxfId="11867" priority="39"/>
    <cfRule type="duplicateValues" dxfId="11866" priority="40"/>
    <cfRule type="duplicateValues" dxfId="11865" priority="41"/>
    <cfRule type="duplicateValues" dxfId="11864" priority="42"/>
    <cfRule type="duplicateValues" dxfId="11863" priority="43"/>
    <cfRule type="duplicateValues" dxfId="11862" priority="44"/>
    <cfRule type="duplicateValues" dxfId="11861" priority="45"/>
    <cfRule type="duplicateValues" dxfId="11860" priority="46"/>
    <cfRule type="duplicateValues" dxfId="11859" priority="47"/>
    <cfRule type="duplicateValues" dxfId="11858" priority="48"/>
    <cfRule type="duplicateValues" dxfId="11857" priority="49"/>
    <cfRule type="duplicateValues" dxfId="11856" priority="50"/>
    <cfRule type="duplicateValues" dxfId="11855" priority="51"/>
  </conditionalFormatting>
  <conditionalFormatting sqref="B2:B5">
    <cfRule type="duplicateValues" dxfId="11854" priority="230920"/>
    <cfRule type="duplicateValues" dxfId="11853" priority="230921"/>
    <cfRule type="duplicateValues" dxfId="11852" priority="230922"/>
    <cfRule type="duplicateValues" dxfId="11851" priority="230923"/>
    <cfRule type="duplicateValues" dxfId="11850" priority="230924"/>
    <cfRule type="duplicateValues" dxfId="11849" priority="230925"/>
    <cfRule type="duplicateValues" dxfId="11848" priority="235026"/>
    <cfRule type="duplicateValues" dxfId="11847" priority="235027"/>
    <cfRule type="duplicateValues" dxfId="11846" priority="235028"/>
    <cfRule type="duplicateValues" dxfId="11845" priority="235029"/>
    <cfRule type="duplicateValues" dxfId="11844" priority="235030"/>
    <cfRule type="duplicateValues" dxfId="11843" priority="235031"/>
    <cfRule type="duplicateValues" dxfId="11842" priority="235032"/>
    <cfRule type="duplicateValues" dxfId="11841" priority="235033"/>
    <cfRule type="duplicateValues" dxfId="11840" priority="235034"/>
    <cfRule type="duplicateValues" dxfId="11839" priority="235035"/>
    <cfRule type="duplicateValues" dxfId="11838" priority="235036"/>
    <cfRule type="duplicateValues" dxfId="11837" priority="235037"/>
    <cfRule type="duplicateValues" dxfId="11836" priority="235038"/>
    <cfRule type="duplicateValues" dxfId="11835" priority="235039"/>
    <cfRule type="duplicateValues" dxfId="11834" priority="235040"/>
    <cfRule type="duplicateValues" dxfId="11833" priority="235041"/>
    <cfRule type="duplicateValues" dxfId="11832" priority="235042"/>
    <cfRule type="duplicateValues" dxfId="11831" priority="235043"/>
    <cfRule type="duplicateValues" dxfId="11830" priority="235044"/>
    <cfRule type="duplicateValues" dxfId="11829" priority="235045"/>
    <cfRule type="duplicateValues" dxfId="11828" priority="235046"/>
    <cfRule type="duplicateValues" dxfId="11827" priority="235047"/>
    <cfRule type="duplicateValues" dxfId="11826" priority="235048"/>
    <cfRule type="duplicateValues" dxfId="11825" priority="235049"/>
    <cfRule type="duplicateValues" dxfId="11824" priority="235050"/>
    <cfRule type="duplicateValues" dxfId="11823" priority="235051"/>
    <cfRule type="duplicateValues" dxfId="11822" priority="235052"/>
    <cfRule type="duplicateValues" dxfId="11821" priority="235053"/>
    <cfRule type="duplicateValues" dxfId="11820" priority="235054"/>
    <cfRule type="duplicateValues" dxfId="11819" priority="235055"/>
    <cfRule type="duplicateValues" dxfId="11818" priority="235056"/>
    <cfRule type="duplicateValues" dxfId="11817" priority="235057"/>
    <cfRule type="duplicateValues" dxfId="11816" priority="235058"/>
    <cfRule type="duplicateValues" dxfId="11815" priority="235059"/>
    <cfRule type="duplicateValues" dxfId="11814" priority="235060"/>
    <cfRule type="duplicateValues" dxfId="11813" priority="235061"/>
    <cfRule type="duplicateValues" dxfId="11812" priority="235062"/>
    <cfRule type="duplicateValues" dxfId="11811" priority="235063"/>
    <cfRule type="duplicateValues" dxfId="11810" priority="235064"/>
    <cfRule type="duplicateValues" dxfId="11809" priority="235065"/>
    <cfRule type="duplicateValues" dxfId="11808" priority="235066"/>
    <cfRule type="duplicateValues" dxfId="11807" priority="235067"/>
  </conditionalFormatting>
  <conditionalFormatting sqref="B6:B11">
    <cfRule type="duplicateValues" dxfId="11806" priority="235068"/>
    <cfRule type="duplicateValues" dxfId="11805" priority="235069"/>
    <cfRule type="duplicateValues" dxfId="11804" priority="235070"/>
    <cfRule type="duplicateValues" dxfId="11803" priority="235071"/>
    <cfRule type="duplicateValues" dxfId="11802" priority="235072"/>
    <cfRule type="duplicateValues" dxfId="11801" priority="235073"/>
    <cfRule type="duplicateValues" dxfId="11800" priority="235074"/>
    <cfRule type="duplicateValues" dxfId="11799" priority="235075"/>
    <cfRule type="duplicateValues" dxfId="11798" priority="235076"/>
    <cfRule type="duplicateValues" dxfId="11797" priority="235077"/>
    <cfRule type="duplicateValues" dxfId="11796" priority="235078"/>
    <cfRule type="duplicateValues" dxfId="11795" priority="235079"/>
    <cfRule type="duplicateValues" dxfId="11794" priority="235080"/>
    <cfRule type="duplicateValues" dxfId="11793" priority="235081"/>
    <cfRule type="duplicateValues" dxfId="11792" priority="235082"/>
    <cfRule type="duplicateValues" dxfId="11791" priority="235083"/>
    <cfRule type="duplicateValues" dxfId="11790" priority="235084"/>
    <cfRule type="duplicateValues" dxfId="11789" priority="235085"/>
    <cfRule type="duplicateValues" dxfId="11788" priority="235086"/>
    <cfRule type="duplicateValues" dxfId="11787" priority="235087"/>
    <cfRule type="duplicateValues" dxfId="11786" priority="235088"/>
    <cfRule type="duplicateValues" dxfId="11785" priority="235089"/>
    <cfRule type="duplicateValues" dxfId="11784" priority="235090"/>
    <cfRule type="duplicateValues" dxfId="11783" priority="235091"/>
    <cfRule type="duplicateValues" dxfId="11782" priority="235092"/>
    <cfRule type="duplicateValues" dxfId="11781" priority="235093"/>
    <cfRule type="duplicateValues" dxfId="11780" priority="235094"/>
    <cfRule type="duplicateValues" dxfId="11779" priority="235095"/>
    <cfRule type="duplicateValues" dxfId="11778" priority="235096"/>
    <cfRule type="duplicateValues" dxfId="11777" priority="235097"/>
    <cfRule type="duplicateValues" dxfId="11776" priority="235098"/>
    <cfRule type="duplicateValues" dxfId="11775" priority="235099"/>
    <cfRule type="duplicateValues" dxfId="11774" priority="235100"/>
    <cfRule type="duplicateValues" dxfId="11773" priority="235101"/>
    <cfRule type="duplicateValues" dxfId="11772" priority="235102"/>
    <cfRule type="duplicateValues" dxfId="11771" priority="235103"/>
    <cfRule type="duplicateValues" dxfId="11770" priority="235104"/>
    <cfRule type="duplicateValues" dxfId="11769" priority="235105"/>
    <cfRule type="duplicateValues" dxfId="11768" priority="235106"/>
    <cfRule type="duplicateValues" dxfId="11767" priority="235107"/>
    <cfRule type="duplicateValues" dxfId="11766" priority="235108"/>
    <cfRule type="duplicateValues" dxfId="11765" priority="235109"/>
    <cfRule type="duplicateValues" dxfId="11764" priority="235116"/>
    <cfRule type="duplicateValues" dxfId="11763" priority="235117"/>
    <cfRule type="duplicateValues" dxfId="11762" priority="235118"/>
    <cfRule type="duplicateValues" dxfId="11761" priority="235119"/>
    <cfRule type="duplicateValues" dxfId="11760" priority="235120"/>
    <cfRule type="duplicateValues" dxfId="11759" priority="235121"/>
  </conditionalFormatting>
  <conditionalFormatting sqref="B1:B1048576">
    <cfRule type="duplicateValues" dxfId="11758" priority="1"/>
  </conditionalFormatting>
  <conditionalFormatting sqref="B2:B1048576">
    <cfRule type="duplicateValues" dxfId="11757" priority="252013"/>
    <cfRule type="duplicateValues" dxfId="11756" priority="252014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B5E0-F2E6-4DD9-8AC4-12505F8EEE05}">
  <dimension ref="A1:K127"/>
  <sheetViews>
    <sheetView workbookViewId="0">
      <selection sqref="A1:K1"/>
    </sheetView>
  </sheetViews>
  <sheetFormatPr defaultColWidth="4.33203125" defaultRowHeight="14.4"/>
  <cols>
    <col min="1" max="1" width="4.21875" style="163" bestFit="1" customWidth="1"/>
    <col min="2" max="2" width="12.6640625" style="163" customWidth="1"/>
    <col min="3" max="3" width="5.88671875" style="163" customWidth="1"/>
    <col min="4" max="4" width="14.5546875" style="163" customWidth="1"/>
    <col min="5" max="7" width="17.6640625" style="168" customWidth="1"/>
    <col min="8" max="8" width="10.44140625" style="168" bestFit="1" customWidth="1"/>
    <col min="9" max="9" width="9.21875" style="168" bestFit="1" customWidth="1"/>
    <col min="10" max="10" width="12.44140625" style="168" bestFit="1" customWidth="1"/>
    <col min="11" max="11" width="34.33203125" style="163" bestFit="1" customWidth="1"/>
    <col min="12" max="16384" width="4.33203125" style="163"/>
  </cols>
  <sheetData>
    <row r="1" spans="1:11" ht="25.8">
      <c r="A1" s="298" t="s">
        <v>259</v>
      </c>
      <c r="B1" s="299"/>
      <c r="C1" s="299"/>
      <c r="D1" s="299"/>
      <c r="E1" s="299"/>
      <c r="F1" s="299"/>
      <c r="G1" s="299"/>
      <c r="H1" s="299"/>
      <c r="I1" s="299"/>
      <c r="J1" s="299"/>
      <c r="K1" s="300"/>
    </row>
    <row r="2" spans="1:11">
      <c r="A2" s="301" t="s">
        <v>183</v>
      </c>
      <c r="B2" s="302"/>
      <c r="C2" s="302"/>
      <c r="D2" s="302"/>
      <c r="E2" s="302"/>
      <c r="F2" s="302"/>
      <c r="G2" s="302"/>
      <c r="H2" s="302"/>
      <c r="I2" s="302"/>
      <c r="J2" s="302"/>
      <c r="K2" s="303"/>
    </row>
    <row r="3" spans="1:11">
      <c r="A3" s="164" t="s">
        <v>22</v>
      </c>
      <c r="B3" s="165" t="s">
        <v>13</v>
      </c>
      <c r="C3" s="165" t="s">
        <v>26</v>
      </c>
      <c r="D3" s="165" t="s">
        <v>14</v>
      </c>
      <c r="E3" s="166" t="s">
        <v>20</v>
      </c>
      <c r="F3" s="166" t="s">
        <v>21</v>
      </c>
      <c r="G3" s="166" t="s">
        <v>31</v>
      </c>
      <c r="H3" s="166" t="s">
        <v>0</v>
      </c>
      <c r="I3" s="166" t="s">
        <v>1</v>
      </c>
      <c r="J3" s="166" t="s">
        <v>2</v>
      </c>
      <c r="K3" s="167" t="s">
        <v>19</v>
      </c>
    </row>
    <row r="4" spans="1:11" s="79" customFormat="1" ht="13.8">
      <c r="A4" s="74">
        <v>1</v>
      </c>
      <c r="B4" s="75" t="s">
        <v>332</v>
      </c>
      <c r="C4" s="76" t="s">
        <v>10</v>
      </c>
      <c r="D4" s="76" t="s">
        <v>24</v>
      </c>
      <c r="E4" s="77">
        <v>2137999</v>
      </c>
      <c r="F4" s="169">
        <f t="shared" ref="F4" si="0">E4*0.97</f>
        <v>2073859.03</v>
      </c>
      <c r="G4" s="78">
        <f t="shared" ref="G4" si="1">E4*0.94</f>
        <v>2009719.0599999998</v>
      </c>
      <c r="H4" s="170">
        <v>1134.19</v>
      </c>
      <c r="I4" s="170">
        <v>780.6</v>
      </c>
      <c r="J4" s="170">
        <v>353.59</v>
      </c>
      <c r="K4" s="171" t="s">
        <v>4508</v>
      </c>
    </row>
    <row r="5" spans="1:11" s="79" customFormat="1" ht="13.8">
      <c r="A5" s="74">
        <v>2</v>
      </c>
      <c r="B5" s="75" t="s">
        <v>322</v>
      </c>
      <c r="C5" s="76" t="s">
        <v>3</v>
      </c>
      <c r="D5" s="76" t="s">
        <v>24</v>
      </c>
      <c r="E5" s="77">
        <v>2129999</v>
      </c>
      <c r="F5" s="169">
        <f t="shared" ref="F5" si="2">E5*0.97</f>
        <v>2066099.03</v>
      </c>
      <c r="G5" s="78">
        <f t="shared" ref="G5" si="3">E5*0.94</f>
        <v>2002199.0599999998</v>
      </c>
      <c r="H5" s="170">
        <v>1134.19</v>
      </c>
      <c r="I5" s="170">
        <v>780.6</v>
      </c>
      <c r="J5" s="170">
        <v>353.59</v>
      </c>
      <c r="K5" s="171" t="s">
        <v>4508</v>
      </c>
    </row>
    <row r="6" spans="1:11" s="79" customFormat="1" ht="13.8">
      <c r="A6" s="74">
        <v>3</v>
      </c>
      <c r="B6" s="75" t="s">
        <v>4424</v>
      </c>
      <c r="C6" s="76" t="s">
        <v>8</v>
      </c>
      <c r="D6" s="76" t="s">
        <v>36</v>
      </c>
      <c r="E6" s="77">
        <v>1396999</v>
      </c>
      <c r="F6" s="169">
        <f t="shared" ref="F6:F25" si="4">E6*0.97</f>
        <v>1355089.03</v>
      </c>
      <c r="G6" s="78">
        <f t="shared" ref="G6:G25" si="5">E6*0.94</f>
        <v>1313179.0599999998</v>
      </c>
      <c r="H6" s="170">
        <v>793.73075289999997</v>
      </c>
      <c r="I6" s="170">
        <v>601.70259139999996</v>
      </c>
      <c r="J6" s="170">
        <v>192.02816150000001</v>
      </c>
      <c r="K6" s="171" t="s">
        <v>4508</v>
      </c>
    </row>
    <row r="7" spans="1:11" s="79" customFormat="1" ht="13.8">
      <c r="A7" s="74">
        <v>4</v>
      </c>
      <c r="B7" s="75" t="s">
        <v>4437</v>
      </c>
      <c r="C7" s="76" t="s">
        <v>9</v>
      </c>
      <c r="D7" s="76" t="s">
        <v>36</v>
      </c>
      <c r="E7" s="77">
        <v>1393999</v>
      </c>
      <c r="F7" s="169">
        <f t="shared" si="4"/>
        <v>1352179.03</v>
      </c>
      <c r="G7" s="78">
        <f t="shared" si="5"/>
        <v>1310359.0599999998</v>
      </c>
      <c r="H7" s="170">
        <v>793.73075289999997</v>
      </c>
      <c r="I7" s="170">
        <v>601.70259139999996</v>
      </c>
      <c r="J7" s="170">
        <v>192.02816150000001</v>
      </c>
      <c r="K7" s="171" t="s">
        <v>4508</v>
      </c>
    </row>
    <row r="8" spans="1:11" s="79" customFormat="1" ht="13.8">
      <c r="A8" s="74">
        <v>5</v>
      </c>
      <c r="B8" s="75" t="s">
        <v>884</v>
      </c>
      <c r="C8" s="76" t="s">
        <v>315</v>
      </c>
      <c r="D8" s="76" t="s">
        <v>36</v>
      </c>
      <c r="E8" s="77">
        <v>1376999</v>
      </c>
      <c r="F8" s="169">
        <f t="shared" si="4"/>
        <v>1335689.03</v>
      </c>
      <c r="G8" s="78">
        <f t="shared" si="5"/>
        <v>1294379.0599999998</v>
      </c>
      <c r="H8" s="170">
        <v>734.53</v>
      </c>
      <c r="I8" s="170">
        <v>288.04000000000002</v>
      </c>
      <c r="J8" s="170">
        <v>446.49</v>
      </c>
      <c r="K8" s="171" t="s">
        <v>258</v>
      </c>
    </row>
    <row r="9" spans="1:11" s="79" customFormat="1" ht="13.8">
      <c r="A9" s="74">
        <v>6</v>
      </c>
      <c r="B9" s="75" t="s">
        <v>885</v>
      </c>
      <c r="C9" s="76" t="s">
        <v>315</v>
      </c>
      <c r="D9" s="76" t="s">
        <v>36</v>
      </c>
      <c r="E9" s="77">
        <v>1371999</v>
      </c>
      <c r="F9" s="169">
        <f t="shared" si="4"/>
        <v>1330839.03</v>
      </c>
      <c r="G9" s="78">
        <f t="shared" si="5"/>
        <v>1289679.0599999998</v>
      </c>
      <c r="H9" s="170">
        <v>715.16</v>
      </c>
      <c r="I9" s="170">
        <v>268.67</v>
      </c>
      <c r="J9" s="170">
        <v>446.49</v>
      </c>
      <c r="K9" s="171" t="s">
        <v>258</v>
      </c>
    </row>
    <row r="10" spans="1:11" s="79" customFormat="1" ht="13.8">
      <c r="A10" s="74">
        <v>7</v>
      </c>
      <c r="B10" s="75" t="s">
        <v>4434</v>
      </c>
      <c r="C10" s="76" t="s">
        <v>8</v>
      </c>
      <c r="D10" s="76" t="s">
        <v>36</v>
      </c>
      <c r="E10" s="77">
        <v>1339999</v>
      </c>
      <c r="F10" s="169">
        <f t="shared" si="4"/>
        <v>1299799.03</v>
      </c>
      <c r="G10" s="78">
        <f t="shared" si="5"/>
        <v>1259599.0599999998</v>
      </c>
      <c r="H10" s="170">
        <v>698.14722849999998</v>
      </c>
      <c r="I10" s="170">
        <v>573.50114610000003</v>
      </c>
      <c r="J10" s="170">
        <v>124.6460824</v>
      </c>
      <c r="K10" s="171" t="s">
        <v>258</v>
      </c>
    </row>
    <row r="11" spans="1:11" s="79" customFormat="1" ht="13.8">
      <c r="A11" s="74">
        <v>8</v>
      </c>
      <c r="B11" s="75" t="s">
        <v>4447</v>
      </c>
      <c r="C11" s="76" t="s">
        <v>9</v>
      </c>
      <c r="D11" s="76" t="s">
        <v>36</v>
      </c>
      <c r="E11" s="77">
        <v>1337999</v>
      </c>
      <c r="F11" s="169">
        <f t="shared" si="4"/>
        <v>1297859.03</v>
      </c>
      <c r="G11" s="78">
        <f t="shared" si="5"/>
        <v>1257719.0599999998</v>
      </c>
      <c r="H11" s="170">
        <v>698.14722849999998</v>
      </c>
      <c r="I11" s="170">
        <v>573.50114610000003</v>
      </c>
      <c r="J11" s="170">
        <v>124.6460824</v>
      </c>
      <c r="K11" s="171" t="s">
        <v>258</v>
      </c>
    </row>
    <row r="12" spans="1:11" s="79" customFormat="1" ht="13.8">
      <c r="A12" s="74">
        <v>9</v>
      </c>
      <c r="B12" s="75" t="s">
        <v>4436</v>
      </c>
      <c r="C12" s="76" t="s">
        <v>9</v>
      </c>
      <c r="D12" s="76" t="s">
        <v>36</v>
      </c>
      <c r="E12" s="77">
        <v>1335999</v>
      </c>
      <c r="F12" s="169">
        <f t="shared" si="4"/>
        <v>1295919.03</v>
      </c>
      <c r="G12" s="78">
        <f t="shared" si="5"/>
        <v>1255839.0599999998</v>
      </c>
      <c r="H12" s="170">
        <v>698.25486760000001</v>
      </c>
      <c r="I12" s="170">
        <v>573.60878520000006</v>
      </c>
      <c r="J12" s="170">
        <v>124.6460824</v>
      </c>
      <c r="K12" s="171" t="s">
        <v>258</v>
      </c>
    </row>
    <row r="13" spans="1:11" s="79" customFormat="1" ht="13.8">
      <c r="A13" s="74">
        <v>10</v>
      </c>
      <c r="B13" s="75" t="s">
        <v>4449</v>
      </c>
      <c r="C13" s="76" t="s">
        <v>315</v>
      </c>
      <c r="D13" s="76" t="s">
        <v>36</v>
      </c>
      <c r="E13" s="77">
        <v>1319999</v>
      </c>
      <c r="F13" s="169">
        <f t="shared" si="4"/>
        <v>1280399.03</v>
      </c>
      <c r="G13" s="78">
        <f t="shared" si="5"/>
        <v>1240799.0599999998</v>
      </c>
      <c r="H13" s="170">
        <v>750.89038949999997</v>
      </c>
      <c r="I13" s="170">
        <v>571.99419869999997</v>
      </c>
      <c r="J13" s="170">
        <v>178.8961908</v>
      </c>
      <c r="K13" s="171" t="s">
        <v>4508</v>
      </c>
    </row>
    <row r="14" spans="1:11" s="79" customFormat="1" ht="13.8">
      <c r="A14" s="74">
        <v>11</v>
      </c>
      <c r="B14" s="75" t="s">
        <v>4425</v>
      </c>
      <c r="C14" s="76" t="s">
        <v>8</v>
      </c>
      <c r="D14" s="76" t="s">
        <v>36</v>
      </c>
      <c r="E14" s="77">
        <v>1316999</v>
      </c>
      <c r="F14" s="169">
        <f t="shared" si="4"/>
        <v>1277489.03</v>
      </c>
      <c r="G14" s="78">
        <f t="shared" si="5"/>
        <v>1237979.0599999998</v>
      </c>
      <c r="H14" s="170">
        <v>719.35213199999998</v>
      </c>
      <c r="I14" s="170">
        <v>575.86920640000005</v>
      </c>
      <c r="J14" s="170">
        <v>143.48292559999999</v>
      </c>
      <c r="K14" s="171" t="s">
        <v>4508</v>
      </c>
    </row>
    <row r="15" spans="1:11" s="79" customFormat="1" ht="13.8">
      <c r="A15" s="74">
        <v>12</v>
      </c>
      <c r="B15" s="75" t="s">
        <v>4448</v>
      </c>
      <c r="C15" s="76" t="s">
        <v>315</v>
      </c>
      <c r="D15" s="76" t="s">
        <v>36</v>
      </c>
      <c r="E15" s="77">
        <v>1315999</v>
      </c>
      <c r="F15" s="169">
        <f t="shared" si="4"/>
        <v>1276519.03</v>
      </c>
      <c r="G15" s="78">
        <f t="shared" si="5"/>
        <v>1237039.0599999998</v>
      </c>
      <c r="H15" s="170">
        <v>722.47366599999998</v>
      </c>
      <c r="I15" s="170">
        <v>573.60878520000006</v>
      </c>
      <c r="J15" s="170">
        <v>148.86488080000001</v>
      </c>
      <c r="K15" s="171" t="s">
        <v>4453</v>
      </c>
    </row>
    <row r="16" spans="1:11" s="79" customFormat="1" ht="13.8">
      <c r="A16" s="74">
        <v>13</v>
      </c>
      <c r="B16" s="75" t="s">
        <v>4438</v>
      </c>
      <c r="C16" s="76" t="s">
        <v>9</v>
      </c>
      <c r="D16" s="76" t="s">
        <v>36</v>
      </c>
      <c r="E16" s="77">
        <v>1314999</v>
      </c>
      <c r="F16" s="169">
        <f t="shared" si="4"/>
        <v>1275549.03</v>
      </c>
      <c r="G16" s="78">
        <f t="shared" si="5"/>
        <v>1236099.0599999998</v>
      </c>
      <c r="H16" s="170">
        <v>719.35213199999998</v>
      </c>
      <c r="I16" s="170">
        <v>575.86920640000005</v>
      </c>
      <c r="J16" s="170">
        <v>143.48292559999999</v>
      </c>
      <c r="K16" s="171" t="s">
        <v>4508</v>
      </c>
    </row>
    <row r="17" spans="1:11" s="79" customFormat="1" ht="13.8">
      <c r="A17" s="74">
        <v>14</v>
      </c>
      <c r="B17" s="75" t="s">
        <v>323</v>
      </c>
      <c r="C17" s="76" t="s">
        <v>3</v>
      </c>
      <c r="D17" s="76" t="s">
        <v>36</v>
      </c>
      <c r="E17" s="77">
        <v>1309999</v>
      </c>
      <c r="F17" s="169">
        <f t="shared" si="4"/>
        <v>1270699.03</v>
      </c>
      <c r="G17" s="78">
        <f t="shared" si="5"/>
        <v>1231399.0599999998</v>
      </c>
      <c r="H17" s="170">
        <v>708.69</v>
      </c>
      <c r="I17" s="170">
        <v>578.88</v>
      </c>
      <c r="J17" s="170">
        <v>129.81</v>
      </c>
      <c r="K17" s="171" t="s">
        <v>4508</v>
      </c>
    </row>
    <row r="18" spans="1:11" s="79" customFormat="1" ht="13.8">
      <c r="A18" s="74">
        <v>15</v>
      </c>
      <c r="B18" s="75" t="s">
        <v>4423</v>
      </c>
      <c r="C18" s="76" t="s">
        <v>8</v>
      </c>
      <c r="D18" s="76" t="s">
        <v>36</v>
      </c>
      <c r="E18" s="77">
        <v>1309999</v>
      </c>
      <c r="F18" s="169">
        <f t="shared" si="4"/>
        <v>1270699.03</v>
      </c>
      <c r="G18" s="78">
        <f t="shared" si="5"/>
        <v>1231399.0599999998</v>
      </c>
      <c r="H18" s="170">
        <v>712.78614670000002</v>
      </c>
      <c r="I18" s="170">
        <v>569.30322109999997</v>
      </c>
      <c r="J18" s="170">
        <v>143.48292559999999</v>
      </c>
      <c r="K18" s="171" t="s">
        <v>39</v>
      </c>
    </row>
    <row r="19" spans="1:11" s="79" customFormat="1" ht="13.8">
      <c r="A19" s="74">
        <v>16</v>
      </c>
      <c r="B19" s="75" t="s">
        <v>4435</v>
      </c>
      <c r="C19" s="76" t="s">
        <v>9</v>
      </c>
      <c r="D19" s="76" t="s">
        <v>36</v>
      </c>
      <c r="E19" s="77">
        <v>1306999</v>
      </c>
      <c r="F19" s="169">
        <f t="shared" si="4"/>
        <v>1267789.03</v>
      </c>
      <c r="G19" s="78">
        <f t="shared" si="5"/>
        <v>1228579.0599999998</v>
      </c>
      <c r="H19" s="170">
        <v>712.78614670000002</v>
      </c>
      <c r="I19" s="170">
        <v>569.30322109999997</v>
      </c>
      <c r="J19" s="170">
        <v>143.48292559999999</v>
      </c>
      <c r="K19" s="171" t="s">
        <v>39</v>
      </c>
    </row>
    <row r="20" spans="1:11" s="79" customFormat="1" ht="13.8">
      <c r="A20" s="74">
        <v>17</v>
      </c>
      <c r="B20" s="75" t="s">
        <v>4426</v>
      </c>
      <c r="C20" s="76" t="s">
        <v>8</v>
      </c>
      <c r="D20" s="76" t="s">
        <v>36</v>
      </c>
      <c r="E20" s="77">
        <v>1306999</v>
      </c>
      <c r="F20" s="169">
        <f t="shared" si="4"/>
        <v>1267789.03</v>
      </c>
      <c r="G20" s="78">
        <f t="shared" si="5"/>
        <v>1228579.0599999998</v>
      </c>
      <c r="H20" s="170">
        <v>716.12295889999996</v>
      </c>
      <c r="I20" s="170">
        <v>572.64003330000003</v>
      </c>
      <c r="J20" s="170">
        <v>143.48292559999999</v>
      </c>
      <c r="K20" s="171" t="s">
        <v>4508</v>
      </c>
    </row>
    <row r="21" spans="1:11" s="79" customFormat="1" ht="13.8">
      <c r="A21" s="74">
        <v>18</v>
      </c>
      <c r="B21" s="75" t="s">
        <v>4439</v>
      </c>
      <c r="C21" s="76" t="s">
        <v>9</v>
      </c>
      <c r="D21" s="76" t="s">
        <v>36</v>
      </c>
      <c r="E21" s="77">
        <v>1303999</v>
      </c>
      <c r="F21" s="169">
        <f t="shared" si="4"/>
        <v>1264879.03</v>
      </c>
      <c r="G21" s="78">
        <f t="shared" si="5"/>
        <v>1225759.0599999998</v>
      </c>
      <c r="H21" s="170">
        <v>716.12295889999996</v>
      </c>
      <c r="I21" s="170">
        <v>572.64003330000003</v>
      </c>
      <c r="J21" s="170">
        <v>143.48292559999999</v>
      </c>
      <c r="K21" s="171" t="s">
        <v>4508</v>
      </c>
    </row>
    <row r="22" spans="1:11" s="79" customFormat="1" ht="13.8">
      <c r="A22" s="74">
        <v>19</v>
      </c>
      <c r="B22" s="75" t="s">
        <v>324</v>
      </c>
      <c r="C22" s="76" t="s">
        <v>3</v>
      </c>
      <c r="D22" s="76" t="s">
        <v>36</v>
      </c>
      <c r="E22" s="77">
        <v>1299999</v>
      </c>
      <c r="F22" s="169">
        <f t="shared" si="4"/>
        <v>1260999.03</v>
      </c>
      <c r="G22" s="78">
        <f t="shared" si="5"/>
        <v>1221999.0599999998</v>
      </c>
      <c r="H22" s="170">
        <v>703.53</v>
      </c>
      <c r="I22" s="170">
        <v>575.65</v>
      </c>
      <c r="J22" s="170">
        <v>127.88</v>
      </c>
      <c r="K22" s="171" t="s">
        <v>4508</v>
      </c>
    </row>
    <row r="23" spans="1:11" s="79" customFormat="1" ht="13.8">
      <c r="A23" s="74">
        <v>20</v>
      </c>
      <c r="B23" s="75" t="s">
        <v>4452</v>
      </c>
      <c r="C23" s="76" t="s">
        <v>315</v>
      </c>
      <c r="D23" s="76" t="s">
        <v>35</v>
      </c>
      <c r="E23" s="77">
        <v>831999</v>
      </c>
      <c r="F23" s="169">
        <f t="shared" si="4"/>
        <v>807039.03</v>
      </c>
      <c r="G23" s="78">
        <f t="shared" si="5"/>
        <v>782079.05999999994</v>
      </c>
      <c r="H23" s="170">
        <v>383.94868393000002</v>
      </c>
      <c r="I23" s="170">
        <v>294.39294940000002</v>
      </c>
      <c r="J23" s="170">
        <v>89.555734529999995</v>
      </c>
      <c r="K23" s="171" t="s">
        <v>4508</v>
      </c>
    </row>
    <row r="24" spans="1:11" s="79" customFormat="1" ht="13.8">
      <c r="A24" s="74">
        <v>21</v>
      </c>
      <c r="B24" s="75" t="s">
        <v>4451</v>
      </c>
      <c r="C24" s="76" t="s">
        <v>315</v>
      </c>
      <c r="D24" s="76" t="s">
        <v>35</v>
      </c>
      <c r="E24" s="77">
        <v>831999</v>
      </c>
      <c r="F24" s="169">
        <f t="shared" si="4"/>
        <v>807039.03</v>
      </c>
      <c r="G24" s="78">
        <f t="shared" si="5"/>
        <v>782079.05999999994</v>
      </c>
      <c r="H24" s="170">
        <v>387.82369172</v>
      </c>
      <c r="I24" s="170">
        <v>298.37559629999998</v>
      </c>
      <c r="J24" s="170">
        <v>89.448095420000001</v>
      </c>
      <c r="K24" s="171" t="s">
        <v>4508</v>
      </c>
    </row>
    <row r="25" spans="1:11" s="79" customFormat="1" ht="13.8">
      <c r="A25" s="74">
        <v>22</v>
      </c>
      <c r="B25" s="75" t="s">
        <v>4615</v>
      </c>
      <c r="C25" s="76" t="s">
        <v>8</v>
      </c>
      <c r="D25" s="76" t="s">
        <v>35</v>
      </c>
      <c r="E25" s="77">
        <v>829999</v>
      </c>
      <c r="F25" s="169">
        <f t="shared" si="4"/>
        <v>805099.03</v>
      </c>
      <c r="G25" s="78">
        <f t="shared" si="5"/>
        <v>780199.05999999994</v>
      </c>
      <c r="H25" s="170">
        <v>364.56</v>
      </c>
      <c r="I25" s="170">
        <v>292.56</v>
      </c>
      <c r="J25" s="170">
        <v>72</v>
      </c>
      <c r="K25" s="171" t="s">
        <v>4508</v>
      </c>
    </row>
    <row r="26" spans="1:11" s="79" customFormat="1" ht="13.8">
      <c r="A26" s="74">
        <v>23</v>
      </c>
      <c r="B26" s="75" t="s">
        <v>4537</v>
      </c>
      <c r="C26" s="76" t="s">
        <v>8</v>
      </c>
      <c r="D26" s="76" t="s">
        <v>35</v>
      </c>
      <c r="E26" s="77">
        <v>829999</v>
      </c>
      <c r="F26" s="169">
        <f t="shared" ref="F26:F30" si="6">E26*0.97</f>
        <v>805099.03</v>
      </c>
      <c r="G26" s="78">
        <f t="shared" ref="G26:G30" si="7">E26*0.94</f>
        <v>780199.05999999994</v>
      </c>
      <c r="H26" s="170">
        <v>364.9</v>
      </c>
      <c r="I26" s="170">
        <v>292.35000000000002</v>
      </c>
      <c r="J26" s="170">
        <v>72.55</v>
      </c>
      <c r="K26" s="171" t="s">
        <v>4508</v>
      </c>
    </row>
    <row r="27" spans="1:11" s="79" customFormat="1" ht="13.8">
      <c r="A27" s="74">
        <v>24</v>
      </c>
      <c r="B27" s="75" t="s">
        <v>263</v>
      </c>
      <c r="C27" s="76" t="s">
        <v>10</v>
      </c>
      <c r="D27" s="76" t="s">
        <v>35</v>
      </c>
      <c r="E27" s="77">
        <v>828999</v>
      </c>
      <c r="F27" s="169">
        <f t="shared" si="6"/>
        <v>804129.03</v>
      </c>
      <c r="G27" s="78">
        <f t="shared" si="7"/>
        <v>779259.05999999994</v>
      </c>
      <c r="H27" s="170">
        <v>366.56</v>
      </c>
      <c r="I27" s="170">
        <v>292.56</v>
      </c>
      <c r="J27" s="170">
        <v>74</v>
      </c>
      <c r="K27" s="171" t="s">
        <v>4508</v>
      </c>
    </row>
    <row r="28" spans="1:11" s="79" customFormat="1" ht="13.8">
      <c r="A28" s="74">
        <v>25</v>
      </c>
      <c r="B28" s="75" t="s">
        <v>269</v>
      </c>
      <c r="C28" s="76" t="s">
        <v>9</v>
      </c>
      <c r="D28" s="76" t="s">
        <v>35</v>
      </c>
      <c r="E28" s="77">
        <v>828999</v>
      </c>
      <c r="F28" s="169">
        <f t="shared" si="6"/>
        <v>804129.03</v>
      </c>
      <c r="G28" s="78">
        <f t="shared" si="7"/>
        <v>779259.05999999994</v>
      </c>
      <c r="H28" s="170">
        <v>364.56</v>
      </c>
      <c r="I28" s="170">
        <v>292.56</v>
      </c>
      <c r="J28" s="170">
        <v>72</v>
      </c>
      <c r="K28" s="171" t="s">
        <v>4508</v>
      </c>
    </row>
    <row r="29" spans="1:11" s="79" customFormat="1" ht="13.8">
      <c r="A29" s="74">
        <v>26</v>
      </c>
      <c r="B29" s="75" t="s">
        <v>270</v>
      </c>
      <c r="C29" s="76" t="s">
        <v>9</v>
      </c>
      <c r="D29" s="76" t="s">
        <v>35</v>
      </c>
      <c r="E29" s="77">
        <v>828999</v>
      </c>
      <c r="F29" s="169">
        <f t="shared" si="6"/>
        <v>804129.03</v>
      </c>
      <c r="G29" s="78">
        <f t="shared" si="7"/>
        <v>779259.05999999994</v>
      </c>
      <c r="H29" s="170">
        <v>364.9</v>
      </c>
      <c r="I29" s="170">
        <v>292.35000000000002</v>
      </c>
      <c r="J29" s="170">
        <v>72.55</v>
      </c>
      <c r="K29" s="171" t="s">
        <v>4508</v>
      </c>
    </row>
    <row r="30" spans="1:11" s="79" customFormat="1" ht="13.8">
      <c r="A30" s="74">
        <v>27</v>
      </c>
      <c r="B30" s="75" t="s">
        <v>264</v>
      </c>
      <c r="C30" s="76" t="s">
        <v>3</v>
      </c>
      <c r="D30" s="76" t="s">
        <v>35</v>
      </c>
      <c r="E30" s="77">
        <v>827999</v>
      </c>
      <c r="F30" s="169">
        <f t="shared" si="6"/>
        <v>803159.03</v>
      </c>
      <c r="G30" s="78">
        <f t="shared" si="7"/>
        <v>778319.05999999994</v>
      </c>
      <c r="H30" s="170">
        <v>367.05</v>
      </c>
      <c r="I30" s="170">
        <v>292.45999999999998</v>
      </c>
      <c r="J30" s="170">
        <v>74.59</v>
      </c>
      <c r="K30" s="171" t="s">
        <v>4508</v>
      </c>
    </row>
    <row r="31" spans="1:11" s="79" customFormat="1" ht="13.8">
      <c r="A31" s="74">
        <v>28</v>
      </c>
      <c r="B31" s="75" t="s">
        <v>265</v>
      </c>
      <c r="C31" s="76" t="s">
        <v>10</v>
      </c>
      <c r="D31" s="76" t="s">
        <v>35</v>
      </c>
      <c r="E31" s="77">
        <v>826999</v>
      </c>
      <c r="F31" s="169">
        <f t="shared" ref="F31:F32" si="8">E31*0.97</f>
        <v>802189.03</v>
      </c>
      <c r="G31" s="78">
        <f t="shared" ref="G31:G32" si="9">E31*0.94</f>
        <v>777379.05999999994</v>
      </c>
      <c r="H31" s="170">
        <v>364.56</v>
      </c>
      <c r="I31" s="170">
        <v>292.56</v>
      </c>
      <c r="J31" s="170">
        <v>72</v>
      </c>
      <c r="K31" s="171" t="s">
        <v>4508</v>
      </c>
    </row>
    <row r="32" spans="1:11" s="79" customFormat="1" ht="13.8">
      <c r="A32" s="74">
        <v>29</v>
      </c>
      <c r="B32" s="75" t="s">
        <v>266</v>
      </c>
      <c r="C32" s="76" t="s">
        <v>10</v>
      </c>
      <c r="D32" s="76" t="s">
        <v>35</v>
      </c>
      <c r="E32" s="77">
        <v>826999</v>
      </c>
      <c r="F32" s="169">
        <f t="shared" si="8"/>
        <v>802189.03</v>
      </c>
      <c r="G32" s="78">
        <f t="shared" si="9"/>
        <v>777379.05999999994</v>
      </c>
      <c r="H32" s="170">
        <v>364.56</v>
      </c>
      <c r="I32" s="170">
        <v>292.56</v>
      </c>
      <c r="J32" s="170">
        <v>72</v>
      </c>
      <c r="K32" s="171" t="s">
        <v>4508</v>
      </c>
    </row>
    <row r="33" spans="1:11" s="79" customFormat="1" ht="13.8">
      <c r="A33" s="74">
        <v>30</v>
      </c>
      <c r="B33" s="75" t="s">
        <v>267</v>
      </c>
      <c r="C33" s="76" t="s">
        <v>10</v>
      </c>
      <c r="D33" s="76" t="s">
        <v>35</v>
      </c>
      <c r="E33" s="77">
        <v>826999</v>
      </c>
      <c r="F33" s="169">
        <f t="shared" ref="F33:F67" si="10">E33*0.97</f>
        <v>802189.03</v>
      </c>
      <c r="G33" s="78">
        <f t="shared" ref="G33:G67" si="11">E33*0.94</f>
        <v>777379.05999999994</v>
      </c>
      <c r="H33" s="170">
        <v>365</v>
      </c>
      <c r="I33" s="170">
        <v>292.45999999999998</v>
      </c>
      <c r="J33" s="170">
        <v>72.55</v>
      </c>
      <c r="K33" s="171" t="s">
        <v>4508</v>
      </c>
    </row>
    <row r="34" spans="1:11" s="79" customFormat="1" ht="13.8">
      <c r="A34" s="74">
        <v>31</v>
      </c>
      <c r="B34" s="75" t="s">
        <v>257</v>
      </c>
      <c r="C34" s="76" t="s">
        <v>10</v>
      </c>
      <c r="D34" s="76" t="s">
        <v>35</v>
      </c>
      <c r="E34" s="77">
        <v>826999</v>
      </c>
      <c r="F34" s="169">
        <f t="shared" si="10"/>
        <v>802189.03</v>
      </c>
      <c r="G34" s="78">
        <f t="shared" si="11"/>
        <v>777379.05999999994</v>
      </c>
      <c r="H34" s="170">
        <v>365</v>
      </c>
      <c r="I34" s="170">
        <v>292.35000000000002</v>
      </c>
      <c r="J34" s="170">
        <v>72.66</v>
      </c>
      <c r="K34" s="171" t="s">
        <v>4508</v>
      </c>
    </row>
    <row r="35" spans="1:11" s="79" customFormat="1" ht="13.8">
      <c r="A35" s="74">
        <v>32</v>
      </c>
      <c r="B35" s="75" t="s">
        <v>256</v>
      </c>
      <c r="C35" s="76" t="s">
        <v>10</v>
      </c>
      <c r="D35" s="76" t="s">
        <v>35</v>
      </c>
      <c r="E35" s="77">
        <v>826999</v>
      </c>
      <c r="F35" s="169">
        <f t="shared" si="10"/>
        <v>802189.03</v>
      </c>
      <c r="G35" s="78">
        <f t="shared" si="11"/>
        <v>777379.05999999994</v>
      </c>
      <c r="H35" s="170">
        <v>364.9</v>
      </c>
      <c r="I35" s="170">
        <v>292.35000000000002</v>
      </c>
      <c r="J35" s="170">
        <v>72.55</v>
      </c>
      <c r="K35" s="171" t="s">
        <v>4508</v>
      </c>
    </row>
    <row r="36" spans="1:11" s="79" customFormat="1" ht="13.8">
      <c r="A36" s="74">
        <v>33</v>
      </c>
      <c r="B36" s="75" t="s">
        <v>279</v>
      </c>
      <c r="C36" s="76" t="s">
        <v>3</v>
      </c>
      <c r="D36" s="76" t="s">
        <v>35</v>
      </c>
      <c r="E36" s="77">
        <v>825999</v>
      </c>
      <c r="F36" s="169">
        <f t="shared" si="10"/>
        <v>801219.03</v>
      </c>
      <c r="G36" s="78">
        <f t="shared" si="11"/>
        <v>776439.05999999994</v>
      </c>
      <c r="H36" s="170">
        <v>365</v>
      </c>
      <c r="I36" s="170">
        <v>292.56</v>
      </c>
      <c r="J36" s="170">
        <v>72.44</v>
      </c>
      <c r="K36" s="171" t="s">
        <v>4508</v>
      </c>
    </row>
    <row r="37" spans="1:11" s="79" customFormat="1" ht="13.8">
      <c r="A37" s="74">
        <v>34</v>
      </c>
      <c r="B37" s="75" t="s">
        <v>255</v>
      </c>
      <c r="C37" s="76" t="s">
        <v>3</v>
      </c>
      <c r="D37" s="76" t="s">
        <v>35</v>
      </c>
      <c r="E37" s="77">
        <v>825999</v>
      </c>
      <c r="F37" s="169">
        <f t="shared" si="10"/>
        <v>801219.03</v>
      </c>
      <c r="G37" s="78">
        <f t="shared" si="11"/>
        <v>776439.05999999994</v>
      </c>
      <c r="H37" s="170">
        <v>365</v>
      </c>
      <c r="I37" s="170">
        <v>292.45999999999998</v>
      </c>
      <c r="J37" s="170">
        <v>72.55</v>
      </c>
      <c r="K37" s="171" t="s">
        <v>4508</v>
      </c>
    </row>
    <row r="38" spans="1:11" s="79" customFormat="1" ht="13.8">
      <c r="A38" s="74">
        <v>35</v>
      </c>
      <c r="B38" s="75" t="s">
        <v>311</v>
      </c>
      <c r="C38" s="76" t="s">
        <v>8</v>
      </c>
      <c r="D38" s="76" t="s">
        <v>35</v>
      </c>
      <c r="E38" s="77">
        <v>825999</v>
      </c>
      <c r="F38" s="169">
        <f t="shared" si="10"/>
        <v>801219.03</v>
      </c>
      <c r="G38" s="78">
        <f t="shared" si="11"/>
        <v>776439.05999999994</v>
      </c>
      <c r="H38" s="170">
        <v>362.95</v>
      </c>
      <c r="I38" s="170">
        <v>290.95</v>
      </c>
      <c r="J38" s="170">
        <v>72</v>
      </c>
      <c r="K38" s="171" t="s">
        <v>4508</v>
      </c>
    </row>
    <row r="39" spans="1:11" s="79" customFormat="1" ht="13.8">
      <c r="A39" s="74">
        <v>36</v>
      </c>
      <c r="B39" s="75" t="s">
        <v>254</v>
      </c>
      <c r="C39" s="76" t="s">
        <v>3</v>
      </c>
      <c r="D39" s="76" t="s">
        <v>35</v>
      </c>
      <c r="E39" s="77">
        <v>824999</v>
      </c>
      <c r="F39" s="169">
        <f t="shared" si="10"/>
        <v>800249.03</v>
      </c>
      <c r="G39" s="78">
        <f t="shared" si="11"/>
        <v>775499.05999999994</v>
      </c>
      <c r="H39" s="170">
        <v>364.56</v>
      </c>
      <c r="I39" s="170">
        <v>292.56</v>
      </c>
      <c r="J39" s="170">
        <v>72</v>
      </c>
      <c r="K39" s="171" t="s">
        <v>4508</v>
      </c>
    </row>
    <row r="40" spans="1:11" s="79" customFormat="1" ht="13.8">
      <c r="A40" s="74">
        <v>37</v>
      </c>
      <c r="B40" s="75" t="s">
        <v>253</v>
      </c>
      <c r="C40" s="76" t="s">
        <v>3</v>
      </c>
      <c r="D40" s="76" t="s">
        <v>35</v>
      </c>
      <c r="E40" s="77">
        <v>824999</v>
      </c>
      <c r="F40" s="169">
        <f t="shared" si="10"/>
        <v>800249.03</v>
      </c>
      <c r="G40" s="78">
        <f t="shared" si="11"/>
        <v>775499.05999999994</v>
      </c>
      <c r="H40" s="170">
        <v>364.56</v>
      </c>
      <c r="I40" s="170">
        <v>292.56</v>
      </c>
      <c r="J40" s="170">
        <v>72</v>
      </c>
      <c r="K40" s="171" t="s">
        <v>4508</v>
      </c>
    </row>
    <row r="41" spans="1:11" s="79" customFormat="1" ht="13.8">
      <c r="A41" s="74">
        <v>38</v>
      </c>
      <c r="B41" s="75" t="s">
        <v>252</v>
      </c>
      <c r="C41" s="76" t="s">
        <v>3</v>
      </c>
      <c r="D41" s="76" t="s">
        <v>35</v>
      </c>
      <c r="E41" s="77">
        <v>824999</v>
      </c>
      <c r="F41" s="169">
        <f t="shared" si="10"/>
        <v>800249.03</v>
      </c>
      <c r="G41" s="78">
        <f t="shared" si="11"/>
        <v>775499.05999999994</v>
      </c>
      <c r="H41" s="170">
        <v>364.9</v>
      </c>
      <c r="I41" s="170">
        <v>292.35000000000002</v>
      </c>
      <c r="J41" s="170">
        <v>72.55</v>
      </c>
      <c r="K41" s="171" t="s">
        <v>4508</v>
      </c>
    </row>
    <row r="42" spans="1:11" s="79" customFormat="1" ht="13.8">
      <c r="A42" s="74">
        <v>39</v>
      </c>
      <c r="B42" s="75" t="s">
        <v>4538</v>
      </c>
      <c r="C42" s="76" t="s">
        <v>8</v>
      </c>
      <c r="D42" s="76" t="s">
        <v>35</v>
      </c>
      <c r="E42" s="77">
        <v>824999</v>
      </c>
      <c r="F42" s="169">
        <f t="shared" si="10"/>
        <v>800249.03</v>
      </c>
      <c r="G42" s="78">
        <f t="shared" si="11"/>
        <v>775499.05999999994</v>
      </c>
      <c r="H42" s="170">
        <v>363.07</v>
      </c>
      <c r="I42" s="170">
        <v>290.41000000000003</v>
      </c>
      <c r="J42" s="170">
        <v>72.66</v>
      </c>
      <c r="K42" s="171" t="s">
        <v>4508</v>
      </c>
    </row>
    <row r="43" spans="1:11" s="79" customFormat="1" ht="13.8">
      <c r="A43" s="74">
        <v>40</v>
      </c>
      <c r="B43" s="75" t="s">
        <v>4616</v>
      </c>
      <c r="C43" s="76" t="s">
        <v>8</v>
      </c>
      <c r="D43" s="76" t="s">
        <v>35</v>
      </c>
      <c r="E43" s="77">
        <v>824999</v>
      </c>
      <c r="F43" s="169">
        <f t="shared" si="10"/>
        <v>800249.03</v>
      </c>
      <c r="G43" s="78">
        <f t="shared" si="11"/>
        <v>775499.05999999994</v>
      </c>
      <c r="H43" s="170">
        <v>363.07</v>
      </c>
      <c r="I43" s="170">
        <v>290.41000000000003</v>
      </c>
      <c r="J43" s="170">
        <v>72.66</v>
      </c>
      <c r="K43" s="171" t="s">
        <v>4508</v>
      </c>
    </row>
    <row r="44" spans="1:11" s="79" customFormat="1" ht="13.8">
      <c r="A44" s="74">
        <v>41</v>
      </c>
      <c r="B44" s="75" t="s">
        <v>4539</v>
      </c>
      <c r="C44" s="76" t="s">
        <v>8</v>
      </c>
      <c r="D44" s="76" t="s">
        <v>35</v>
      </c>
      <c r="E44" s="77">
        <v>824999</v>
      </c>
      <c r="F44" s="169">
        <f t="shared" si="10"/>
        <v>800249.03</v>
      </c>
      <c r="G44" s="78">
        <f t="shared" si="11"/>
        <v>775499.05999999994</v>
      </c>
      <c r="H44" s="170">
        <v>362.96</v>
      </c>
      <c r="I44" s="170">
        <v>290.3</v>
      </c>
      <c r="J44" s="170">
        <v>72.66</v>
      </c>
      <c r="K44" s="171" t="s">
        <v>4508</v>
      </c>
    </row>
    <row r="45" spans="1:11" s="79" customFormat="1" ht="13.8">
      <c r="A45" s="74">
        <v>42</v>
      </c>
      <c r="B45" s="75" t="s">
        <v>4540</v>
      </c>
      <c r="C45" s="76" t="s">
        <v>8</v>
      </c>
      <c r="D45" s="76" t="s">
        <v>35</v>
      </c>
      <c r="E45" s="77">
        <v>824999</v>
      </c>
      <c r="F45" s="169">
        <f t="shared" si="10"/>
        <v>800249.03</v>
      </c>
      <c r="G45" s="78">
        <f t="shared" si="11"/>
        <v>775499.05999999994</v>
      </c>
      <c r="H45" s="170">
        <v>362.96</v>
      </c>
      <c r="I45" s="170">
        <v>290.3</v>
      </c>
      <c r="J45" s="170">
        <v>72.66</v>
      </c>
      <c r="K45" s="171" t="s">
        <v>4508</v>
      </c>
    </row>
    <row r="46" spans="1:11" s="79" customFormat="1" ht="13.8">
      <c r="A46" s="74">
        <v>43</v>
      </c>
      <c r="B46" s="75" t="s">
        <v>4541</v>
      </c>
      <c r="C46" s="76" t="s">
        <v>8</v>
      </c>
      <c r="D46" s="76" t="s">
        <v>35</v>
      </c>
      <c r="E46" s="77">
        <v>824999</v>
      </c>
      <c r="F46" s="169">
        <f t="shared" si="10"/>
        <v>800249.03</v>
      </c>
      <c r="G46" s="78">
        <f t="shared" si="11"/>
        <v>775499.05999999994</v>
      </c>
      <c r="H46" s="170">
        <v>362.85</v>
      </c>
      <c r="I46" s="170">
        <v>290.2</v>
      </c>
      <c r="J46" s="170">
        <v>72.66</v>
      </c>
      <c r="K46" s="171" t="s">
        <v>4508</v>
      </c>
    </row>
    <row r="47" spans="1:11" s="79" customFormat="1" ht="13.8">
      <c r="A47" s="74">
        <v>44</v>
      </c>
      <c r="B47" s="75" t="s">
        <v>4542</v>
      </c>
      <c r="C47" s="76" t="s">
        <v>8</v>
      </c>
      <c r="D47" s="76" t="s">
        <v>35</v>
      </c>
      <c r="E47" s="77">
        <v>824999</v>
      </c>
      <c r="F47" s="169">
        <f t="shared" si="10"/>
        <v>800249.03</v>
      </c>
      <c r="G47" s="78">
        <f t="shared" si="11"/>
        <v>775499.05999999994</v>
      </c>
      <c r="H47" s="170">
        <v>362.85</v>
      </c>
      <c r="I47" s="170">
        <v>290.2</v>
      </c>
      <c r="J47" s="170">
        <v>72.66</v>
      </c>
      <c r="K47" s="171" t="s">
        <v>4508</v>
      </c>
    </row>
    <row r="48" spans="1:11" s="79" customFormat="1" ht="13.8">
      <c r="A48" s="74">
        <v>45</v>
      </c>
      <c r="B48" s="75" t="s">
        <v>271</v>
      </c>
      <c r="C48" s="76" t="s">
        <v>9</v>
      </c>
      <c r="D48" s="76" t="s">
        <v>35</v>
      </c>
      <c r="E48" s="77">
        <v>823999</v>
      </c>
      <c r="F48" s="169">
        <f t="shared" si="10"/>
        <v>799279.03</v>
      </c>
      <c r="G48" s="78">
        <f t="shared" si="11"/>
        <v>774559.05999999994</v>
      </c>
      <c r="H48" s="170">
        <v>362.95</v>
      </c>
      <c r="I48" s="170">
        <v>290.95</v>
      </c>
      <c r="J48" s="170">
        <v>72</v>
      </c>
      <c r="K48" s="171" t="s">
        <v>4508</v>
      </c>
    </row>
    <row r="49" spans="1:11" s="79" customFormat="1" ht="13.8">
      <c r="A49" s="74">
        <v>46</v>
      </c>
      <c r="B49" s="75" t="s">
        <v>280</v>
      </c>
      <c r="C49" s="76" t="s">
        <v>9</v>
      </c>
      <c r="D49" s="76" t="s">
        <v>35</v>
      </c>
      <c r="E49" s="77">
        <v>823999</v>
      </c>
      <c r="F49" s="169">
        <f t="shared" si="10"/>
        <v>799279.03</v>
      </c>
      <c r="G49" s="78">
        <f t="shared" si="11"/>
        <v>774559.05999999994</v>
      </c>
      <c r="H49" s="170">
        <v>363.07</v>
      </c>
      <c r="I49" s="170">
        <v>290.41000000000003</v>
      </c>
      <c r="J49" s="170">
        <v>72.66</v>
      </c>
      <c r="K49" s="171" t="s">
        <v>4508</v>
      </c>
    </row>
    <row r="50" spans="1:11" s="79" customFormat="1" ht="13.8">
      <c r="A50" s="74">
        <v>47</v>
      </c>
      <c r="B50" s="75" t="s">
        <v>281</v>
      </c>
      <c r="C50" s="76" t="s">
        <v>9</v>
      </c>
      <c r="D50" s="76" t="s">
        <v>35</v>
      </c>
      <c r="E50" s="77">
        <v>823999</v>
      </c>
      <c r="F50" s="169">
        <f t="shared" si="10"/>
        <v>799279.03</v>
      </c>
      <c r="G50" s="78">
        <f t="shared" si="11"/>
        <v>774559.05999999994</v>
      </c>
      <c r="H50" s="170">
        <v>363.07</v>
      </c>
      <c r="I50" s="170">
        <v>290.41000000000003</v>
      </c>
      <c r="J50" s="170">
        <v>72.66</v>
      </c>
      <c r="K50" s="171" t="s">
        <v>4508</v>
      </c>
    </row>
    <row r="51" spans="1:11" s="79" customFormat="1" ht="13.8">
      <c r="A51" s="74">
        <v>48</v>
      </c>
      <c r="B51" s="75" t="s">
        <v>282</v>
      </c>
      <c r="C51" s="76" t="s">
        <v>9</v>
      </c>
      <c r="D51" s="76" t="s">
        <v>35</v>
      </c>
      <c r="E51" s="77">
        <v>823999</v>
      </c>
      <c r="F51" s="169">
        <f t="shared" si="10"/>
        <v>799279.03</v>
      </c>
      <c r="G51" s="78">
        <f t="shared" si="11"/>
        <v>774559.05999999994</v>
      </c>
      <c r="H51" s="170">
        <v>363.07</v>
      </c>
      <c r="I51" s="170">
        <v>290.41000000000003</v>
      </c>
      <c r="J51" s="170">
        <v>72.66</v>
      </c>
      <c r="K51" s="171" t="s">
        <v>4508</v>
      </c>
    </row>
    <row r="52" spans="1:11" s="79" customFormat="1" ht="13.8">
      <c r="A52" s="74">
        <v>49</v>
      </c>
      <c r="B52" s="75" t="s">
        <v>283</v>
      </c>
      <c r="C52" s="76" t="s">
        <v>9</v>
      </c>
      <c r="D52" s="76" t="s">
        <v>35</v>
      </c>
      <c r="E52" s="77">
        <v>823999</v>
      </c>
      <c r="F52" s="169">
        <f t="shared" si="10"/>
        <v>799279.03</v>
      </c>
      <c r="G52" s="78">
        <f t="shared" si="11"/>
        <v>774559.05999999994</v>
      </c>
      <c r="H52" s="170">
        <v>363.07</v>
      </c>
      <c r="I52" s="170">
        <v>290.41000000000003</v>
      </c>
      <c r="J52" s="170">
        <v>72.66</v>
      </c>
      <c r="K52" s="171" t="s">
        <v>4508</v>
      </c>
    </row>
    <row r="53" spans="1:11" s="79" customFormat="1" ht="13.8">
      <c r="A53" s="74">
        <v>50</v>
      </c>
      <c r="B53" s="75" t="s">
        <v>284</v>
      </c>
      <c r="C53" s="76" t="s">
        <v>9</v>
      </c>
      <c r="D53" s="76" t="s">
        <v>35</v>
      </c>
      <c r="E53" s="77">
        <v>823999</v>
      </c>
      <c r="F53" s="169">
        <f t="shared" si="10"/>
        <v>799279.03</v>
      </c>
      <c r="G53" s="78">
        <f t="shared" si="11"/>
        <v>774559.05999999994</v>
      </c>
      <c r="H53" s="170">
        <v>363.07</v>
      </c>
      <c r="I53" s="170">
        <v>290.41000000000003</v>
      </c>
      <c r="J53" s="170">
        <v>72.66</v>
      </c>
      <c r="K53" s="171" t="s">
        <v>4508</v>
      </c>
    </row>
    <row r="54" spans="1:11" s="79" customFormat="1" ht="13.8">
      <c r="A54" s="74">
        <v>51</v>
      </c>
      <c r="B54" s="75" t="s">
        <v>285</v>
      </c>
      <c r="C54" s="76" t="s">
        <v>9</v>
      </c>
      <c r="D54" s="76" t="s">
        <v>35</v>
      </c>
      <c r="E54" s="77">
        <v>823999</v>
      </c>
      <c r="F54" s="169">
        <f t="shared" si="10"/>
        <v>799279.03</v>
      </c>
      <c r="G54" s="78">
        <f t="shared" si="11"/>
        <v>774559.05999999994</v>
      </c>
      <c r="H54" s="170">
        <v>362.96</v>
      </c>
      <c r="I54" s="170">
        <v>290.3</v>
      </c>
      <c r="J54" s="170">
        <v>72.66</v>
      </c>
      <c r="K54" s="171" t="s">
        <v>4508</v>
      </c>
    </row>
    <row r="55" spans="1:11" s="79" customFormat="1" ht="13.8">
      <c r="A55" s="74">
        <v>52</v>
      </c>
      <c r="B55" s="75" t="s">
        <v>272</v>
      </c>
      <c r="C55" s="76" t="s">
        <v>9</v>
      </c>
      <c r="D55" s="76" t="s">
        <v>35</v>
      </c>
      <c r="E55" s="77">
        <v>823999</v>
      </c>
      <c r="F55" s="169">
        <f t="shared" si="10"/>
        <v>799279.03</v>
      </c>
      <c r="G55" s="78">
        <f t="shared" si="11"/>
        <v>774559.05999999994</v>
      </c>
      <c r="H55" s="170">
        <v>362.96</v>
      </c>
      <c r="I55" s="170">
        <v>290.3</v>
      </c>
      <c r="J55" s="170">
        <v>72.66</v>
      </c>
      <c r="K55" s="171" t="s">
        <v>4508</v>
      </c>
    </row>
    <row r="56" spans="1:11" s="79" customFormat="1" ht="13.8">
      <c r="A56" s="74">
        <v>53</v>
      </c>
      <c r="B56" s="75" t="s">
        <v>251</v>
      </c>
      <c r="C56" s="76" t="s">
        <v>10</v>
      </c>
      <c r="D56" s="76" t="s">
        <v>35</v>
      </c>
      <c r="E56" s="77">
        <v>822999</v>
      </c>
      <c r="F56" s="169">
        <f t="shared" si="10"/>
        <v>798309.03</v>
      </c>
      <c r="G56" s="78">
        <f t="shared" si="11"/>
        <v>773619.05999999994</v>
      </c>
      <c r="H56" s="170">
        <v>362.95</v>
      </c>
      <c r="I56" s="170">
        <v>290.95</v>
      </c>
      <c r="J56" s="170">
        <v>72</v>
      </c>
      <c r="K56" s="171" t="s">
        <v>4508</v>
      </c>
    </row>
    <row r="57" spans="1:11" s="79" customFormat="1" ht="13.8">
      <c r="A57" s="74">
        <v>54</v>
      </c>
      <c r="B57" s="75" t="s">
        <v>286</v>
      </c>
      <c r="C57" s="76" t="s">
        <v>9</v>
      </c>
      <c r="D57" s="76" t="s">
        <v>35</v>
      </c>
      <c r="E57" s="77">
        <v>822999</v>
      </c>
      <c r="F57" s="169">
        <f t="shared" si="10"/>
        <v>798309.03</v>
      </c>
      <c r="G57" s="78">
        <f t="shared" si="11"/>
        <v>773619.05999999994</v>
      </c>
      <c r="H57" s="170">
        <v>362.85</v>
      </c>
      <c r="I57" s="170">
        <v>290.2</v>
      </c>
      <c r="J57" s="170">
        <v>72.66</v>
      </c>
      <c r="K57" s="171" t="s">
        <v>4508</v>
      </c>
    </row>
    <row r="58" spans="1:11" s="79" customFormat="1" ht="13.8">
      <c r="A58" s="74">
        <v>55</v>
      </c>
      <c r="B58" s="75" t="s">
        <v>273</v>
      </c>
      <c r="C58" s="76" t="s">
        <v>9</v>
      </c>
      <c r="D58" s="76" t="s">
        <v>35</v>
      </c>
      <c r="E58" s="77">
        <v>822999</v>
      </c>
      <c r="F58" s="169">
        <f t="shared" si="10"/>
        <v>798309.03</v>
      </c>
      <c r="G58" s="78">
        <f t="shared" si="11"/>
        <v>773619.05999999994</v>
      </c>
      <c r="H58" s="170">
        <v>362.85</v>
      </c>
      <c r="I58" s="170">
        <v>290.2</v>
      </c>
      <c r="J58" s="170">
        <v>72.66</v>
      </c>
      <c r="K58" s="171" t="s">
        <v>4508</v>
      </c>
    </row>
    <row r="59" spans="1:11" s="79" customFormat="1" ht="13.8">
      <c r="A59" s="74">
        <v>56</v>
      </c>
      <c r="B59" s="75" t="s">
        <v>250</v>
      </c>
      <c r="C59" s="76" t="s">
        <v>10</v>
      </c>
      <c r="D59" s="76" t="s">
        <v>35</v>
      </c>
      <c r="E59" s="77">
        <v>821999</v>
      </c>
      <c r="F59" s="169">
        <f t="shared" si="10"/>
        <v>797339.03</v>
      </c>
      <c r="G59" s="78">
        <f t="shared" si="11"/>
        <v>772679.05999999994</v>
      </c>
      <c r="H59" s="170">
        <v>362.63</v>
      </c>
      <c r="I59" s="170">
        <v>290.63</v>
      </c>
      <c r="J59" s="170">
        <v>72</v>
      </c>
      <c r="K59" s="171" t="s">
        <v>4508</v>
      </c>
    </row>
    <row r="60" spans="1:11" s="79" customFormat="1" ht="13.8">
      <c r="A60" s="74">
        <v>57</v>
      </c>
      <c r="B60" s="75" t="s">
        <v>249</v>
      </c>
      <c r="C60" s="76" t="s">
        <v>10</v>
      </c>
      <c r="D60" s="76" t="s">
        <v>35</v>
      </c>
      <c r="E60" s="77">
        <v>821999</v>
      </c>
      <c r="F60" s="169">
        <f t="shared" si="10"/>
        <v>797339.03</v>
      </c>
      <c r="G60" s="78">
        <f t="shared" si="11"/>
        <v>772679.05999999994</v>
      </c>
      <c r="H60" s="170">
        <v>363.07</v>
      </c>
      <c r="I60" s="170">
        <v>290.41000000000003</v>
      </c>
      <c r="J60" s="170">
        <v>72.66</v>
      </c>
      <c r="K60" s="171" t="s">
        <v>4508</v>
      </c>
    </row>
    <row r="61" spans="1:11" s="79" customFormat="1" ht="13.8">
      <c r="A61" s="74">
        <v>58</v>
      </c>
      <c r="B61" s="75" t="s">
        <v>248</v>
      </c>
      <c r="C61" s="76" t="s">
        <v>10</v>
      </c>
      <c r="D61" s="76" t="s">
        <v>35</v>
      </c>
      <c r="E61" s="77">
        <v>821999</v>
      </c>
      <c r="F61" s="169">
        <f t="shared" si="10"/>
        <v>797339.03</v>
      </c>
      <c r="G61" s="78">
        <f t="shared" si="11"/>
        <v>772679.05999999994</v>
      </c>
      <c r="H61" s="170">
        <v>363.07</v>
      </c>
      <c r="I61" s="170">
        <v>290.41000000000003</v>
      </c>
      <c r="J61" s="170">
        <v>72.66</v>
      </c>
      <c r="K61" s="171" t="s">
        <v>4508</v>
      </c>
    </row>
    <row r="62" spans="1:11" s="79" customFormat="1" ht="13.8">
      <c r="A62" s="74">
        <v>59</v>
      </c>
      <c r="B62" s="75" t="s">
        <v>247</v>
      </c>
      <c r="C62" s="76" t="s">
        <v>10</v>
      </c>
      <c r="D62" s="76" t="s">
        <v>35</v>
      </c>
      <c r="E62" s="77">
        <v>821999</v>
      </c>
      <c r="F62" s="169">
        <f t="shared" si="10"/>
        <v>797339.03</v>
      </c>
      <c r="G62" s="78">
        <f t="shared" si="11"/>
        <v>772679.05999999994</v>
      </c>
      <c r="H62" s="170">
        <v>363.07</v>
      </c>
      <c r="I62" s="170">
        <v>290.41000000000003</v>
      </c>
      <c r="J62" s="170">
        <v>72.66</v>
      </c>
      <c r="K62" s="171" t="s">
        <v>4508</v>
      </c>
    </row>
    <row r="63" spans="1:11" s="79" customFormat="1" ht="13.8">
      <c r="A63" s="74">
        <v>60</v>
      </c>
      <c r="B63" s="75" t="s">
        <v>246</v>
      </c>
      <c r="C63" s="76" t="s">
        <v>10</v>
      </c>
      <c r="D63" s="76" t="s">
        <v>35</v>
      </c>
      <c r="E63" s="77">
        <v>821999</v>
      </c>
      <c r="F63" s="169">
        <f t="shared" si="10"/>
        <v>797339.03</v>
      </c>
      <c r="G63" s="78">
        <f t="shared" si="11"/>
        <v>772679.05999999994</v>
      </c>
      <c r="H63" s="170">
        <v>363.07</v>
      </c>
      <c r="I63" s="170">
        <v>290.41000000000003</v>
      </c>
      <c r="J63" s="170">
        <v>72.66</v>
      </c>
      <c r="K63" s="171" t="s">
        <v>4508</v>
      </c>
    </row>
    <row r="64" spans="1:11" s="79" customFormat="1" ht="13.8">
      <c r="A64" s="74">
        <v>61</v>
      </c>
      <c r="B64" s="75" t="s">
        <v>245</v>
      </c>
      <c r="C64" s="76" t="s">
        <v>10</v>
      </c>
      <c r="D64" s="76" t="s">
        <v>35</v>
      </c>
      <c r="E64" s="77">
        <v>821999</v>
      </c>
      <c r="F64" s="169">
        <f t="shared" si="10"/>
        <v>797339.03</v>
      </c>
      <c r="G64" s="78">
        <f t="shared" si="11"/>
        <v>772679.05999999994</v>
      </c>
      <c r="H64" s="170">
        <v>363.07</v>
      </c>
      <c r="I64" s="170">
        <v>290.41000000000003</v>
      </c>
      <c r="J64" s="170">
        <v>72.66</v>
      </c>
      <c r="K64" s="171" t="s">
        <v>4508</v>
      </c>
    </row>
    <row r="65" spans="1:11" s="79" customFormat="1" ht="13.8">
      <c r="A65" s="74">
        <v>62</v>
      </c>
      <c r="B65" s="75" t="s">
        <v>244</v>
      </c>
      <c r="C65" s="76" t="s">
        <v>10</v>
      </c>
      <c r="D65" s="76" t="s">
        <v>35</v>
      </c>
      <c r="E65" s="77">
        <v>821999</v>
      </c>
      <c r="F65" s="169">
        <f t="shared" si="10"/>
        <v>797339.03</v>
      </c>
      <c r="G65" s="78">
        <f t="shared" si="11"/>
        <v>772679.05999999994</v>
      </c>
      <c r="H65" s="170">
        <v>362.96</v>
      </c>
      <c r="I65" s="170">
        <v>290.3</v>
      </c>
      <c r="J65" s="170">
        <v>72.66</v>
      </c>
      <c r="K65" s="171" t="s">
        <v>4508</v>
      </c>
    </row>
    <row r="66" spans="1:11" s="79" customFormat="1" ht="13.8">
      <c r="A66" s="74">
        <v>63</v>
      </c>
      <c r="B66" s="75" t="s">
        <v>243</v>
      </c>
      <c r="C66" s="76" t="s">
        <v>10</v>
      </c>
      <c r="D66" s="76" t="s">
        <v>35</v>
      </c>
      <c r="E66" s="77">
        <v>821999</v>
      </c>
      <c r="F66" s="169">
        <f t="shared" si="10"/>
        <v>797339.03</v>
      </c>
      <c r="G66" s="78">
        <f t="shared" si="11"/>
        <v>772679.05999999994</v>
      </c>
      <c r="H66" s="170">
        <v>362.96</v>
      </c>
      <c r="I66" s="170">
        <v>290.3</v>
      </c>
      <c r="J66" s="170">
        <v>72.66</v>
      </c>
      <c r="K66" s="171" t="s">
        <v>4508</v>
      </c>
    </row>
    <row r="67" spans="1:11" s="79" customFormat="1" ht="13.8">
      <c r="A67" s="74">
        <v>64</v>
      </c>
      <c r="B67" s="75" t="s">
        <v>242</v>
      </c>
      <c r="C67" s="76" t="s">
        <v>10</v>
      </c>
      <c r="D67" s="76" t="s">
        <v>35</v>
      </c>
      <c r="E67" s="77">
        <v>821999</v>
      </c>
      <c r="F67" s="169">
        <f t="shared" si="10"/>
        <v>797339.03</v>
      </c>
      <c r="G67" s="78">
        <f t="shared" si="11"/>
        <v>772679.05999999994</v>
      </c>
      <c r="H67" s="170">
        <v>362.96</v>
      </c>
      <c r="I67" s="170">
        <v>290.3</v>
      </c>
      <c r="J67" s="170">
        <v>72.66</v>
      </c>
      <c r="K67" s="171" t="s">
        <v>4508</v>
      </c>
    </row>
    <row r="68" spans="1:11" s="79" customFormat="1" ht="13.8">
      <c r="A68" s="74">
        <v>65</v>
      </c>
      <c r="B68" s="75" t="s">
        <v>241</v>
      </c>
      <c r="C68" s="76" t="s">
        <v>10</v>
      </c>
      <c r="D68" s="76" t="s">
        <v>35</v>
      </c>
      <c r="E68" s="77">
        <v>821999</v>
      </c>
      <c r="F68" s="169">
        <f t="shared" ref="F68:F87" si="12">E68*0.97</f>
        <v>797339.03</v>
      </c>
      <c r="G68" s="78">
        <f t="shared" ref="G68:G87" si="13">E68*0.94</f>
        <v>772679.05999999994</v>
      </c>
      <c r="H68" s="170">
        <v>362.85</v>
      </c>
      <c r="I68" s="170">
        <v>290.2</v>
      </c>
      <c r="J68" s="170">
        <v>72.66</v>
      </c>
      <c r="K68" s="171" t="s">
        <v>4508</v>
      </c>
    </row>
    <row r="69" spans="1:11" s="79" customFormat="1" ht="13.8">
      <c r="A69" s="74">
        <v>66</v>
      </c>
      <c r="B69" s="75" t="s">
        <v>240</v>
      </c>
      <c r="C69" s="76" t="s">
        <v>10</v>
      </c>
      <c r="D69" s="76" t="s">
        <v>35</v>
      </c>
      <c r="E69" s="77">
        <v>821999</v>
      </c>
      <c r="F69" s="169">
        <f t="shared" si="12"/>
        <v>797339.03</v>
      </c>
      <c r="G69" s="78">
        <f t="shared" si="13"/>
        <v>772679.05999999994</v>
      </c>
      <c r="H69" s="170">
        <v>362.85</v>
      </c>
      <c r="I69" s="170">
        <v>290.2</v>
      </c>
      <c r="J69" s="170">
        <v>72.66</v>
      </c>
      <c r="K69" s="171" t="s">
        <v>4508</v>
      </c>
    </row>
    <row r="70" spans="1:11" s="79" customFormat="1" ht="13.8">
      <c r="A70" s="74">
        <v>67</v>
      </c>
      <c r="B70" s="75" t="s">
        <v>287</v>
      </c>
      <c r="C70" s="76" t="s">
        <v>3</v>
      </c>
      <c r="D70" s="76" t="s">
        <v>35</v>
      </c>
      <c r="E70" s="77">
        <v>819999</v>
      </c>
      <c r="F70" s="169">
        <f t="shared" si="12"/>
        <v>795399.03</v>
      </c>
      <c r="G70" s="78">
        <f t="shared" si="13"/>
        <v>770799.05999999994</v>
      </c>
      <c r="H70" s="170">
        <v>362.63</v>
      </c>
      <c r="I70" s="170">
        <v>290.63</v>
      </c>
      <c r="J70" s="170">
        <v>72</v>
      </c>
      <c r="K70" s="171" t="s">
        <v>4508</v>
      </c>
    </row>
    <row r="71" spans="1:11" s="79" customFormat="1" ht="13.8">
      <c r="A71" s="74">
        <v>68</v>
      </c>
      <c r="B71" s="75" t="s">
        <v>288</v>
      </c>
      <c r="C71" s="76" t="s">
        <v>3</v>
      </c>
      <c r="D71" s="76" t="s">
        <v>35</v>
      </c>
      <c r="E71" s="77">
        <v>819999</v>
      </c>
      <c r="F71" s="169">
        <f t="shared" si="12"/>
        <v>795399.03</v>
      </c>
      <c r="G71" s="78">
        <f t="shared" si="13"/>
        <v>770799.05999999994</v>
      </c>
      <c r="H71" s="170">
        <v>362.96</v>
      </c>
      <c r="I71" s="170">
        <v>290.41000000000003</v>
      </c>
      <c r="J71" s="170">
        <v>72.55</v>
      </c>
      <c r="K71" s="171" t="s">
        <v>4508</v>
      </c>
    </row>
    <row r="72" spans="1:11" s="79" customFormat="1" ht="13.8">
      <c r="A72" s="74">
        <v>69</v>
      </c>
      <c r="B72" s="75" t="s">
        <v>289</v>
      </c>
      <c r="C72" s="76" t="s">
        <v>3</v>
      </c>
      <c r="D72" s="76" t="s">
        <v>35</v>
      </c>
      <c r="E72" s="77">
        <v>819999</v>
      </c>
      <c r="F72" s="169">
        <f t="shared" si="12"/>
        <v>795399.03</v>
      </c>
      <c r="G72" s="78">
        <f t="shared" si="13"/>
        <v>770799.05999999994</v>
      </c>
      <c r="H72" s="170">
        <v>362.96</v>
      </c>
      <c r="I72" s="170">
        <v>290.41000000000003</v>
      </c>
      <c r="J72" s="170">
        <v>72.55</v>
      </c>
      <c r="K72" s="171" t="s">
        <v>4508</v>
      </c>
    </row>
    <row r="73" spans="1:11" s="79" customFormat="1" ht="13.8">
      <c r="A73" s="74">
        <v>70</v>
      </c>
      <c r="B73" s="75" t="s">
        <v>290</v>
      </c>
      <c r="C73" s="76" t="s">
        <v>3</v>
      </c>
      <c r="D73" s="76" t="s">
        <v>35</v>
      </c>
      <c r="E73" s="77">
        <v>819999</v>
      </c>
      <c r="F73" s="169">
        <f t="shared" si="12"/>
        <v>795399.03</v>
      </c>
      <c r="G73" s="78">
        <f t="shared" si="13"/>
        <v>770799.05999999994</v>
      </c>
      <c r="H73" s="170">
        <v>362.96</v>
      </c>
      <c r="I73" s="170">
        <v>290.41000000000003</v>
      </c>
      <c r="J73" s="170">
        <v>72.55</v>
      </c>
      <c r="K73" s="171" t="s">
        <v>4508</v>
      </c>
    </row>
    <row r="74" spans="1:11" s="79" customFormat="1" ht="13.8">
      <c r="A74" s="74">
        <v>71</v>
      </c>
      <c r="B74" s="75" t="s">
        <v>291</v>
      </c>
      <c r="C74" s="76" t="s">
        <v>3</v>
      </c>
      <c r="D74" s="76" t="s">
        <v>35</v>
      </c>
      <c r="E74" s="77">
        <v>819999</v>
      </c>
      <c r="F74" s="169">
        <f t="shared" si="12"/>
        <v>795399.03</v>
      </c>
      <c r="G74" s="78">
        <f t="shared" si="13"/>
        <v>770799.05999999994</v>
      </c>
      <c r="H74" s="170">
        <v>362.96</v>
      </c>
      <c r="I74" s="170">
        <v>290.41000000000003</v>
      </c>
      <c r="J74" s="170">
        <v>72.55</v>
      </c>
      <c r="K74" s="171" t="s">
        <v>4508</v>
      </c>
    </row>
    <row r="75" spans="1:11" s="79" customFormat="1" ht="13.8">
      <c r="A75" s="74">
        <v>72</v>
      </c>
      <c r="B75" s="75" t="s">
        <v>292</v>
      </c>
      <c r="C75" s="76" t="s">
        <v>3</v>
      </c>
      <c r="D75" s="76" t="s">
        <v>35</v>
      </c>
      <c r="E75" s="77">
        <v>819999</v>
      </c>
      <c r="F75" s="169">
        <f t="shared" si="12"/>
        <v>795399.03</v>
      </c>
      <c r="G75" s="78">
        <f t="shared" si="13"/>
        <v>770799.05999999994</v>
      </c>
      <c r="H75" s="170">
        <v>362.96</v>
      </c>
      <c r="I75" s="170">
        <v>290.41000000000003</v>
      </c>
      <c r="J75" s="170">
        <v>72.55</v>
      </c>
      <c r="K75" s="171" t="s">
        <v>4508</v>
      </c>
    </row>
    <row r="76" spans="1:11" s="79" customFormat="1" ht="13.8">
      <c r="A76" s="74">
        <v>73</v>
      </c>
      <c r="B76" s="75" t="s">
        <v>293</v>
      </c>
      <c r="C76" s="76" t="s">
        <v>3</v>
      </c>
      <c r="D76" s="76" t="s">
        <v>35</v>
      </c>
      <c r="E76" s="77">
        <v>819999</v>
      </c>
      <c r="F76" s="169">
        <f t="shared" si="12"/>
        <v>795399.03</v>
      </c>
      <c r="G76" s="78">
        <f t="shared" si="13"/>
        <v>770799.05999999994</v>
      </c>
      <c r="H76" s="170">
        <v>362.96</v>
      </c>
      <c r="I76" s="170">
        <v>290.41000000000003</v>
      </c>
      <c r="J76" s="170">
        <v>72.55</v>
      </c>
      <c r="K76" s="171" t="s">
        <v>4508</v>
      </c>
    </row>
    <row r="77" spans="1:11" s="79" customFormat="1" ht="13.8">
      <c r="A77" s="74">
        <v>74</v>
      </c>
      <c r="B77" s="75" t="s">
        <v>294</v>
      </c>
      <c r="C77" s="76" t="s">
        <v>3</v>
      </c>
      <c r="D77" s="76" t="s">
        <v>35</v>
      </c>
      <c r="E77" s="77">
        <v>819999</v>
      </c>
      <c r="F77" s="169">
        <f t="shared" si="12"/>
        <v>795399.03</v>
      </c>
      <c r="G77" s="78">
        <f t="shared" si="13"/>
        <v>770799.05999999994</v>
      </c>
      <c r="H77" s="170">
        <v>362.96</v>
      </c>
      <c r="I77" s="170">
        <v>290.41000000000003</v>
      </c>
      <c r="J77" s="170">
        <v>72.55</v>
      </c>
      <c r="K77" s="171" t="s">
        <v>4508</v>
      </c>
    </row>
    <row r="78" spans="1:11" s="79" customFormat="1" ht="13.8">
      <c r="A78" s="74">
        <v>75</v>
      </c>
      <c r="B78" s="75" t="s">
        <v>295</v>
      </c>
      <c r="C78" s="76" t="s">
        <v>3</v>
      </c>
      <c r="D78" s="76" t="s">
        <v>35</v>
      </c>
      <c r="E78" s="77">
        <v>819999</v>
      </c>
      <c r="F78" s="169">
        <f t="shared" si="12"/>
        <v>795399.03</v>
      </c>
      <c r="G78" s="78">
        <f t="shared" si="13"/>
        <v>770799.05999999994</v>
      </c>
      <c r="H78" s="170">
        <v>362.85</v>
      </c>
      <c r="I78" s="170">
        <v>290.3</v>
      </c>
      <c r="J78" s="170">
        <v>72.55</v>
      </c>
      <c r="K78" s="171" t="s">
        <v>4508</v>
      </c>
    </row>
    <row r="79" spans="1:11" s="79" customFormat="1" ht="13.8">
      <c r="A79" s="74">
        <v>76</v>
      </c>
      <c r="B79" s="75" t="s">
        <v>296</v>
      </c>
      <c r="C79" s="76" t="s">
        <v>3</v>
      </c>
      <c r="D79" s="76" t="s">
        <v>35</v>
      </c>
      <c r="E79" s="77">
        <v>819999</v>
      </c>
      <c r="F79" s="169">
        <f t="shared" si="12"/>
        <v>795399.03</v>
      </c>
      <c r="G79" s="78">
        <f t="shared" si="13"/>
        <v>770799.05999999994</v>
      </c>
      <c r="H79" s="170">
        <v>362.85</v>
      </c>
      <c r="I79" s="170">
        <v>290.3</v>
      </c>
      <c r="J79" s="170">
        <v>72.55</v>
      </c>
      <c r="K79" s="171" t="s">
        <v>4508</v>
      </c>
    </row>
    <row r="80" spans="1:11" s="79" customFormat="1" ht="13.8">
      <c r="A80" s="74">
        <v>77</v>
      </c>
      <c r="B80" s="75" t="s">
        <v>297</v>
      </c>
      <c r="C80" s="76" t="s">
        <v>3</v>
      </c>
      <c r="D80" s="76" t="s">
        <v>35</v>
      </c>
      <c r="E80" s="77">
        <v>819999</v>
      </c>
      <c r="F80" s="169">
        <f t="shared" si="12"/>
        <v>795399.03</v>
      </c>
      <c r="G80" s="78">
        <f t="shared" si="13"/>
        <v>770799.05999999994</v>
      </c>
      <c r="H80" s="170">
        <v>362.85</v>
      </c>
      <c r="I80" s="170">
        <v>290.3</v>
      </c>
      <c r="J80" s="170">
        <v>72.55</v>
      </c>
      <c r="K80" s="171" t="s">
        <v>4508</v>
      </c>
    </row>
    <row r="81" spans="1:11" s="79" customFormat="1" ht="13.8">
      <c r="A81" s="74">
        <v>78</v>
      </c>
      <c r="B81" s="75" t="s">
        <v>298</v>
      </c>
      <c r="C81" s="76" t="s">
        <v>3</v>
      </c>
      <c r="D81" s="76" t="s">
        <v>35</v>
      </c>
      <c r="E81" s="77">
        <v>819999</v>
      </c>
      <c r="F81" s="169">
        <f t="shared" si="12"/>
        <v>795399.03</v>
      </c>
      <c r="G81" s="78">
        <f t="shared" si="13"/>
        <v>770799.05999999994</v>
      </c>
      <c r="H81" s="170">
        <v>362.85</v>
      </c>
      <c r="I81" s="170">
        <v>290.3</v>
      </c>
      <c r="J81" s="170">
        <v>72.55</v>
      </c>
      <c r="K81" s="171" t="s">
        <v>4508</v>
      </c>
    </row>
    <row r="82" spans="1:11" s="79" customFormat="1" ht="13.8">
      <c r="A82" s="74">
        <v>79</v>
      </c>
      <c r="B82" s="75" t="s">
        <v>299</v>
      </c>
      <c r="C82" s="76" t="s">
        <v>3</v>
      </c>
      <c r="D82" s="76" t="s">
        <v>35</v>
      </c>
      <c r="E82" s="77">
        <v>819999</v>
      </c>
      <c r="F82" s="169">
        <f t="shared" si="12"/>
        <v>795399.03</v>
      </c>
      <c r="G82" s="78">
        <f t="shared" si="13"/>
        <v>770799.05999999994</v>
      </c>
      <c r="H82" s="170">
        <v>362.74</v>
      </c>
      <c r="I82" s="170">
        <v>290.2</v>
      </c>
      <c r="J82" s="170">
        <v>72.55</v>
      </c>
      <c r="K82" s="171" t="s">
        <v>4508</v>
      </c>
    </row>
    <row r="83" spans="1:11" s="79" customFormat="1" ht="13.8">
      <c r="A83" s="74">
        <v>80</v>
      </c>
      <c r="B83" s="75" t="s">
        <v>300</v>
      </c>
      <c r="C83" s="76" t="s">
        <v>3</v>
      </c>
      <c r="D83" s="76" t="s">
        <v>35</v>
      </c>
      <c r="E83" s="77">
        <v>819999</v>
      </c>
      <c r="F83" s="169">
        <f t="shared" si="12"/>
        <v>795399.03</v>
      </c>
      <c r="G83" s="78">
        <f t="shared" si="13"/>
        <v>770799.05999999994</v>
      </c>
      <c r="H83" s="170">
        <v>362.74</v>
      </c>
      <c r="I83" s="170">
        <v>290.2</v>
      </c>
      <c r="J83" s="170">
        <v>72.55</v>
      </c>
      <c r="K83" s="171" t="s">
        <v>4508</v>
      </c>
    </row>
    <row r="84" spans="1:11" s="79" customFormat="1" ht="13.8">
      <c r="A84" s="74">
        <v>81</v>
      </c>
      <c r="B84" s="75" t="s">
        <v>312</v>
      </c>
      <c r="C84" s="76" t="s">
        <v>8</v>
      </c>
      <c r="D84" s="76" t="s">
        <v>35</v>
      </c>
      <c r="E84" s="77">
        <v>819999</v>
      </c>
      <c r="F84" s="169">
        <f t="shared" si="12"/>
        <v>795399.03</v>
      </c>
      <c r="G84" s="78">
        <f t="shared" si="13"/>
        <v>770799.05999999994</v>
      </c>
      <c r="H84" s="170">
        <v>360.69</v>
      </c>
      <c r="I84" s="170">
        <v>288.69</v>
      </c>
      <c r="J84" s="170">
        <v>72</v>
      </c>
      <c r="K84" s="171" t="s">
        <v>4508</v>
      </c>
    </row>
    <row r="85" spans="1:11" s="79" customFormat="1" ht="13.8">
      <c r="A85" s="74">
        <v>82</v>
      </c>
      <c r="B85" s="75" t="s">
        <v>313</v>
      </c>
      <c r="C85" s="76" t="s">
        <v>8</v>
      </c>
      <c r="D85" s="76" t="s">
        <v>35</v>
      </c>
      <c r="E85" s="77">
        <v>819999</v>
      </c>
      <c r="F85" s="169">
        <f t="shared" si="12"/>
        <v>795399.03</v>
      </c>
      <c r="G85" s="78">
        <f t="shared" si="13"/>
        <v>770799.05999999994</v>
      </c>
      <c r="H85" s="170">
        <v>360.81</v>
      </c>
      <c r="I85" s="170">
        <v>288.14999999999998</v>
      </c>
      <c r="J85" s="170">
        <v>72.66</v>
      </c>
      <c r="K85" s="171" t="s">
        <v>4508</v>
      </c>
    </row>
    <row r="86" spans="1:11" s="79" customFormat="1" ht="13.8">
      <c r="A86" s="74">
        <v>83</v>
      </c>
      <c r="B86" s="75" t="s">
        <v>274</v>
      </c>
      <c r="C86" s="76" t="s">
        <v>9</v>
      </c>
      <c r="D86" s="76" t="s">
        <v>35</v>
      </c>
      <c r="E86" s="77">
        <v>818999</v>
      </c>
      <c r="F86" s="169">
        <f t="shared" si="12"/>
        <v>794429.03</v>
      </c>
      <c r="G86" s="78">
        <f t="shared" si="13"/>
        <v>769859.05999999994</v>
      </c>
      <c r="H86" s="170">
        <v>360.69</v>
      </c>
      <c r="I86" s="170">
        <v>288.69</v>
      </c>
      <c r="J86" s="170">
        <v>72</v>
      </c>
      <c r="K86" s="171" t="s">
        <v>4508</v>
      </c>
    </row>
    <row r="87" spans="1:11" s="79" customFormat="1" ht="13.8">
      <c r="A87" s="74">
        <v>84</v>
      </c>
      <c r="B87" s="75" t="s">
        <v>314</v>
      </c>
      <c r="C87" s="76" t="s">
        <v>8</v>
      </c>
      <c r="D87" s="76" t="s">
        <v>35</v>
      </c>
      <c r="E87" s="77">
        <v>818999</v>
      </c>
      <c r="F87" s="169">
        <f t="shared" si="12"/>
        <v>794429.03</v>
      </c>
      <c r="G87" s="78">
        <f t="shared" si="13"/>
        <v>769859.05999999994</v>
      </c>
      <c r="H87" s="170">
        <v>360.48</v>
      </c>
      <c r="I87" s="170">
        <v>288.04000000000002</v>
      </c>
      <c r="J87" s="170">
        <v>72.44</v>
      </c>
      <c r="K87" s="171" t="s">
        <v>4508</v>
      </c>
    </row>
    <row r="88" spans="1:11">
      <c r="A88" s="74">
        <v>85</v>
      </c>
      <c r="B88" s="226" t="s">
        <v>4543</v>
      </c>
      <c r="C88" s="227" t="s">
        <v>8</v>
      </c>
      <c r="D88" s="227" t="s">
        <v>35</v>
      </c>
      <c r="E88" s="228">
        <v>818999</v>
      </c>
      <c r="F88" s="169">
        <f t="shared" ref="F88:F119" si="14">E88*0.97</f>
        <v>794429.03</v>
      </c>
      <c r="G88" s="78">
        <f t="shared" ref="G88:G119" si="15">E88*0.94</f>
        <v>769859.05999999994</v>
      </c>
      <c r="H88" s="229">
        <v>360.59</v>
      </c>
      <c r="I88" s="229">
        <v>287.93</v>
      </c>
      <c r="J88" s="229">
        <v>72.66</v>
      </c>
      <c r="K88" s="230" t="s">
        <v>4508</v>
      </c>
    </row>
    <row r="89" spans="1:11">
      <c r="A89" s="74">
        <v>86</v>
      </c>
      <c r="B89" s="226" t="s">
        <v>301</v>
      </c>
      <c r="C89" s="227" t="s">
        <v>9</v>
      </c>
      <c r="D89" s="227" t="s">
        <v>35</v>
      </c>
      <c r="E89" s="228">
        <v>817999</v>
      </c>
      <c r="F89" s="169">
        <f t="shared" si="14"/>
        <v>793459.03</v>
      </c>
      <c r="G89" s="78">
        <f t="shared" si="15"/>
        <v>768919.05999999994</v>
      </c>
      <c r="H89" s="229">
        <v>360.81</v>
      </c>
      <c r="I89" s="229">
        <v>288.14999999999998</v>
      </c>
      <c r="J89" s="229">
        <v>72.66</v>
      </c>
      <c r="K89" s="230" t="s">
        <v>4508</v>
      </c>
    </row>
    <row r="90" spans="1:11">
      <c r="A90" s="74">
        <v>87</v>
      </c>
      <c r="B90" s="226" t="s">
        <v>275</v>
      </c>
      <c r="C90" s="227" t="s">
        <v>9</v>
      </c>
      <c r="D90" s="227" t="s">
        <v>35</v>
      </c>
      <c r="E90" s="228">
        <v>817999</v>
      </c>
      <c r="F90" s="169">
        <f t="shared" si="14"/>
        <v>793459.03</v>
      </c>
      <c r="G90" s="78">
        <f t="shared" si="15"/>
        <v>768919.05999999994</v>
      </c>
      <c r="H90" s="229">
        <v>360.48</v>
      </c>
      <c r="I90" s="229">
        <v>288.04000000000002</v>
      </c>
      <c r="J90" s="229">
        <v>72.44</v>
      </c>
      <c r="K90" s="230" t="s">
        <v>4508</v>
      </c>
    </row>
    <row r="91" spans="1:11">
      <c r="A91" s="74">
        <v>88</v>
      </c>
      <c r="B91" s="226" t="s">
        <v>302</v>
      </c>
      <c r="C91" s="227" t="s">
        <v>10</v>
      </c>
      <c r="D91" s="227" t="s">
        <v>35</v>
      </c>
      <c r="E91" s="228">
        <v>816999</v>
      </c>
      <c r="F91" s="169">
        <f t="shared" si="14"/>
        <v>792489.03</v>
      </c>
      <c r="G91" s="78">
        <f t="shared" si="15"/>
        <v>767979.05999999994</v>
      </c>
      <c r="H91" s="229">
        <v>360.69</v>
      </c>
      <c r="I91" s="229">
        <v>288.69</v>
      </c>
      <c r="J91" s="229">
        <v>72</v>
      </c>
      <c r="K91" s="230" t="s">
        <v>4508</v>
      </c>
    </row>
    <row r="92" spans="1:11">
      <c r="A92" s="74">
        <v>89</v>
      </c>
      <c r="B92" s="226" t="s">
        <v>303</v>
      </c>
      <c r="C92" s="227" t="s">
        <v>9</v>
      </c>
      <c r="D92" s="227" t="s">
        <v>35</v>
      </c>
      <c r="E92" s="228">
        <v>816999</v>
      </c>
      <c r="F92" s="169">
        <f t="shared" si="14"/>
        <v>792489.03</v>
      </c>
      <c r="G92" s="78">
        <f t="shared" si="15"/>
        <v>767979.05999999994</v>
      </c>
      <c r="H92" s="229">
        <v>360.59</v>
      </c>
      <c r="I92" s="229">
        <v>287.93</v>
      </c>
      <c r="J92" s="229">
        <v>72.66</v>
      </c>
      <c r="K92" s="230" t="s">
        <v>4508</v>
      </c>
    </row>
    <row r="93" spans="1:11">
      <c r="A93" s="74">
        <v>90</v>
      </c>
      <c r="B93" s="226" t="s">
        <v>4450</v>
      </c>
      <c r="C93" s="227" t="s">
        <v>315</v>
      </c>
      <c r="D93" s="227" t="s">
        <v>35</v>
      </c>
      <c r="E93" s="228">
        <v>816999</v>
      </c>
      <c r="F93" s="169">
        <f t="shared" si="14"/>
        <v>792489.03</v>
      </c>
      <c r="G93" s="78">
        <f t="shared" si="15"/>
        <v>767979.05999999994</v>
      </c>
      <c r="H93" s="229">
        <v>373.07713446000002</v>
      </c>
      <c r="I93" s="229">
        <v>298.80615269999998</v>
      </c>
      <c r="J93" s="229">
        <v>74.270981759999998</v>
      </c>
      <c r="K93" s="230" t="s">
        <v>4508</v>
      </c>
    </row>
    <row r="94" spans="1:11">
      <c r="A94" s="74">
        <v>91</v>
      </c>
      <c r="B94" s="226" t="s">
        <v>304</v>
      </c>
      <c r="C94" s="227" t="s">
        <v>10</v>
      </c>
      <c r="D94" s="227" t="s">
        <v>35</v>
      </c>
      <c r="E94" s="228">
        <v>815999</v>
      </c>
      <c r="F94" s="169">
        <f t="shared" si="14"/>
        <v>791519.03</v>
      </c>
      <c r="G94" s="78">
        <f t="shared" si="15"/>
        <v>767039.05999999994</v>
      </c>
      <c r="H94" s="229">
        <v>360.48</v>
      </c>
      <c r="I94" s="229">
        <v>288.04000000000002</v>
      </c>
      <c r="J94" s="229">
        <v>72.44</v>
      </c>
      <c r="K94" s="230" t="s">
        <v>4508</v>
      </c>
    </row>
    <row r="95" spans="1:11">
      <c r="A95" s="74">
        <v>92</v>
      </c>
      <c r="B95" s="226" t="s">
        <v>305</v>
      </c>
      <c r="C95" s="227" t="s">
        <v>10</v>
      </c>
      <c r="D95" s="227" t="s">
        <v>35</v>
      </c>
      <c r="E95" s="228">
        <v>815999</v>
      </c>
      <c r="F95" s="169">
        <f t="shared" si="14"/>
        <v>791519.03</v>
      </c>
      <c r="G95" s="78">
        <f t="shared" si="15"/>
        <v>767039.05999999994</v>
      </c>
      <c r="H95" s="229">
        <v>360.59</v>
      </c>
      <c r="I95" s="229">
        <v>287.93</v>
      </c>
      <c r="J95" s="229">
        <v>72.66</v>
      </c>
      <c r="K95" s="230" t="s">
        <v>4508</v>
      </c>
    </row>
    <row r="96" spans="1:11">
      <c r="A96" s="74">
        <v>93</v>
      </c>
      <c r="B96" s="226" t="s">
        <v>306</v>
      </c>
      <c r="C96" s="227" t="s">
        <v>3</v>
      </c>
      <c r="D96" s="227" t="s">
        <v>35</v>
      </c>
      <c r="E96" s="228">
        <v>814999</v>
      </c>
      <c r="F96" s="169">
        <f t="shared" si="14"/>
        <v>790549.03</v>
      </c>
      <c r="G96" s="78">
        <f t="shared" si="15"/>
        <v>766099.05999999994</v>
      </c>
      <c r="H96" s="229">
        <v>361.15</v>
      </c>
      <c r="I96" s="229">
        <v>288.14999999999998</v>
      </c>
      <c r="J96" s="229">
        <v>73</v>
      </c>
      <c r="K96" s="230" t="s">
        <v>4508</v>
      </c>
    </row>
    <row r="97" spans="1:11">
      <c r="A97" s="74">
        <v>94</v>
      </c>
      <c r="B97" s="226" t="s">
        <v>307</v>
      </c>
      <c r="C97" s="227" t="s">
        <v>3</v>
      </c>
      <c r="D97" s="227" t="s">
        <v>35</v>
      </c>
      <c r="E97" s="228">
        <v>814999</v>
      </c>
      <c r="F97" s="169">
        <f t="shared" si="14"/>
        <v>790549.03</v>
      </c>
      <c r="G97" s="78">
        <f t="shared" si="15"/>
        <v>766099.05999999994</v>
      </c>
      <c r="H97" s="229">
        <v>360.7</v>
      </c>
      <c r="I97" s="229">
        <v>288.14999999999998</v>
      </c>
      <c r="J97" s="229">
        <v>72.55</v>
      </c>
      <c r="K97" s="230" t="s">
        <v>4508</v>
      </c>
    </row>
    <row r="98" spans="1:11">
      <c r="A98" s="74">
        <v>95</v>
      </c>
      <c r="B98" s="226" t="s">
        <v>4427</v>
      </c>
      <c r="C98" s="227" t="s">
        <v>8</v>
      </c>
      <c r="D98" s="227" t="s">
        <v>35</v>
      </c>
      <c r="E98" s="228">
        <v>814999</v>
      </c>
      <c r="F98" s="169">
        <f t="shared" si="14"/>
        <v>790549.03</v>
      </c>
      <c r="G98" s="78">
        <f t="shared" si="15"/>
        <v>766099.05999999994</v>
      </c>
      <c r="H98" s="229">
        <v>362.31322405999998</v>
      </c>
      <c r="I98" s="229">
        <v>290.62558080000002</v>
      </c>
      <c r="J98" s="229">
        <v>71.687643260000002</v>
      </c>
      <c r="K98" s="230" t="s">
        <v>4508</v>
      </c>
    </row>
    <row r="99" spans="1:11">
      <c r="A99" s="74">
        <v>96</v>
      </c>
      <c r="B99" s="226" t="s">
        <v>308</v>
      </c>
      <c r="C99" s="227" t="s">
        <v>3</v>
      </c>
      <c r="D99" s="227" t="s">
        <v>35</v>
      </c>
      <c r="E99" s="228">
        <v>813999</v>
      </c>
      <c r="F99" s="169">
        <f t="shared" si="14"/>
        <v>789579.03</v>
      </c>
      <c r="G99" s="78">
        <f t="shared" si="15"/>
        <v>765159.05999999994</v>
      </c>
      <c r="H99" s="229">
        <v>360.48</v>
      </c>
      <c r="I99" s="229">
        <v>288.04000000000002</v>
      </c>
      <c r="J99" s="229">
        <v>72.44</v>
      </c>
      <c r="K99" s="230" t="s">
        <v>4508</v>
      </c>
    </row>
    <row r="100" spans="1:11">
      <c r="A100" s="74">
        <v>97</v>
      </c>
      <c r="B100" s="226" t="s">
        <v>309</v>
      </c>
      <c r="C100" s="227" t="s">
        <v>3</v>
      </c>
      <c r="D100" s="227" t="s">
        <v>35</v>
      </c>
      <c r="E100" s="228">
        <v>813999</v>
      </c>
      <c r="F100" s="169">
        <f t="shared" si="14"/>
        <v>789579.03</v>
      </c>
      <c r="G100" s="78">
        <f t="shared" si="15"/>
        <v>765159.05999999994</v>
      </c>
      <c r="H100" s="229">
        <v>360.59</v>
      </c>
      <c r="I100" s="229">
        <v>288.04000000000002</v>
      </c>
      <c r="J100" s="229">
        <v>72.55</v>
      </c>
      <c r="K100" s="230" t="s">
        <v>4508</v>
      </c>
    </row>
    <row r="101" spans="1:11">
      <c r="A101" s="74">
        <v>98</v>
      </c>
      <c r="B101" s="226" t="s">
        <v>310</v>
      </c>
      <c r="C101" s="227" t="s">
        <v>3</v>
      </c>
      <c r="D101" s="227" t="s">
        <v>35</v>
      </c>
      <c r="E101" s="228">
        <v>813999</v>
      </c>
      <c r="F101" s="169">
        <f t="shared" si="14"/>
        <v>789579.03</v>
      </c>
      <c r="G101" s="78">
        <f t="shared" si="15"/>
        <v>765159.05999999994</v>
      </c>
      <c r="H101" s="229">
        <v>359.93</v>
      </c>
      <c r="I101" s="229">
        <v>287.93</v>
      </c>
      <c r="J101" s="229">
        <v>72</v>
      </c>
      <c r="K101" s="230" t="s">
        <v>4508</v>
      </c>
    </row>
    <row r="102" spans="1:11">
      <c r="A102" s="74">
        <v>99</v>
      </c>
      <c r="B102" s="226" t="s">
        <v>4440</v>
      </c>
      <c r="C102" s="227" t="s">
        <v>9</v>
      </c>
      <c r="D102" s="227" t="s">
        <v>35</v>
      </c>
      <c r="E102" s="228">
        <v>813999</v>
      </c>
      <c r="F102" s="169">
        <f t="shared" si="14"/>
        <v>789579.03</v>
      </c>
      <c r="G102" s="78">
        <f t="shared" si="15"/>
        <v>765159.05999999994</v>
      </c>
      <c r="H102" s="229">
        <v>362.31322405999998</v>
      </c>
      <c r="I102" s="229">
        <v>290.62558080000002</v>
      </c>
      <c r="J102" s="229">
        <v>71.687643260000002</v>
      </c>
      <c r="K102" s="230" t="s">
        <v>4508</v>
      </c>
    </row>
    <row r="103" spans="1:11">
      <c r="A103" s="74">
        <v>100</v>
      </c>
      <c r="B103" s="226" t="s">
        <v>4431</v>
      </c>
      <c r="C103" s="227" t="s">
        <v>8</v>
      </c>
      <c r="D103" s="227" t="s">
        <v>35</v>
      </c>
      <c r="E103" s="228">
        <v>813999</v>
      </c>
      <c r="F103" s="169">
        <f t="shared" si="14"/>
        <v>789579.03</v>
      </c>
      <c r="G103" s="78">
        <f t="shared" si="15"/>
        <v>765159.05999999994</v>
      </c>
      <c r="H103" s="229">
        <v>361.66738945999998</v>
      </c>
      <c r="I103" s="229">
        <v>289.97974620000002</v>
      </c>
      <c r="J103" s="229">
        <v>71.687643260000002</v>
      </c>
      <c r="K103" s="230" t="s">
        <v>4508</v>
      </c>
    </row>
    <row r="104" spans="1:11">
      <c r="A104" s="74">
        <v>101</v>
      </c>
      <c r="B104" s="226" t="s">
        <v>4430</v>
      </c>
      <c r="C104" s="227" t="s">
        <v>8</v>
      </c>
      <c r="D104" s="227" t="s">
        <v>35</v>
      </c>
      <c r="E104" s="228">
        <v>813999</v>
      </c>
      <c r="F104" s="169">
        <f t="shared" si="14"/>
        <v>789579.03</v>
      </c>
      <c r="G104" s="78">
        <f t="shared" si="15"/>
        <v>765159.05999999994</v>
      </c>
      <c r="H104" s="229">
        <v>361.66738945999998</v>
      </c>
      <c r="I104" s="229">
        <v>289.97974620000002</v>
      </c>
      <c r="J104" s="229">
        <v>71.687643260000002</v>
      </c>
      <c r="K104" s="230" t="s">
        <v>4508</v>
      </c>
    </row>
    <row r="105" spans="1:11">
      <c r="A105" s="74">
        <v>102</v>
      </c>
      <c r="B105" s="226" t="s">
        <v>4428</v>
      </c>
      <c r="C105" s="227" t="s">
        <v>8</v>
      </c>
      <c r="D105" s="227" t="s">
        <v>35</v>
      </c>
      <c r="E105" s="228">
        <v>812999</v>
      </c>
      <c r="F105" s="169">
        <f t="shared" si="14"/>
        <v>788609.03</v>
      </c>
      <c r="G105" s="78">
        <f t="shared" si="15"/>
        <v>764219.05999999994</v>
      </c>
      <c r="H105" s="229">
        <v>361.66738946999999</v>
      </c>
      <c r="I105" s="229">
        <v>289.87210709999999</v>
      </c>
      <c r="J105" s="229">
        <v>71.795282369999995</v>
      </c>
      <c r="K105" s="230" t="s">
        <v>4508</v>
      </c>
    </row>
    <row r="106" spans="1:11">
      <c r="A106" s="74">
        <v>103</v>
      </c>
      <c r="B106" s="226" t="s">
        <v>4432</v>
      </c>
      <c r="C106" s="227" t="s">
        <v>8</v>
      </c>
      <c r="D106" s="227" t="s">
        <v>35</v>
      </c>
      <c r="E106" s="228">
        <v>812999</v>
      </c>
      <c r="F106" s="169">
        <f t="shared" si="14"/>
        <v>788609.03</v>
      </c>
      <c r="G106" s="78">
        <f t="shared" si="15"/>
        <v>764219.05999999994</v>
      </c>
      <c r="H106" s="229">
        <v>361.02155477000002</v>
      </c>
      <c r="I106" s="229">
        <v>289.22627240000003</v>
      </c>
      <c r="J106" s="229">
        <v>71.795282369999995</v>
      </c>
      <c r="K106" s="230" t="s">
        <v>4508</v>
      </c>
    </row>
    <row r="107" spans="1:11">
      <c r="A107" s="74">
        <v>104</v>
      </c>
      <c r="B107" s="226" t="s">
        <v>4429</v>
      </c>
      <c r="C107" s="227" t="s">
        <v>8</v>
      </c>
      <c r="D107" s="227" t="s">
        <v>35</v>
      </c>
      <c r="E107" s="228">
        <v>812999</v>
      </c>
      <c r="F107" s="169">
        <f t="shared" si="14"/>
        <v>788609.03</v>
      </c>
      <c r="G107" s="78">
        <f t="shared" si="15"/>
        <v>764219.05999999994</v>
      </c>
      <c r="H107" s="229">
        <v>361.02155477000002</v>
      </c>
      <c r="I107" s="229">
        <v>289.22627240000003</v>
      </c>
      <c r="J107" s="229">
        <v>71.795282369999995</v>
      </c>
      <c r="K107" s="230" t="s">
        <v>4508</v>
      </c>
    </row>
    <row r="108" spans="1:11">
      <c r="A108" s="74">
        <v>105</v>
      </c>
      <c r="B108" s="226" t="s">
        <v>333</v>
      </c>
      <c r="C108" s="227" t="s">
        <v>10</v>
      </c>
      <c r="D108" s="227" t="s">
        <v>35</v>
      </c>
      <c r="E108" s="228">
        <v>811999</v>
      </c>
      <c r="F108" s="169">
        <f t="shared" si="14"/>
        <v>787639.03</v>
      </c>
      <c r="G108" s="78">
        <f t="shared" si="15"/>
        <v>763279.05999999994</v>
      </c>
      <c r="H108" s="229">
        <v>356.18</v>
      </c>
      <c r="I108" s="229">
        <v>290.95</v>
      </c>
      <c r="J108" s="229">
        <v>65.23</v>
      </c>
      <c r="K108" s="230" t="s">
        <v>4508</v>
      </c>
    </row>
    <row r="109" spans="1:11">
      <c r="A109" s="74">
        <v>106</v>
      </c>
      <c r="B109" s="226" t="s">
        <v>4444</v>
      </c>
      <c r="C109" s="227" t="s">
        <v>9</v>
      </c>
      <c r="D109" s="227" t="s">
        <v>35</v>
      </c>
      <c r="E109" s="228">
        <v>811999</v>
      </c>
      <c r="F109" s="169">
        <f t="shared" si="14"/>
        <v>787639.03</v>
      </c>
      <c r="G109" s="78">
        <f t="shared" si="15"/>
        <v>763279.05999999994</v>
      </c>
      <c r="H109" s="229">
        <v>361.66738945999998</v>
      </c>
      <c r="I109" s="229">
        <v>289.97974620000002</v>
      </c>
      <c r="J109" s="229">
        <v>71.687643260000002</v>
      </c>
      <c r="K109" s="230" t="s">
        <v>4508</v>
      </c>
    </row>
    <row r="110" spans="1:11">
      <c r="A110" s="74">
        <v>107</v>
      </c>
      <c r="B110" s="226" t="s">
        <v>4443</v>
      </c>
      <c r="C110" s="227" t="s">
        <v>9</v>
      </c>
      <c r="D110" s="227" t="s">
        <v>35</v>
      </c>
      <c r="E110" s="228">
        <v>811999</v>
      </c>
      <c r="F110" s="169">
        <f t="shared" si="14"/>
        <v>787639.03</v>
      </c>
      <c r="G110" s="78">
        <f t="shared" si="15"/>
        <v>763279.05999999994</v>
      </c>
      <c r="H110" s="229">
        <v>361.66738945999998</v>
      </c>
      <c r="I110" s="229">
        <v>289.97974620000002</v>
      </c>
      <c r="J110" s="229">
        <v>71.687643260000002</v>
      </c>
      <c r="K110" s="230" t="s">
        <v>4508</v>
      </c>
    </row>
    <row r="111" spans="1:11">
      <c r="A111" s="74">
        <v>108</v>
      </c>
      <c r="B111" s="226" t="s">
        <v>4441</v>
      </c>
      <c r="C111" s="227" t="s">
        <v>9</v>
      </c>
      <c r="D111" s="227" t="s">
        <v>35</v>
      </c>
      <c r="E111" s="228">
        <v>811999</v>
      </c>
      <c r="F111" s="169">
        <f t="shared" si="14"/>
        <v>787639.03</v>
      </c>
      <c r="G111" s="78">
        <f t="shared" si="15"/>
        <v>763279.05999999994</v>
      </c>
      <c r="H111" s="229">
        <v>361.66738946999999</v>
      </c>
      <c r="I111" s="229">
        <v>289.87210709999999</v>
      </c>
      <c r="J111" s="229">
        <v>71.795282369999995</v>
      </c>
      <c r="K111" s="230" t="s">
        <v>4508</v>
      </c>
    </row>
    <row r="112" spans="1:11">
      <c r="A112" s="74">
        <v>109</v>
      </c>
      <c r="B112" s="226" t="s">
        <v>4445</v>
      </c>
      <c r="C112" s="227" t="s">
        <v>9</v>
      </c>
      <c r="D112" s="227" t="s">
        <v>35</v>
      </c>
      <c r="E112" s="228">
        <v>811999</v>
      </c>
      <c r="F112" s="169">
        <f t="shared" si="14"/>
        <v>787639.03</v>
      </c>
      <c r="G112" s="78">
        <f t="shared" si="15"/>
        <v>763279.05999999994</v>
      </c>
      <c r="H112" s="229">
        <v>361.02155477000002</v>
      </c>
      <c r="I112" s="229">
        <v>289.22627240000003</v>
      </c>
      <c r="J112" s="229">
        <v>71.795282369999995</v>
      </c>
      <c r="K112" s="230" t="s">
        <v>4508</v>
      </c>
    </row>
    <row r="113" spans="1:11">
      <c r="A113" s="74">
        <v>110</v>
      </c>
      <c r="B113" s="226" t="s">
        <v>4442</v>
      </c>
      <c r="C113" s="227" t="s">
        <v>9</v>
      </c>
      <c r="D113" s="227" t="s">
        <v>35</v>
      </c>
      <c r="E113" s="228">
        <v>811999</v>
      </c>
      <c r="F113" s="169">
        <f t="shared" si="14"/>
        <v>787639.03</v>
      </c>
      <c r="G113" s="78">
        <f t="shared" si="15"/>
        <v>763279.05999999994</v>
      </c>
      <c r="H113" s="229">
        <v>361.02155477000002</v>
      </c>
      <c r="I113" s="229">
        <v>289.22627240000003</v>
      </c>
      <c r="J113" s="229">
        <v>71.795282369999995</v>
      </c>
      <c r="K113" s="230" t="s">
        <v>4508</v>
      </c>
    </row>
    <row r="114" spans="1:11">
      <c r="A114" s="74">
        <v>111</v>
      </c>
      <c r="B114" s="226" t="s">
        <v>334</v>
      </c>
      <c r="C114" s="227" t="s">
        <v>10</v>
      </c>
      <c r="D114" s="227" t="s">
        <v>35</v>
      </c>
      <c r="E114" s="228">
        <v>810999</v>
      </c>
      <c r="F114" s="169">
        <f t="shared" si="14"/>
        <v>786669.03</v>
      </c>
      <c r="G114" s="78">
        <f t="shared" si="15"/>
        <v>762339.05999999994</v>
      </c>
      <c r="H114" s="229">
        <v>362.1</v>
      </c>
      <c r="I114" s="229">
        <v>290.41000000000003</v>
      </c>
      <c r="J114" s="229">
        <v>71.69</v>
      </c>
      <c r="K114" s="230" t="s">
        <v>4508</v>
      </c>
    </row>
    <row r="115" spans="1:11">
      <c r="A115" s="74">
        <v>112</v>
      </c>
      <c r="B115" s="226" t="s">
        <v>335</v>
      </c>
      <c r="C115" s="227" t="s">
        <v>10</v>
      </c>
      <c r="D115" s="227" t="s">
        <v>35</v>
      </c>
      <c r="E115" s="228">
        <v>810999</v>
      </c>
      <c r="F115" s="169">
        <f t="shared" si="14"/>
        <v>786669.03</v>
      </c>
      <c r="G115" s="78">
        <f t="shared" si="15"/>
        <v>762339.05999999994</v>
      </c>
      <c r="H115" s="229">
        <v>362.1</v>
      </c>
      <c r="I115" s="229">
        <v>290.41000000000003</v>
      </c>
      <c r="J115" s="229">
        <v>71.69</v>
      </c>
      <c r="K115" s="230" t="s">
        <v>4508</v>
      </c>
    </row>
    <row r="116" spans="1:11">
      <c r="A116" s="74">
        <v>113</v>
      </c>
      <c r="B116" s="226" t="s">
        <v>325</v>
      </c>
      <c r="C116" s="227" t="s">
        <v>3</v>
      </c>
      <c r="D116" s="227" t="s">
        <v>35</v>
      </c>
      <c r="E116" s="228">
        <v>809999</v>
      </c>
      <c r="F116" s="169">
        <f t="shared" si="14"/>
        <v>785699.03</v>
      </c>
      <c r="G116" s="78">
        <f t="shared" si="15"/>
        <v>761399.05999999994</v>
      </c>
      <c r="H116" s="229">
        <v>356.18</v>
      </c>
      <c r="I116" s="229">
        <v>290.95</v>
      </c>
      <c r="J116" s="229">
        <v>65.23</v>
      </c>
      <c r="K116" s="230" t="s">
        <v>4508</v>
      </c>
    </row>
    <row r="117" spans="1:11">
      <c r="A117" s="74">
        <v>114</v>
      </c>
      <c r="B117" s="226" t="s">
        <v>336</v>
      </c>
      <c r="C117" s="227" t="s">
        <v>10</v>
      </c>
      <c r="D117" s="227" t="s">
        <v>35</v>
      </c>
      <c r="E117" s="228">
        <v>809999</v>
      </c>
      <c r="F117" s="169">
        <f t="shared" si="14"/>
        <v>785699.03</v>
      </c>
      <c r="G117" s="78">
        <f t="shared" si="15"/>
        <v>761399.05999999994</v>
      </c>
      <c r="H117" s="229">
        <v>357.36</v>
      </c>
      <c r="I117" s="229">
        <v>290.3</v>
      </c>
      <c r="J117" s="229">
        <v>67.06</v>
      </c>
      <c r="K117" s="230" t="s">
        <v>4508</v>
      </c>
    </row>
    <row r="118" spans="1:11">
      <c r="A118" s="74">
        <v>115</v>
      </c>
      <c r="B118" s="226" t="s">
        <v>337</v>
      </c>
      <c r="C118" s="227" t="s">
        <v>10</v>
      </c>
      <c r="D118" s="227" t="s">
        <v>35</v>
      </c>
      <c r="E118" s="228">
        <v>809999</v>
      </c>
      <c r="F118" s="169">
        <f t="shared" si="14"/>
        <v>785699.03</v>
      </c>
      <c r="G118" s="78">
        <f t="shared" si="15"/>
        <v>761399.05999999994</v>
      </c>
      <c r="H118" s="229">
        <v>362</v>
      </c>
      <c r="I118" s="229">
        <v>290.2</v>
      </c>
      <c r="J118" s="229">
        <v>71.8</v>
      </c>
      <c r="K118" s="230" t="s">
        <v>4508</v>
      </c>
    </row>
    <row r="119" spans="1:11">
      <c r="A119" s="74">
        <v>116</v>
      </c>
      <c r="B119" s="226" t="s">
        <v>338</v>
      </c>
      <c r="C119" s="227" t="s">
        <v>10</v>
      </c>
      <c r="D119" s="227" t="s">
        <v>35</v>
      </c>
      <c r="E119" s="228">
        <v>809999</v>
      </c>
      <c r="F119" s="169">
        <f t="shared" si="14"/>
        <v>785699.03</v>
      </c>
      <c r="G119" s="78">
        <f t="shared" si="15"/>
        <v>761399.05999999994</v>
      </c>
      <c r="H119" s="229">
        <v>359.95</v>
      </c>
      <c r="I119" s="229">
        <v>290.2</v>
      </c>
      <c r="J119" s="229">
        <v>69.75</v>
      </c>
      <c r="K119" s="230" t="s">
        <v>4508</v>
      </c>
    </row>
    <row r="120" spans="1:11">
      <c r="A120" s="74">
        <v>117</v>
      </c>
      <c r="B120" s="226" t="s">
        <v>326</v>
      </c>
      <c r="C120" s="227" t="s">
        <v>3</v>
      </c>
      <c r="D120" s="227" t="s">
        <v>35</v>
      </c>
      <c r="E120" s="228">
        <v>808999</v>
      </c>
      <c r="F120" s="169">
        <f t="shared" ref="F120:F127" si="16">E120*0.97</f>
        <v>784729.03</v>
      </c>
      <c r="G120" s="78">
        <f t="shared" ref="G120:G127" si="17">E120*0.94</f>
        <v>760459.05999999994</v>
      </c>
      <c r="H120" s="229">
        <v>362.1</v>
      </c>
      <c r="I120" s="229">
        <v>290.41000000000003</v>
      </c>
      <c r="J120" s="229">
        <v>71.69</v>
      </c>
      <c r="K120" s="230" t="s">
        <v>4508</v>
      </c>
    </row>
    <row r="121" spans="1:11">
      <c r="A121" s="74">
        <v>118</v>
      </c>
      <c r="B121" s="226" t="s">
        <v>327</v>
      </c>
      <c r="C121" s="227" t="s">
        <v>3</v>
      </c>
      <c r="D121" s="227" t="s">
        <v>35</v>
      </c>
      <c r="E121" s="228">
        <v>808999</v>
      </c>
      <c r="F121" s="169">
        <f t="shared" si="16"/>
        <v>784729.03</v>
      </c>
      <c r="G121" s="78">
        <f t="shared" si="17"/>
        <v>760459.05999999994</v>
      </c>
      <c r="H121" s="229">
        <v>362.1</v>
      </c>
      <c r="I121" s="229">
        <v>290.41000000000003</v>
      </c>
      <c r="J121" s="229">
        <v>71.69</v>
      </c>
      <c r="K121" s="230" t="s">
        <v>4508</v>
      </c>
    </row>
    <row r="122" spans="1:11">
      <c r="A122" s="74">
        <v>119</v>
      </c>
      <c r="B122" s="226" t="s">
        <v>328</v>
      </c>
      <c r="C122" s="227" t="s">
        <v>3</v>
      </c>
      <c r="D122" s="227" t="s">
        <v>35</v>
      </c>
      <c r="E122" s="228">
        <v>808999</v>
      </c>
      <c r="F122" s="169">
        <f t="shared" si="16"/>
        <v>784729.03</v>
      </c>
      <c r="G122" s="78">
        <f t="shared" si="17"/>
        <v>760459.05999999994</v>
      </c>
      <c r="H122" s="229">
        <v>357.36</v>
      </c>
      <c r="I122" s="229">
        <v>290.3</v>
      </c>
      <c r="J122" s="229">
        <v>67.06</v>
      </c>
      <c r="K122" s="230" t="s">
        <v>4508</v>
      </c>
    </row>
    <row r="123" spans="1:11">
      <c r="A123" s="74">
        <v>120</v>
      </c>
      <c r="B123" s="226" t="s">
        <v>329</v>
      </c>
      <c r="C123" s="227" t="s">
        <v>3</v>
      </c>
      <c r="D123" s="227" t="s">
        <v>35</v>
      </c>
      <c r="E123" s="228">
        <v>808999</v>
      </c>
      <c r="F123" s="169">
        <f t="shared" si="16"/>
        <v>784729.03</v>
      </c>
      <c r="G123" s="78">
        <f t="shared" si="17"/>
        <v>760459.05999999994</v>
      </c>
      <c r="H123" s="229">
        <v>359.95</v>
      </c>
      <c r="I123" s="229">
        <v>290.2</v>
      </c>
      <c r="J123" s="229">
        <v>69.75</v>
      </c>
      <c r="K123" s="230" t="s">
        <v>4508</v>
      </c>
    </row>
    <row r="124" spans="1:11">
      <c r="A124" s="74">
        <v>121</v>
      </c>
      <c r="B124" s="226" t="s">
        <v>330</v>
      </c>
      <c r="C124" s="227" t="s">
        <v>3</v>
      </c>
      <c r="D124" s="227" t="s">
        <v>35</v>
      </c>
      <c r="E124" s="228">
        <v>808999</v>
      </c>
      <c r="F124" s="169">
        <f t="shared" si="16"/>
        <v>784729.03</v>
      </c>
      <c r="G124" s="78">
        <f t="shared" si="17"/>
        <v>760459.05999999994</v>
      </c>
      <c r="H124" s="229">
        <v>362</v>
      </c>
      <c r="I124" s="229">
        <v>290.2</v>
      </c>
      <c r="J124" s="229">
        <v>71.8</v>
      </c>
      <c r="K124" s="230" t="s">
        <v>4508</v>
      </c>
    </row>
    <row r="125" spans="1:11">
      <c r="A125" s="74">
        <v>122</v>
      </c>
      <c r="B125" s="226" t="s">
        <v>4433</v>
      </c>
      <c r="C125" s="227" t="s">
        <v>8</v>
      </c>
      <c r="D125" s="227" t="s">
        <v>35</v>
      </c>
      <c r="E125" s="228">
        <v>808999</v>
      </c>
      <c r="F125" s="169">
        <f t="shared" si="16"/>
        <v>784729.03</v>
      </c>
      <c r="G125" s="78">
        <f t="shared" si="17"/>
        <v>760459.05999999994</v>
      </c>
      <c r="H125" s="229">
        <v>359.51460737000002</v>
      </c>
      <c r="I125" s="229">
        <v>287.71932500000003</v>
      </c>
      <c r="J125" s="229">
        <v>71.795282369999995</v>
      </c>
      <c r="K125" s="230" t="s">
        <v>4508</v>
      </c>
    </row>
    <row r="126" spans="1:11">
      <c r="A126" s="74">
        <v>123</v>
      </c>
      <c r="B126" s="226" t="s">
        <v>4446</v>
      </c>
      <c r="C126" s="227" t="s">
        <v>9</v>
      </c>
      <c r="D126" s="227" t="s">
        <v>35</v>
      </c>
      <c r="E126" s="228">
        <v>806999</v>
      </c>
      <c r="F126" s="169">
        <f t="shared" si="16"/>
        <v>782789.03</v>
      </c>
      <c r="G126" s="78">
        <f t="shared" si="17"/>
        <v>758579.05999999994</v>
      </c>
      <c r="H126" s="229">
        <v>359.51460737000002</v>
      </c>
      <c r="I126" s="229">
        <v>287.71932500000003</v>
      </c>
      <c r="J126" s="229">
        <v>71.795282369999995</v>
      </c>
      <c r="K126" s="230" t="s">
        <v>4508</v>
      </c>
    </row>
    <row r="127" spans="1:11">
      <c r="A127" s="74">
        <v>124</v>
      </c>
      <c r="B127" s="226" t="s">
        <v>331</v>
      </c>
      <c r="C127" s="227" t="s">
        <v>3</v>
      </c>
      <c r="D127" s="227" t="s">
        <v>35</v>
      </c>
      <c r="E127" s="228">
        <v>799999</v>
      </c>
      <c r="F127" s="169">
        <f t="shared" si="16"/>
        <v>775999.03</v>
      </c>
      <c r="G127" s="78">
        <f t="shared" si="17"/>
        <v>751999.05999999994</v>
      </c>
      <c r="H127" s="229">
        <v>359.95</v>
      </c>
      <c r="I127" s="229">
        <v>288.14999999999998</v>
      </c>
      <c r="J127" s="229">
        <v>71.8</v>
      </c>
      <c r="K127" s="230" t="s">
        <v>4508</v>
      </c>
    </row>
  </sheetData>
  <mergeCells count="2">
    <mergeCell ref="A1:K1"/>
    <mergeCell ref="A2:K2"/>
  </mergeCells>
  <conditionalFormatting sqref="B1:B3">
    <cfRule type="duplicateValues" dxfId="11755" priority="67"/>
    <cfRule type="duplicateValues" dxfId="11754" priority="68"/>
    <cfRule type="duplicateValues" dxfId="11753" priority="69"/>
  </conditionalFormatting>
  <conditionalFormatting sqref="B1:B87">
    <cfRule type="duplicateValues" dxfId="11752" priority="235156"/>
    <cfRule type="duplicateValues" dxfId="11751" priority="235157"/>
    <cfRule type="duplicateValues" dxfId="11750" priority="235158"/>
    <cfRule type="duplicateValues" dxfId="11749" priority="235159"/>
    <cfRule type="duplicateValues" dxfId="11748" priority="235160"/>
    <cfRule type="duplicateValues" dxfId="11747" priority="235161"/>
    <cfRule type="duplicateValues" dxfId="11746" priority="235162"/>
    <cfRule type="duplicateValues" dxfId="11745" priority="235163"/>
    <cfRule type="duplicateValues" dxfId="11744" priority="235164"/>
  </conditionalFormatting>
  <conditionalFormatting sqref="B4:B127">
    <cfRule type="duplicateValues" dxfId="11743" priority="250030"/>
    <cfRule type="duplicateValues" dxfId="11742" priority="250031"/>
    <cfRule type="duplicateValues" dxfId="11741" priority="250032"/>
    <cfRule type="duplicateValues" dxfId="11740" priority="250033"/>
    <cfRule type="duplicateValues" dxfId="11739" priority="250034"/>
    <cfRule type="duplicateValues" dxfId="11738" priority="250035"/>
    <cfRule type="duplicateValues" dxfId="11737" priority="250036"/>
  </conditionalFormatting>
  <conditionalFormatting sqref="B1:B1048576">
    <cfRule type="duplicateValues" dxfId="11736" priority="1"/>
  </conditionalFormatting>
  <conditionalFormatting sqref="B1:B129">
    <cfRule type="duplicateValues" dxfId="11735" priority="252015"/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DB78-B165-43F4-B46A-B8780239B478}">
  <dimension ref="A1:K112"/>
  <sheetViews>
    <sheetView zoomScale="85" zoomScaleNormal="85" workbookViewId="0">
      <selection sqref="A1:K1"/>
    </sheetView>
  </sheetViews>
  <sheetFormatPr defaultColWidth="10.6640625" defaultRowHeight="14.4"/>
  <cols>
    <col min="1" max="1" width="4" bestFit="1" customWidth="1"/>
    <col min="2" max="2" width="15.33203125" customWidth="1"/>
    <col min="3" max="3" width="9.109375" customWidth="1"/>
    <col min="4" max="4" width="12.33203125" customWidth="1"/>
    <col min="5" max="5" width="14.33203125" style="172" customWidth="1"/>
    <col min="6" max="6" width="15.6640625" style="172" customWidth="1"/>
    <col min="7" max="7" width="14.33203125" style="172" customWidth="1"/>
    <col min="8" max="8" width="14.88671875" style="172" customWidth="1"/>
    <col min="9" max="9" width="13.21875" style="172" customWidth="1"/>
    <col min="10" max="10" width="15" style="172" customWidth="1"/>
    <col min="11" max="11" width="39.88671875" customWidth="1"/>
  </cols>
  <sheetData>
    <row r="1" spans="1:11" ht="25.8">
      <c r="A1" s="298" t="s">
        <v>60</v>
      </c>
      <c r="B1" s="299"/>
      <c r="C1" s="299"/>
      <c r="D1" s="299"/>
      <c r="E1" s="299"/>
      <c r="F1" s="299"/>
      <c r="G1" s="299"/>
      <c r="H1" s="299"/>
      <c r="I1" s="299"/>
      <c r="J1" s="299"/>
      <c r="K1" s="300"/>
    </row>
    <row r="2" spans="1:11" ht="15.6">
      <c r="A2" s="304" t="s">
        <v>110</v>
      </c>
      <c r="B2" s="305"/>
      <c r="C2" s="305"/>
      <c r="D2" s="305"/>
      <c r="E2" s="305"/>
      <c r="F2" s="305"/>
      <c r="G2" s="305"/>
      <c r="H2" s="305"/>
      <c r="I2" s="305"/>
      <c r="J2" s="305"/>
      <c r="K2" s="306"/>
    </row>
    <row r="3" spans="1:11">
      <c r="A3" s="147" t="s">
        <v>22</v>
      </c>
      <c r="B3" s="148" t="s">
        <v>13</v>
      </c>
      <c r="C3" s="148" t="s">
        <v>26</v>
      </c>
      <c r="D3" s="148" t="s">
        <v>14</v>
      </c>
      <c r="E3" s="150" t="s">
        <v>28</v>
      </c>
      <c r="F3" s="150" t="s">
        <v>29</v>
      </c>
      <c r="G3" s="150" t="s">
        <v>43</v>
      </c>
      <c r="H3" s="150" t="s">
        <v>0</v>
      </c>
      <c r="I3" s="150" t="s">
        <v>1</v>
      </c>
      <c r="J3" s="150" t="s">
        <v>2</v>
      </c>
      <c r="K3" s="148" t="s">
        <v>19</v>
      </c>
    </row>
    <row r="4" spans="1:11">
      <c r="A4" s="1">
        <v>1</v>
      </c>
      <c r="B4" s="13" t="s">
        <v>4947</v>
      </c>
      <c r="C4" s="1" t="s">
        <v>6</v>
      </c>
      <c r="D4" s="44" t="s">
        <v>35</v>
      </c>
      <c r="E4" s="72">
        <v>835999</v>
      </c>
      <c r="F4" s="10">
        <f t="shared" ref="F4:F5" si="0">E4*0.97</f>
        <v>810919.03</v>
      </c>
      <c r="G4" s="9">
        <f t="shared" ref="G4:G5" si="1">E4*0.94</f>
        <v>785839.05999999994</v>
      </c>
      <c r="H4" s="243">
        <v>415.7</v>
      </c>
      <c r="I4" s="72">
        <v>299.77</v>
      </c>
      <c r="J4" s="72">
        <v>115.93</v>
      </c>
      <c r="K4" s="72" t="s">
        <v>4959</v>
      </c>
    </row>
    <row r="5" spans="1:11">
      <c r="A5" s="1">
        <v>2</v>
      </c>
      <c r="B5" s="13" t="s">
        <v>4948</v>
      </c>
      <c r="C5" s="1" t="s">
        <v>7</v>
      </c>
      <c r="D5" s="44" t="s">
        <v>35</v>
      </c>
      <c r="E5" s="72">
        <v>835999</v>
      </c>
      <c r="F5" s="10">
        <f t="shared" si="0"/>
        <v>810919.03</v>
      </c>
      <c r="G5" s="9">
        <f t="shared" si="1"/>
        <v>785839.05999999994</v>
      </c>
      <c r="H5" s="243">
        <v>415.81</v>
      </c>
      <c r="I5" s="72">
        <v>299.88</v>
      </c>
      <c r="J5" s="72">
        <v>115.93</v>
      </c>
      <c r="K5" s="72" t="s">
        <v>4959</v>
      </c>
    </row>
    <row r="6" spans="1:11">
      <c r="A6" s="1">
        <v>3</v>
      </c>
      <c r="B6" s="13" t="s">
        <v>4949</v>
      </c>
      <c r="C6" s="1" t="s">
        <v>7</v>
      </c>
      <c r="D6" s="44" t="s">
        <v>35</v>
      </c>
      <c r="E6" s="72">
        <v>834999</v>
      </c>
      <c r="F6" s="10">
        <f t="shared" ref="F6:F69" si="2">E6*0.97</f>
        <v>809949.03</v>
      </c>
      <c r="G6" s="9">
        <f t="shared" ref="G6:G69" si="3">E6*0.94</f>
        <v>784899.05999999994</v>
      </c>
      <c r="H6" s="243">
        <v>415.7</v>
      </c>
      <c r="I6" s="72">
        <v>299.77</v>
      </c>
      <c r="J6" s="72">
        <v>115.93</v>
      </c>
      <c r="K6" s="72" t="s">
        <v>4959</v>
      </c>
    </row>
    <row r="7" spans="1:11">
      <c r="A7" s="1">
        <v>4</v>
      </c>
      <c r="B7" s="13" t="s">
        <v>4950</v>
      </c>
      <c r="C7" s="1" t="s">
        <v>32</v>
      </c>
      <c r="D7" s="44" t="s">
        <v>35</v>
      </c>
      <c r="E7" s="72">
        <v>805999</v>
      </c>
      <c r="F7" s="10">
        <f t="shared" si="2"/>
        <v>781819.03</v>
      </c>
      <c r="G7" s="9">
        <f t="shared" si="3"/>
        <v>757639.05999999994</v>
      </c>
      <c r="H7" s="243">
        <v>372.65</v>
      </c>
      <c r="I7" s="72">
        <v>302.14</v>
      </c>
      <c r="J7" s="72">
        <v>70.5</v>
      </c>
      <c r="K7" s="72" t="s">
        <v>59</v>
      </c>
    </row>
    <row r="8" spans="1:11">
      <c r="A8" s="1">
        <v>5</v>
      </c>
      <c r="B8" s="13" t="s">
        <v>4951</v>
      </c>
      <c r="C8" s="1" t="s">
        <v>4459</v>
      </c>
      <c r="D8" s="44" t="s">
        <v>35</v>
      </c>
      <c r="E8" s="72">
        <v>805999</v>
      </c>
      <c r="F8" s="10">
        <f t="shared" si="2"/>
        <v>781819.03</v>
      </c>
      <c r="G8" s="9">
        <f t="shared" si="3"/>
        <v>757639.05999999994</v>
      </c>
      <c r="H8" s="243">
        <v>372.65</v>
      </c>
      <c r="I8" s="72">
        <v>302.14</v>
      </c>
      <c r="J8" s="72">
        <v>70.5</v>
      </c>
      <c r="K8" s="72" t="s">
        <v>59</v>
      </c>
    </row>
    <row r="9" spans="1:11">
      <c r="A9" s="1">
        <v>6</v>
      </c>
      <c r="B9" s="13" t="s">
        <v>4952</v>
      </c>
      <c r="C9" s="1" t="s">
        <v>4459</v>
      </c>
      <c r="D9" s="44" t="s">
        <v>35</v>
      </c>
      <c r="E9" s="72">
        <v>805999</v>
      </c>
      <c r="F9" s="10">
        <f t="shared" si="2"/>
        <v>781819.03</v>
      </c>
      <c r="G9" s="9">
        <f t="shared" si="3"/>
        <v>757639.05999999994</v>
      </c>
      <c r="H9" s="243">
        <v>372.65</v>
      </c>
      <c r="I9" s="72">
        <v>302.14</v>
      </c>
      <c r="J9" s="72">
        <v>70.5</v>
      </c>
      <c r="K9" s="72" t="s">
        <v>59</v>
      </c>
    </row>
    <row r="10" spans="1:11">
      <c r="A10" s="1">
        <v>7</v>
      </c>
      <c r="B10" s="13" t="s">
        <v>4953</v>
      </c>
      <c r="C10" s="1" t="s">
        <v>5</v>
      </c>
      <c r="D10" s="44" t="s">
        <v>35</v>
      </c>
      <c r="E10" s="72">
        <v>804999</v>
      </c>
      <c r="F10" s="10">
        <f t="shared" si="2"/>
        <v>780849.03</v>
      </c>
      <c r="G10" s="9">
        <f t="shared" si="3"/>
        <v>756699.05999999994</v>
      </c>
      <c r="H10" s="243">
        <v>372.65</v>
      </c>
      <c r="I10" s="72">
        <v>302.14</v>
      </c>
      <c r="J10" s="72">
        <v>70.5</v>
      </c>
      <c r="K10" s="72" t="s">
        <v>59</v>
      </c>
    </row>
    <row r="11" spans="1:11">
      <c r="A11" s="1">
        <v>8</v>
      </c>
      <c r="B11" s="13" t="s">
        <v>4954</v>
      </c>
      <c r="C11" s="1" t="s">
        <v>4458</v>
      </c>
      <c r="D11" s="44" t="s">
        <v>35</v>
      </c>
      <c r="E11" s="72">
        <v>802999</v>
      </c>
      <c r="F11" s="10">
        <f t="shared" si="2"/>
        <v>778909.03</v>
      </c>
      <c r="G11" s="9">
        <f t="shared" si="3"/>
        <v>754819.05999999994</v>
      </c>
      <c r="H11" s="243">
        <v>372.65</v>
      </c>
      <c r="I11" s="72">
        <v>302.14</v>
      </c>
      <c r="J11" s="72">
        <v>70.5</v>
      </c>
      <c r="K11" s="72" t="s">
        <v>59</v>
      </c>
    </row>
    <row r="12" spans="1:11">
      <c r="A12" s="1">
        <v>9</v>
      </c>
      <c r="B12" s="13" t="s">
        <v>4955</v>
      </c>
      <c r="C12" s="1" t="s">
        <v>4458</v>
      </c>
      <c r="D12" s="44" t="s">
        <v>35</v>
      </c>
      <c r="E12" s="72">
        <v>802999</v>
      </c>
      <c r="F12" s="10">
        <f t="shared" si="2"/>
        <v>778909.03</v>
      </c>
      <c r="G12" s="9">
        <f t="shared" si="3"/>
        <v>754819.05999999994</v>
      </c>
      <c r="H12" s="243">
        <v>372.65</v>
      </c>
      <c r="I12" s="72">
        <v>302.14</v>
      </c>
      <c r="J12" s="72">
        <v>70.5</v>
      </c>
      <c r="K12" s="72" t="s">
        <v>59</v>
      </c>
    </row>
    <row r="13" spans="1:11">
      <c r="A13" s="1">
        <v>10</v>
      </c>
      <c r="B13" s="13" t="s">
        <v>4956</v>
      </c>
      <c r="C13" s="1" t="s">
        <v>6</v>
      </c>
      <c r="D13" s="44" t="s">
        <v>35</v>
      </c>
      <c r="E13" s="72">
        <v>801999</v>
      </c>
      <c r="F13" s="10">
        <f t="shared" si="2"/>
        <v>777939.03</v>
      </c>
      <c r="G13" s="9">
        <f t="shared" si="3"/>
        <v>753879.05999999994</v>
      </c>
      <c r="H13" s="243">
        <v>372.65</v>
      </c>
      <c r="I13" s="72">
        <v>302.14</v>
      </c>
      <c r="J13" s="72">
        <v>70.5</v>
      </c>
      <c r="K13" s="72" t="s">
        <v>59</v>
      </c>
    </row>
    <row r="14" spans="1:11">
      <c r="A14" s="1">
        <v>11</v>
      </c>
      <c r="B14" s="13" t="s">
        <v>4957</v>
      </c>
      <c r="C14" s="1" t="s">
        <v>8</v>
      </c>
      <c r="D14" s="44" t="s">
        <v>35</v>
      </c>
      <c r="E14" s="72">
        <v>800999</v>
      </c>
      <c r="F14" s="10">
        <f t="shared" si="2"/>
        <v>776969.03</v>
      </c>
      <c r="G14" s="9">
        <f t="shared" si="3"/>
        <v>752939.05999999994</v>
      </c>
      <c r="H14" s="243">
        <v>372.65</v>
      </c>
      <c r="I14" s="72">
        <v>302.14</v>
      </c>
      <c r="J14" s="72">
        <v>70.5</v>
      </c>
      <c r="K14" s="72" t="s">
        <v>59</v>
      </c>
    </row>
    <row r="15" spans="1:11">
      <c r="A15" s="1">
        <v>12</v>
      </c>
      <c r="B15" s="13" t="s">
        <v>4651</v>
      </c>
      <c r="C15" s="1" t="s">
        <v>9</v>
      </c>
      <c r="D15" s="44" t="s">
        <v>35</v>
      </c>
      <c r="E15" s="72">
        <v>799999</v>
      </c>
      <c r="F15" s="10">
        <f t="shared" si="2"/>
        <v>775999.03</v>
      </c>
      <c r="G15" s="9">
        <f t="shared" si="3"/>
        <v>751999.05999999994</v>
      </c>
      <c r="H15" s="243">
        <v>372.65</v>
      </c>
      <c r="I15" s="72">
        <v>302.14</v>
      </c>
      <c r="J15" s="72">
        <v>70.5</v>
      </c>
      <c r="K15" s="72" t="s">
        <v>59</v>
      </c>
    </row>
    <row r="16" spans="1:11">
      <c r="A16" s="1">
        <v>13</v>
      </c>
      <c r="B16" s="13" t="s">
        <v>4958</v>
      </c>
      <c r="C16" s="1" t="s">
        <v>4495</v>
      </c>
      <c r="D16" s="44" t="s">
        <v>35</v>
      </c>
      <c r="E16" s="72">
        <v>787999</v>
      </c>
      <c r="F16" s="10">
        <f t="shared" si="2"/>
        <v>764359.03</v>
      </c>
      <c r="G16" s="9">
        <f t="shared" si="3"/>
        <v>740719.05999999994</v>
      </c>
      <c r="H16" s="243">
        <v>360.59</v>
      </c>
      <c r="I16" s="72">
        <v>293.75</v>
      </c>
      <c r="J16" s="72">
        <v>66.84</v>
      </c>
      <c r="K16" s="72" t="s">
        <v>59</v>
      </c>
    </row>
    <row r="17" spans="1:11">
      <c r="A17" s="1">
        <v>14</v>
      </c>
      <c r="B17" s="13" t="s">
        <v>4677</v>
      </c>
      <c r="C17" s="1" t="s">
        <v>4495</v>
      </c>
      <c r="D17" s="44" t="s">
        <v>35</v>
      </c>
      <c r="E17" s="72">
        <v>787999</v>
      </c>
      <c r="F17" s="10">
        <f t="shared" si="2"/>
        <v>764359.03</v>
      </c>
      <c r="G17" s="9">
        <f t="shared" si="3"/>
        <v>740719.05999999994</v>
      </c>
      <c r="H17" s="243">
        <v>360.59</v>
      </c>
      <c r="I17" s="72">
        <v>293.75</v>
      </c>
      <c r="J17" s="72">
        <v>66.84</v>
      </c>
      <c r="K17" s="72" t="s">
        <v>59</v>
      </c>
    </row>
    <row r="18" spans="1:11">
      <c r="A18" s="1">
        <v>15</v>
      </c>
      <c r="B18" s="13" t="s">
        <v>4678</v>
      </c>
      <c r="C18" s="1" t="s">
        <v>33</v>
      </c>
      <c r="D18" s="44" t="s">
        <v>35</v>
      </c>
      <c r="E18" s="72">
        <v>786999</v>
      </c>
      <c r="F18" s="10">
        <f t="shared" si="2"/>
        <v>763389.03</v>
      </c>
      <c r="G18" s="9">
        <f t="shared" si="3"/>
        <v>739779.05999999994</v>
      </c>
      <c r="H18" s="243">
        <v>360.59</v>
      </c>
      <c r="I18" s="72">
        <v>293.75</v>
      </c>
      <c r="J18" s="72">
        <v>66.84</v>
      </c>
      <c r="K18" s="72" t="s">
        <v>59</v>
      </c>
    </row>
    <row r="19" spans="1:11">
      <c r="A19" s="1">
        <v>16</v>
      </c>
      <c r="B19" s="13" t="s">
        <v>4679</v>
      </c>
      <c r="C19" s="1" t="s">
        <v>33</v>
      </c>
      <c r="D19" s="44" t="s">
        <v>35</v>
      </c>
      <c r="E19" s="72">
        <v>786999</v>
      </c>
      <c r="F19" s="10">
        <f t="shared" si="2"/>
        <v>763389.03</v>
      </c>
      <c r="G19" s="9">
        <f t="shared" si="3"/>
        <v>739779.05999999994</v>
      </c>
      <c r="H19" s="243">
        <v>360.59</v>
      </c>
      <c r="I19" s="72">
        <v>293.75</v>
      </c>
      <c r="J19" s="72">
        <v>66.84</v>
      </c>
      <c r="K19" s="72" t="s">
        <v>59</v>
      </c>
    </row>
    <row r="20" spans="1:11">
      <c r="A20" s="1">
        <v>17</v>
      </c>
      <c r="B20" s="13" t="s">
        <v>4680</v>
      </c>
      <c r="C20" s="1" t="s">
        <v>33</v>
      </c>
      <c r="D20" s="44" t="s">
        <v>35</v>
      </c>
      <c r="E20" s="72">
        <v>786999</v>
      </c>
      <c r="F20" s="10">
        <f t="shared" si="2"/>
        <v>763389.03</v>
      </c>
      <c r="G20" s="9">
        <f t="shared" si="3"/>
        <v>739779.05999999994</v>
      </c>
      <c r="H20" s="243">
        <v>360.59</v>
      </c>
      <c r="I20" s="72">
        <v>293.75</v>
      </c>
      <c r="J20" s="72">
        <v>66.84</v>
      </c>
      <c r="K20" s="72" t="s">
        <v>59</v>
      </c>
    </row>
    <row r="21" spans="1:11">
      <c r="A21" s="1">
        <v>18</v>
      </c>
      <c r="B21" s="13" t="s">
        <v>4681</v>
      </c>
      <c r="C21" s="1" t="s">
        <v>33</v>
      </c>
      <c r="D21" s="44" t="s">
        <v>35</v>
      </c>
      <c r="E21" s="72">
        <v>786999</v>
      </c>
      <c r="F21" s="10">
        <f t="shared" si="2"/>
        <v>763389.03</v>
      </c>
      <c r="G21" s="9">
        <f t="shared" si="3"/>
        <v>739779.05999999994</v>
      </c>
      <c r="H21" s="243">
        <v>360.59</v>
      </c>
      <c r="I21" s="72">
        <v>293.75</v>
      </c>
      <c r="J21" s="72">
        <v>66.84</v>
      </c>
      <c r="K21" s="72" t="s">
        <v>59</v>
      </c>
    </row>
    <row r="22" spans="1:11">
      <c r="A22" s="1">
        <v>19</v>
      </c>
      <c r="B22" s="13" t="s">
        <v>4682</v>
      </c>
      <c r="C22" s="1" t="s">
        <v>34</v>
      </c>
      <c r="D22" s="44" t="s">
        <v>35</v>
      </c>
      <c r="E22" s="72">
        <v>785999</v>
      </c>
      <c r="F22" s="10">
        <f t="shared" si="2"/>
        <v>762419.03</v>
      </c>
      <c r="G22" s="9">
        <f t="shared" si="3"/>
        <v>738839.05999999994</v>
      </c>
      <c r="H22" s="243">
        <v>360.59</v>
      </c>
      <c r="I22" s="72">
        <v>293.75</v>
      </c>
      <c r="J22" s="72">
        <v>66.84</v>
      </c>
      <c r="K22" s="72" t="s">
        <v>59</v>
      </c>
    </row>
    <row r="23" spans="1:11">
      <c r="A23" s="1">
        <v>20</v>
      </c>
      <c r="B23" s="13" t="s">
        <v>4683</v>
      </c>
      <c r="C23" s="1" t="s">
        <v>34</v>
      </c>
      <c r="D23" s="44" t="s">
        <v>35</v>
      </c>
      <c r="E23" s="72">
        <v>785999</v>
      </c>
      <c r="F23" s="10">
        <f t="shared" si="2"/>
        <v>762419.03</v>
      </c>
      <c r="G23" s="9">
        <f t="shared" si="3"/>
        <v>738839.05999999994</v>
      </c>
      <c r="H23" s="243">
        <v>360.59</v>
      </c>
      <c r="I23" s="72">
        <v>293.75</v>
      </c>
      <c r="J23" s="72">
        <v>66.84</v>
      </c>
      <c r="K23" s="72" t="s">
        <v>59</v>
      </c>
    </row>
    <row r="24" spans="1:11">
      <c r="A24" s="1">
        <v>21</v>
      </c>
      <c r="B24" s="13" t="s">
        <v>4684</v>
      </c>
      <c r="C24" s="1" t="s">
        <v>34</v>
      </c>
      <c r="D24" s="44" t="s">
        <v>35</v>
      </c>
      <c r="E24" s="72">
        <v>785999</v>
      </c>
      <c r="F24" s="10">
        <f t="shared" si="2"/>
        <v>762419.03</v>
      </c>
      <c r="G24" s="9">
        <f t="shared" si="3"/>
        <v>738839.05999999994</v>
      </c>
      <c r="H24" s="243">
        <v>360.59</v>
      </c>
      <c r="I24" s="72">
        <v>293.75</v>
      </c>
      <c r="J24" s="72">
        <v>66.84</v>
      </c>
      <c r="K24" s="72" t="s">
        <v>59</v>
      </c>
    </row>
    <row r="25" spans="1:11">
      <c r="A25" s="1">
        <v>22</v>
      </c>
      <c r="B25" s="13" t="s">
        <v>4685</v>
      </c>
      <c r="C25" s="1" t="s">
        <v>34</v>
      </c>
      <c r="D25" s="44" t="s">
        <v>35</v>
      </c>
      <c r="E25" s="72">
        <v>785999</v>
      </c>
      <c r="F25" s="10">
        <f t="shared" si="2"/>
        <v>762419.03</v>
      </c>
      <c r="G25" s="9">
        <f t="shared" si="3"/>
        <v>738839.05999999994</v>
      </c>
      <c r="H25" s="243">
        <v>360.59</v>
      </c>
      <c r="I25" s="72">
        <v>293.75</v>
      </c>
      <c r="J25" s="72">
        <v>66.84</v>
      </c>
      <c r="K25" s="72" t="s">
        <v>59</v>
      </c>
    </row>
    <row r="26" spans="1:11">
      <c r="A26" s="1">
        <v>23</v>
      </c>
      <c r="B26" s="13" t="s">
        <v>4686</v>
      </c>
      <c r="C26" s="1" t="s">
        <v>34</v>
      </c>
      <c r="D26" s="44" t="s">
        <v>35</v>
      </c>
      <c r="E26" s="72">
        <v>785999</v>
      </c>
      <c r="F26" s="10">
        <f t="shared" si="2"/>
        <v>762419.03</v>
      </c>
      <c r="G26" s="9">
        <f t="shared" si="3"/>
        <v>738839.05999999994</v>
      </c>
      <c r="H26" s="243">
        <v>360.59</v>
      </c>
      <c r="I26" s="72">
        <v>293.75</v>
      </c>
      <c r="J26" s="72">
        <v>66.84</v>
      </c>
      <c r="K26" s="72" t="s">
        <v>59</v>
      </c>
    </row>
    <row r="27" spans="1:11">
      <c r="A27" s="1">
        <v>24</v>
      </c>
      <c r="B27" s="13" t="s">
        <v>4687</v>
      </c>
      <c r="C27" s="1" t="s">
        <v>4461</v>
      </c>
      <c r="D27" s="44" t="s">
        <v>35</v>
      </c>
      <c r="E27" s="72">
        <v>784999</v>
      </c>
      <c r="F27" s="10">
        <f t="shared" si="2"/>
        <v>761449.03</v>
      </c>
      <c r="G27" s="9">
        <f t="shared" si="3"/>
        <v>737899.05999999994</v>
      </c>
      <c r="H27" s="243">
        <v>360.59</v>
      </c>
      <c r="I27" s="72">
        <v>293.75</v>
      </c>
      <c r="J27" s="72">
        <v>66.84</v>
      </c>
      <c r="K27" s="72" t="s">
        <v>59</v>
      </c>
    </row>
    <row r="28" spans="1:11">
      <c r="A28" s="1">
        <v>25</v>
      </c>
      <c r="B28" s="13" t="s">
        <v>4688</v>
      </c>
      <c r="C28" s="1" t="s">
        <v>4461</v>
      </c>
      <c r="D28" s="44" t="s">
        <v>35</v>
      </c>
      <c r="E28" s="72">
        <v>784999</v>
      </c>
      <c r="F28" s="10">
        <f t="shared" si="2"/>
        <v>761449.03</v>
      </c>
      <c r="G28" s="9">
        <f t="shared" si="3"/>
        <v>737899.05999999994</v>
      </c>
      <c r="H28" s="243">
        <v>360.59</v>
      </c>
      <c r="I28" s="72">
        <v>293.75</v>
      </c>
      <c r="J28" s="72">
        <v>66.84</v>
      </c>
      <c r="K28" s="72" t="s">
        <v>59</v>
      </c>
    </row>
    <row r="29" spans="1:11">
      <c r="A29" s="1">
        <v>26</v>
      </c>
      <c r="B29" s="13" t="s">
        <v>4689</v>
      </c>
      <c r="C29" s="1" t="s">
        <v>4461</v>
      </c>
      <c r="D29" s="44" t="s">
        <v>35</v>
      </c>
      <c r="E29" s="72">
        <v>784999</v>
      </c>
      <c r="F29" s="10">
        <f t="shared" si="2"/>
        <v>761449.03</v>
      </c>
      <c r="G29" s="9">
        <f t="shared" si="3"/>
        <v>737899.05999999994</v>
      </c>
      <c r="H29" s="243">
        <v>360.59</v>
      </c>
      <c r="I29" s="72">
        <v>293.75</v>
      </c>
      <c r="J29" s="72">
        <v>66.84</v>
      </c>
      <c r="K29" s="72" t="s">
        <v>59</v>
      </c>
    </row>
    <row r="30" spans="1:11">
      <c r="A30" s="1">
        <v>27</v>
      </c>
      <c r="B30" s="13" t="s">
        <v>4690</v>
      </c>
      <c r="C30" s="1" t="s">
        <v>4460</v>
      </c>
      <c r="D30" s="44" t="s">
        <v>35</v>
      </c>
      <c r="E30" s="72">
        <v>784999</v>
      </c>
      <c r="F30" s="10">
        <f t="shared" si="2"/>
        <v>761449.03</v>
      </c>
      <c r="G30" s="9">
        <f t="shared" si="3"/>
        <v>737899.05999999994</v>
      </c>
      <c r="H30" s="243">
        <v>360.59</v>
      </c>
      <c r="I30" s="72">
        <v>293.75</v>
      </c>
      <c r="J30" s="72">
        <v>66.84</v>
      </c>
      <c r="K30" s="72" t="s">
        <v>59</v>
      </c>
    </row>
    <row r="31" spans="1:11">
      <c r="A31" s="1">
        <v>28</v>
      </c>
      <c r="B31" s="13" t="s">
        <v>4691</v>
      </c>
      <c r="C31" s="1" t="s">
        <v>4460</v>
      </c>
      <c r="D31" s="44" t="s">
        <v>35</v>
      </c>
      <c r="E31" s="72">
        <v>784999</v>
      </c>
      <c r="F31" s="10">
        <f t="shared" si="2"/>
        <v>761449.03</v>
      </c>
      <c r="G31" s="9">
        <f t="shared" si="3"/>
        <v>737899.05999999994</v>
      </c>
      <c r="H31" s="243">
        <v>360.59</v>
      </c>
      <c r="I31" s="72">
        <v>293.75</v>
      </c>
      <c r="J31" s="72">
        <v>66.84</v>
      </c>
      <c r="K31" s="72" t="s">
        <v>59</v>
      </c>
    </row>
    <row r="32" spans="1:11">
      <c r="A32" s="1">
        <v>29</v>
      </c>
      <c r="B32" s="13" t="s">
        <v>4692</v>
      </c>
      <c r="C32" s="1" t="s">
        <v>33</v>
      </c>
      <c r="D32" s="44" t="s">
        <v>35</v>
      </c>
      <c r="E32" s="72">
        <v>783999</v>
      </c>
      <c r="F32" s="10">
        <f t="shared" si="2"/>
        <v>760479.03</v>
      </c>
      <c r="G32" s="9">
        <f t="shared" si="3"/>
        <v>736959.05999999994</v>
      </c>
      <c r="H32" s="243">
        <v>359.3</v>
      </c>
      <c r="I32" s="72">
        <v>292.45999999999998</v>
      </c>
      <c r="J32" s="72">
        <v>66.84</v>
      </c>
      <c r="K32" s="72" t="s">
        <v>59</v>
      </c>
    </row>
    <row r="33" spans="1:11">
      <c r="A33" s="1">
        <v>30</v>
      </c>
      <c r="B33" s="13" t="s">
        <v>4693</v>
      </c>
      <c r="C33" s="1" t="s">
        <v>33</v>
      </c>
      <c r="D33" s="44" t="s">
        <v>35</v>
      </c>
      <c r="E33" s="72">
        <v>783999</v>
      </c>
      <c r="F33" s="10">
        <f t="shared" si="2"/>
        <v>760479.03</v>
      </c>
      <c r="G33" s="9">
        <f t="shared" si="3"/>
        <v>736959.05999999994</v>
      </c>
      <c r="H33" s="243">
        <v>359.3</v>
      </c>
      <c r="I33" s="72">
        <v>292.45999999999998</v>
      </c>
      <c r="J33" s="72">
        <v>66.84</v>
      </c>
      <c r="K33" s="72" t="s">
        <v>59</v>
      </c>
    </row>
    <row r="34" spans="1:11">
      <c r="A34" s="1">
        <v>31</v>
      </c>
      <c r="B34" s="13" t="s">
        <v>4694</v>
      </c>
      <c r="C34" s="1" t="s">
        <v>11</v>
      </c>
      <c r="D34" s="44" t="s">
        <v>35</v>
      </c>
      <c r="E34" s="72">
        <v>783999</v>
      </c>
      <c r="F34" s="10">
        <f t="shared" si="2"/>
        <v>760479.03</v>
      </c>
      <c r="G34" s="9">
        <f t="shared" si="3"/>
        <v>736959.05999999994</v>
      </c>
      <c r="H34" s="243">
        <v>360.59</v>
      </c>
      <c r="I34" s="72">
        <v>293.75</v>
      </c>
      <c r="J34" s="72">
        <v>66.84</v>
      </c>
      <c r="K34" s="72" t="s">
        <v>59</v>
      </c>
    </row>
    <row r="35" spans="1:11">
      <c r="A35" s="1">
        <v>32</v>
      </c>
      <c r="B35" s="13" t="s">
        <v>4695</v>
      </c>
      <c r="C35" s="1" t="s">
        <v>11</v>
      </c>
      <c r="D35" s="44" t="s">
        <v>35</v>
      </c>
      <c r="E35" s="72">
        <v>783999</v>
      </c>
      <c r="F35" s="10">
        <f t="shared" si="2"/>
        <v>760479.03</v>
      </c>
      <c r="G35" s="9">
        <f t="shared" si="3"/>
        <v>736959.05999999994</v>
      </c>
      <c r="H35" s="243">
        <v>360.59</v>
      </c>
      <c r="I35" s="72">
        <v>293.75</v>
      </c>
      <c r="J35" s="72">
        <v>66.84</v>
      </c>
      <c r="K35" s="72" t="s">
        <v>59</v>
      </c>
    </row>
    <row r="36" spans="1:11">
      <c r="A36" s="1">
        <v>33</v>
      </c>
      <c r="B36" s="13" t="s">
        <v>4696</v>
      </c>
      <c r="C36" s="1" t="s">
        <v>11</v>
      </c>
      <c r="D36" s="44" t="s">
        <v>35</v>
      </c>
      <c r="E36" s="72">
        <v>783999</v>
      </c>
      <c r="F36" s="10">
        <f t="shared" si="2"/>
        <v>760479.03</v>
      </c>
      <c r="G36" s="9">
        <f t="shared" si="3"/>
        <v>736959.05999999994</v>
      </c>
      <c r="H36" s="243">
        <v>360.59</v>
      </c>
      <c r="I36" s="72">
        <v>293.75</v>
      </c>
      <c r="J36" s="72">
        <v>66.84</v>
      </c>
      <c r="K36" s="72" t="s">
        <v>59</v>
      </c>
    </row>
    <row r="37" spans="1:11">
      <c r="A37" s="1">
        <v>34</v>
      </c>
      <c r="B37" s="13" t="s">
        <v>4697</v>
      </c>
      <c r="C37" s="1" t="s">
        <v>11</v>
      </c>
      <c r="D37" s="44" t="s">
        <v>35</v>
      </c>
      <c r="E37" s="72">
        <v>783999</v>
      </c>
      <c r="F37" s="10">
        <f t="shared" si="2"/>
        <v>760479.03</v>
      </c>
      <c r="G37" s="9">
        <f t="shared" si="3"/>
        <v>736959.05999999994</v>
      </c>
      <c r="H37" s="243">
        <v>360.59</v>
      </c>
      <c r="I37" s="72">
        <v>293.75</v>
      </c>
      <c r="J37" s="72">
        <v>66.84</v>
      </c>
      <c r="K37" s="72" t="s">
        <v>59</v>
      </c>
    </row>
    <row r="38" spans="1:11">
      <c r="A38" s="1">
        <v>35</v>
      </c>
      <c r="B38" s="13" t="s">
        <v>4698</v>
      </c>
      <c r="C38" s="1" t="s">
        <v>34</v>
      </c>
      <c r="D38" s="44" t="s">
        <v>35</v>
      </c>
      <c r="E38" s="72">
        <v>782999</v>
      </c>
      <c r="F38" s="10">
        <f t="shared" si="2"/>
        <v>759509.03</v>
      </c>
      <c r="G38" s="9">
        <f t="shared" si="3"/>
        <v>736019.05999999994</v>
      </c>
      <c r="H38" s="243">
        <v>359.3</v>
      </c>
      <c r="I38" s="72">
        <v>292.45999999999998</v>
      </c>
      <c r="J38" s="72">
        <v>66.84</v>
      </c>
      <c r="K38" s="72" t="s">
        <v>59</v>
      </c>
    </row>
    <row r="39" spans="1:11">
      <c r="A39" s="1">
        <v>36</v>
      </c>
      <c r="B39" s="13" t="s">
        <v>4699</v>
      </c>
      <c r="C39" s="1" t="s">
        <v>12</v>
      </c>
      <c r="D39" s="44" t="s">
        <v>35</v>
      </c>
      <c r="E39" s="72">
        <v>782999</v>
      </c>
      <c r="F39" s="10">
        <f t="shared" si="2"/>
        <v>759509.03</v>
      </c>
      <c r="G39" s="9">
        <f t="shared" si="3"/>
        <v>736019.05999999994</v>
      </c>
      <c r="H39" s="243">
        <v>360.59</v>
      </c>
      <c r="I39" s="72">
        <v>293.75</v>
      </c>
      <c r="J39" s="72">
        <v>66.84</v>
      </c>
      <c r="K39" s="72" t="s">
        <v>59</v>
      </c>
    </row>
    <row r="40" spans="1:11">
      <c r="A40" s="1">
        <v>37</v>
      </c>
      <c r="B40" s="13" t="s">
        <v>4700</v>
      </c>
      <c r="C40" s="1" t="s">
        <v>12</v>
      </c>
      <c r="D40" s="44" t="s">
        <v>35</v>
      </c>
      <c r="E40" s="72">
        <v>782999</v>
      </c>
      <c r="F40" s="10">
        <f t="shared" si="2"/>
        <v>759509.03</v>
      </c>
      <c r="G40" s="9">
        <f t="shared" si="3"/>
        <v>736019.05999999994</v>
      </c>
      <c r="H40" s="243">
        <v>360.59</v>
      </c>
      <c r="I40" s="72">
        <v>293.75</v>
      </c>
      <c r="J40" s="72">
        <v>66.84</v>
      </c>
      <c r="K40" s="72" t="s">
        <v>59</v>
      </c>
    </row>
    <row r="41" spans="1:11">
      <c r="A41" s="1">
        <v>38</v>
      </c>
      <c r="B41" s="13" t="s">
        <v>4701</v>
      </c>
      <c r="C41" s="1" t="s">
        <v>12</v>
      </c>
      <c r="D41" s="44" t="s">
        <v>35</v>
      </c>
      <c r="E41" s="72">
        <v>782999</v>
      </c>
      <c r="F41" s="10">
        <f t="shared" si="2"/>
        <v>759509.03</v>
      </c>
      <c r="G41" s="9">
        <f t="shared" si="3"/>
        <v>736019.05999999994</v>
      </c>
      <c r="H41" s="243">
        <v>360.59</v>
      </c>
      <c r="I41" s="72">
        <v>293.75</v>
      </c>
      <c r="J41" s="72">
        <v>66.84</v>
      </c>
      <c r="K41" s="72" t="s">
        <v>59</v>
      </c>
    </row>
    <row r="42" spans="1:11">
      <c r="A42" s="1">
        <v>39</v>
      </c>
      <c r="B42" s="13" t="s">
        <v>4702</v>
      </c>
      <c r="C42" s="1" t="s">
        <v>12</v>
      </c>
      <c r="D42" s="44" t="s">
        <v>35</v>
      </c>
      <c r="E42" s="72">
        <v>782999</v>
      </c>
      <c r="F42" s="10">
        <f t="shared" si="2"/>
        <v>759509.03</v>
      </c>
      <c r="G42" s="9">
        <f t="shared" si="3"/>
        <v>736019.05999999994</v>
      </c>
      <c r="H42" s="243">
        <v>360.59</v>
      </c>
      <c r="I42" s="72">
        <v>293.75</v>
      </c>
      <c r="J42" s="72">
        <v>66.84</v>
      </c>
      <c r="K42" s="72" t="s">
        <v>59</v>
      </c>
    </row>
    <row r="43" spans="1:11">
      <c r="A43" s="1">
        <v>40</v>
      </c>
      <c r="B43" s="13" t="s">
        <v>4703</v>
      </c>
      <c r="C43" s="1" t="s">
        <v>12</v>
      </c>
      <c r="D43" s="44" t="s">
        <v>35</v>
      </c>
      <c r="E43" s="72">
        <v>782999</v>
      </c>
      <c r="F43" s="10">
        <f t="shared" si="2"/>
        <v>759509.03</v>
      </c>
      <c r="G43" s="9">
        <f t="shared" si="3"/>
        <v>736019.05999999994</v>
      </c>
      <c r="H43" s="243">
        <v>360.59</v>
      </c>
      <c r="I43" s="72">
        <v>293.75</v>
      </c>
      <c r="J43" s="72">
        <v>66.84</v>
      </c>
      <c r="K43" s="72" t="s">
        <v>59</v>
      </c>
    </row>
    <row r="44" spans="1:11">
      <c r="A44" s="1">
        <v>41</v>
      </c>
      <c r="B44" s="13" t="s">
        <v>4704</v>
      </c>
      <c r="C44" s="1" t="s">
        <v>12</v>
      </c>
      <c r="D44" s="44" t="s">
        <v>35</v>
      </c>
      <c r="E44" s="72">
        <v>782999</v>
      </c>
      <c r="F44" s="10">
        <f t="shared" si="2"/>
        <v>759509.03</v>
      </c>
      <c r="G44" s="9">
        <f t="shared" si="3"/>
        <v>736019.05999999994</v>
      </c>
      <c r="H44" s="243">
        <v>360.59</v>
      </c>
      <c r="I44" s="72">
        <v>293.75</v>
      </c>
      <c r="J44" s="72">
        <v>66.84</v>
      </c>
      <c r="K44" s="72" t="s">
        <v>59</v>
      </c>
    </row>
    <row r="45" spans="1:11">
      <c r="A45" s="1">
        <v>42</v>
      </c>
      <c r="B45" s="13" t="s">
        <v>4705</v>
      </c>
      <c r="C45" s="1" t="s">
        <v>32</v>
      </c>
      <c r="D45" s="44" t="s">
        <v>35</v>
      </c>
      <c r="E45" s="72">
        <v>781999</v>
      </c>
      <c r="F45" s="10">
        <f t="shared" si="2"/>
        <v>758539.03</v>
      </c>
      <c r="G45" s="9">
        <f t="shared" si="3"/>
        <v>735079.05999999994</v>
      </c>
      <c r="H45" s="243">
        <v>360.59</v>
      </c>
      <c r="I45" s="72">
        <v>293.75</v>
      </c>
      <c r="J45" s="72">
        <v>66.84</v>
      </c>
      <c r="K45" s="72" t="s">
        <v>59</v>
      </c>
    </row>
    <row r="46" spans="1:11">
      <c r="A46" s="1">
        <v>43</v>
      </c>
      <c r="B46" s="13" t="s">
        <v>4706</v>
      </c>
      <c r="C46" s="1" t="s">
        <v>32</v>
      </c>
      <c r="D46" s="44" t="s">
        <v>35</v>
      </c>
      <c r="E46" s="72">
        <v>781999</v>
      </c>
      <c r="F46" s="10">
        <f t="shared" si="2"/>
        <v>758539.03</v>
      </c>
      <c r="G46" s="9">
        <f t="shared" si="3"/>
        <v>735079.05999999994</v>
      </c>
      <c r="H46" s="243">
        <v>360.59</v>
      </c>
      <c r="I46" s="72">
        <v>293.75</v>
      </c>
      <c r="J46" s="72">
        <v>66.84</v>
      </c>
      <c r="K46" s="72" t="s">
        <v>59</v>
      </c>
    </row>
    <row r="47" spans="1:11">
      <c r="A47" s="1">
        <v>44</v>
      </c>
      <c r="B47" s="13" t="s">
        <v>4707</v>
      </c>
      <c r="C47" s="1" t="s">
        <v>32</v>
      </c>
      <c r="D47" s="44" t="s">
        <v>35</v>
      </c>
      <c r="E47" s="72">
        <v>781999</v>
      </c>
      <c r="F47" s="10">
        <f t="shared" si="2"/>
        <v>758539.03</v>
      </c>
      <c r="G47" s="9">
        <f t="shared" si="3"/>
        <v>735079.05999999994</v>
      </c>
      <c r="H47" s="243">
        <v>360.59</v>
      </c>
      <c r="I47" s="72">
        <v>293.75</v>
      </c>
      <c r="J47" s="72">
        <v>66.84</v>
      </c>
      <c r="K47" s="72" t="s">
        <v>59</v>
      </c>
    </row>
    <row r="48" spans="1:11">
      <c r="A48" s="1">
        <v>45</v>
      </c>
      <c r="B48" s="13" t="s">
        <v>4708</v>
      </c>
      <c r="C48" s="1" t="s">
        <v>32</v>
      </c>
      <c r="D48" s="44" t="s">
        <v>35</v>
      </c>
      <c r="E48" s="72">
        <v>781999</v>
      </c>
      <c r="F48" s="10">
        <f t="shared" si="2"/>
        <v>758539.03</v>
      </c>
      <c r="G48" s="9">
        <f t="shared" si="3"/>
        <v>735079.05999999994</v>
      </c>
      <c r="H48" s="243">
        <v>360.59</v>
      </c>
      <c r="I48" s="72">
        <v>293.75</v>
      </c>
      <c r="J48" s="72">
        <v>66.84</v>
      </c>
      <c r="K48" s="72" t="s">
        <v>59</v>
      </c>
    </row>
    <row r="49" spans="1:11">
      <c r="A49" s="1">
        <v>46</v>
      </c>
      <c r="B49" s="13" t="s">
        <v>4709</v>
      </c>
      <c r="C49" s="1" t="s">
        <v>32</v>
      </c>
      <c r="D49" s="44" t="s">
        <v>35</v>
      </c>
      <c r="E49" s="72">
        <v>781999</v>
      </c>
      <c r="F49" s="10">
        <f t="shared" si="2"/>
        <v>758539.03</v>
      </c>
      <c r="G49" s="9">
        <f t="shared" si="3"/>
        <v>735079.05999999994</v>
      </c>
      <c r="H49" s="243">
        <v>360.59</v>
      </c>
      <c r="I49" s="72">
        <v>293.75</v>
      </c>
      <c r="J49" s="72">
        <v>66.84</v>
      </c>
      <c r="K49" s="72" t="s">
        <v>59</v>
      </c>
    </row>
    <row r="50" spans="1:11">
      <c r="A50" s="1">
        <v>47</v>
      </c>
      <c r="B50" s="13" t="s">
        <v>4710</v>
      </c>
      <c r="C50" s="1" t="s">
        <v>4459</v>
      </c>
      <c r="D50" s="44" t="s">
        <v>35</v>
      </c>
      <c r="E50" s="72">
        <v>781999</v>
      </c>
      <c r="F50" s="10">
        <f t="shared" si="2"/>
        <v>758539.03</v>
      </c>
      <c r="G50" s="9">
        <f t="shared" si="3"/>
        <v>735079.05999999994</v>
      </c>
      <c r="H50" s="243">
        <v>360.59</v>
      </c>
      <c r="I50" s="72">
        <v>293.75</v>
      </c>
      <c r="J50" s="72">
        <v>66.84</v>
      </c>
      <c r="K50" s="72" t="s">
        <v>59</v>
      </c>
    </row>
    <row r="51" spans="1:11">
      <c r="A51" s="1">
        <v>48</v>
      </c>
      <c r="B51" s="13" t="s">
        <v>4711</v>
      </c>
      <c r="C51" s="1" t="s">
        <v>4459</v>
      </c>
      <c r="D51" s="44" t="s">
        <v>35</v>
      </c>
      <c r="E51" s="72">
        <v>781999</v>
      </c>
      <c r="F51" s="10">
        <f t="shared" si="2"/>
        <v>758539.03</v>
      </c>
      <c r="G51" s="9">
        <f t="shared" si="3"/>
        <v>735079.05999999994</v>
      </c>
      <c r="H51" s="243">
        <v>360.59</v>
      </c>
      <c r="I51" s="72">
        <v>293.75</v>
      </c>
      <c r="J51" s="72">
        <v>66.84</v>
      </c>
      <c r="K51" s="72" t="s">
        <v>59</v>
      </c>
    </row>
    <row r="52" spans="1:11">
      <c r="A52" s="1">
        <v>49</v>
      </c>
      <c r="B52" s="13" t="s">
        <v>4712</v>
      </c>
      <c r="C52" s="1" t="s">
        <v>4459</v>
      </c>
      <c r="D52" s="44" t="s">
        <v>35</v>
      </c>
      <c r="E52" s="72">
        <v>781999</v>
      </c>
      <c r="F52" s="10">
        <f t="shared" si="2"/>
        <v>758539.03</v>
      </c>
      <c r="G52" s="9">
        <f t="shared" si="3"/>
        <v>735079.05999999994</v>
      </c>
      <c r="H52" s="243">
        <v>360.59</v>
      </c>
      <c r="I52" s="72">
        <v>293.75</v>
      </c>
      <c r="J52" s="72">
        <v>66.84</v>
      </c>
      <c r="K52" s="72" t="s">
        <v>59</v>
      </c>
    </row>
    <row r="53" spans="1:11">
      <c r="A53" s="1">
        <v>50</v>
      </c>
      <c r="B53" s="13" t="s">
        <v>4713</v>
      </c>
      <c r="C53" s="1" t="s">
        <v>4459</v>
      </c>
      <c r="D53" s="44" t="s">
        <v>35</v>
      </c>
      <c r="E53" s="72">
        <v>781999</v>
      </c>
      <c r="F53" s="10">
        <f t="shared" si="2"/>
        <v>758539.03</v>
      </c>
      <c r="G53" s="9">
        <f t="shared" si="3"/>
        <v>735079.05999999994</v>
      </c>
      <c r="H53" s="243">
        <v>360.59</v>
      </c>
      <c r="I53" s="72">
        <v>293.75</v>
      </c>
      <c r="J53" s="72">
        <v>66.84</v>
      </c>
      <c r="K53" s="72" t="s">
        <v>59</v>
      </c>
    </row>
    <row r="54" spans="1:11">
      <c r="A54" s="1">
        <v>51</v>
      </c>
      <c r="B54" s="13" t="s">
        <v>4714</v>
      </c>
      <c r="C54" s="1" t="s">
        <v>4459</v>
      </c>
      <c r="D54" s="44" t="s">
        <v>35</v>
      </c>
      <c r="E54" s="72">
        <v>781999</v>
      </c>
      <c r="F54" s="10">
        <f t="shared" si="2"/>
        <v>758539.03</v>
      </c>
      <c r="G54" s="9">
        <f t="shared" si="3"/>
        <v>735079.05999999994</v>
      </c>
      <c r="H54" s="243">
        <v>360.59</v>
      </c>
      <c r="I54" s="72">
        <v>293.75</v>
      </c>
      <c r="J54" s="72">
        <v>66.84</v>
      </c>
      <c r="K54" s="72" t="s">
        <v>59</v>
      </c>
    </row>
    <row r="55" spans="1:11">
      <c r="A55" s="1">
        <v>52</v>
      </c>
      <c r="B55" s="13" t="s">
        <v>4715</v>
      </c>
      <c r="C55" s="1" t="s">
        <v>11</v>
      </c>
      <c r="D55" s="44" t="s">
        <v>35</v>
      </c>
      <c r="E55" s="72">
        <v>780999</v>
      </c>
      <c r="F55" s="10">
        <f t="shared" si="2"/>
        <v>757569.03</v>
      </c>
      <c r="G55" s="9">
        <f t="shared" si="3"/>
        <v>734139.05999999994</v>
      </c>
      <c r="H55" s="243">
        <v>359.3</v>
      </c>
      <c r="I55" s="72">
        <v>292.45999999999998</v>
      </c>
      <c r="J55" s="72">
        <v>66.84</v>
      </c>
      <c r="K55" s="72" t="s">
        <v>59</v>
      </c>
    </row>
    <row r="56" spans="1:11">
      <c r="A56" s="1">
        <v>53</v>
      </c>
      <c r="B56" s="13" t="s">
        <v>4716</v>
      </c>
      <c r="C56" s="1" t="s">
        <v>5</v>
      </c>
      <c r="D56" s="44" t="s">
        <v>35</v>
      </c>
      <c r="E56" s="72">
        <v>780999</v>
      </c>
      <c r="F56" s="10">
        <f t="shared" si="2"/>
        <v>757569.03</v>
      </c>
      <c r="G56" s="9">
        <f t="shared" si="3"/>
        <v>734139.05999999994</v>
      </c>
      <c r="H56" s="243">
        <v>360.59</v>
      </c>
      <c r="I56" s="72">
        <v>293.75</v>
      </c>
      <c r="J56" s="72">
        <v>66.84</v>
      </c>
      <c r="K56" s="72" t="s">
        <v>59</v>
      </c>
    </row>
    <row r="57" spans="1:11">
      <c r="A57" s="1">
        <v>54</v>
      </c>
      <c r="B57" s="13" t="s">
        <v>4717</v>
      </c>
      <c r="C57" s="1" t="s">
        <v>5</v>
      </c>
      <c r="D57" s="44" t="s">
        <v>35</v>
      </c>
      <c r="E57" s="72">
        <v>780999</v>
      </c>
      <c r="F57" s="10">
        <f t="shared" si="2"/>
        <v>757569.03</v>
      </c>
      <c r="G57" s="9">
        <f t="shared" si="3"/>
        <v>734139.05999999994</v>
      </c>
      <c r="H57" s="243">
        <v>360.59</v>
      </c>
      <c r="I57" s="72">
        <v>293.75</v>
      </c>
      <c r="J57" s="72">
        <v>66.84</v>
      </c>
      <c r="K57" s="72" t="s">
        <v>59</v>
      </c>
    </row>
    <row r="58" spans="1:11">
      <c r="A58" s="1">
        <v>55</v>
      </c>
      <c r="B58" s="13" t="s">
        <v>4718</v>
      </c>
      <c r="C58" s="1" t="s">
        <v>5</v>
      </c>
      <c r="D58" s="44" t="s">
        <v>35</v>
      </c>
      <c r="E58" s="72">
        <v>780999</v>
      </c>
      <c r="F58" s="10">
        <f t="shared" si="2"/>
        <v>757569.03</v>
      </c>
      <c r="G58" s="9">
        <f t="shared" si="3"/>
        <v>734139.05999999994</v>
      </c>
      <c r="H58" s="243">
        <v>360.59</v>
      </c>
      <c r="I58" s="72">
        <v>293.75</v>
      </c>
      <c r="J58" s="72">
        <v>66.84</v>
      </c>
      <c r="K58" s="72" t="s">
        <v>59</v>
      </c>
    </row>
    <row r="59" spans="1:11">
      <c r="A59" s="1">
        <v>56</v>
      </c>
      <c r="B59" s="13" t="s">
        <v>4719</v>
      </c>
      <c r="C59" s="1" t="s">
        <v>5</v>
      </c>
      <c r="D59" s="44" t="s">
        <v>35</v>
      </c>
      <c r="E59" s="72">
        <v>780999</v>
      </c>
      <c r="F59" s="10">
        <f t="shared" si="2"/>
        <v>757569.03</v>
      </c>
      <c r="G59" s="9">
        <f t="shared" si="3"/>
        <v>734139.05999999994</v>
      </c>
      <c r="H59" s="243">
        <v>360.59</v>
      </c>
      <c r="I59" s="72">
        <v>293.75</v>
      </c>
      <c r="J59" s="72">
        <v>66.84</v>
      </c>
      <c r="K59" s="72" t="s">
        <v>59</v>
      </c>
    </row>
    <row r="60" spans="1:11">
      <c r="A60" s="1">
        <v>57</v>
      </c>
      <c r="B60" s="13" t="s">
        <v>4720</v>
      </c>
      <c r="C60" s="1" t="s">
        <v>5</v>
      </c>
      <c r="D60" s="44" t="s">
        <v>35</v>
      </c>
      <c r="E60" s="72">
        <v>780999</v>
      </c>
      <c r="F60" s="10">
        <f t="shared" si="2"/>
        <v>757569.03</v>
      </c>
      <c r="G60" s="9">
        <f t="shared" si="3"/>
        <v>734139.05999999994</v>
      </c>
      <c r="H60" s="243">
        <v>360.59</v>
      </c>
      <c r="I60" s="72">
        <v>293.75</v>
      </c>
      <c r="J60" s="72">
        <v>66.84</v>
      </c>
      <c r="K60" s="72" t="s">
        <v>59</v>
      </c>
    </row>
    <row r="61" spans="1:11">
      <c r="A61" s="1">
        <v>58</v>
      </c>
      <c r="B61" s="13" t="s">
        <v>4721</v>
      </c>
      <c r="C61" s="1" t="s">
        <v>12</v>
      </c>
      <c r="D61" s="44" t="s">
        <v>35</v>
      </c>
      <c r="E61" s="72">
        <v>779999</v>
      </c>
      <c r="F61" s="10">
        <f t="shared" si="2"/>
        <v>756599.03</v>
      </c>
      <c r="G61" s="9">
        <f t="shared" si="3"/>
        <v>733199.05999999994</v>
      </c>
      <c r="H61" s="243">
        <v>359.3</v>
      </c>
      <c r="I61" s="72">
        <v>292.45999999999998</v>
      </c>
      <c r="J61" s="72">
        <v>66.84</v>
      </c>
      <c r="K61" s="72" t="s">
        <v>59</v>
      </c>
    </row>
    <row r="62" spans="1:11">
      <c r="A62" s="1">
        <v>59</v>
      </c>
      <c r="B62" s="13" t="s">
        <v>4722</v>
      </c>
      <c r="C62" s="1" t="s">
        <v>4</v>
      </c>
      <c r="D62" s="44" t="s">
        <v>35</v>
      </c>
      <c r="E62" s="72">
        <v>779999</v>
      </c>
      <c r="F62" s="10">
        <f t="shared" si="2"/>
        <v>756599.03</v>
      </c>
      <c r="G62" s="9">
        <f t="shared" si="3"/>
        <v>733199.05999999994</v>
      </c>
      <c r="H62" s="243">
        <v>360.59</v>
      </c>
      <c r="I62" s="72">
        <v>293.75</v>
      </c>
      <c r="J62" s="72">
        <v>66.84</v>
      </c>
      <c r="K62" s="72" t="s">
        <v>59</v>
      </c>
    </row>
    <row r="63" spans="1:11">
      <c r="A63" s="1">
        <v>60</v>
      </c>
      <c r="B63" s="13" t="s">
        <v>4723</v>
      </c>
      <c r="C63" s="1" t="s">
        <v>4</v>
      </c>
      <c r="D63" s="44" t="s">
        <v>35</v>
      </c>
      <c r="E63" s="72">
        <v>779999</v>
      </c>
      <c r="F63" s="10">
        <f t="shared" si="2"/>
        <v>756599.03</v>
      </c>
      <c r="G63" s="9">
        <f t="shared" si="3"/>
        <v>733199.05999999994</v>
      </c>
      <c r="H63" s="243">
        <v>360.59</v>
      </c>
      <c r="I63" s="72">
        <v>293.75</v>
      </c>
      <c r="J63" s="72">
        <v>66.84</v>
      </c>
      <c r="K63" s="72" t="s">
        <v>59</v>
      </c>
    </row>
    <row r="64" spans="1:11">
      <c r="A64" s="1">
        <v>61</v>
      </c>
      <c r="B64" s="13" t="s">
        <v>4724</v>
      </c>
      <c r="C64" s="1" t="s">
        <v>4</v>
      </c>
      <c r="D64" s="44" t="s">
        <v>35</v>
      </c>
      <c r="E64" s="72">
        <v>779999</v>
      </c>
      <c r="F64" s="10">
        <f t="shared" si="2"/>
        <v>756599.03</v>
      </c>
      <c r="G64" s="9">
        <f t="shared" si="3"/>
        <v>733199.05999999994</v>
      </c>
      <c r="H64" s="243">
        <v>360.59</v>
      </c>
      <c r="I64" s="72">
        <v>293.75</v>
      </c>
      <c r="J64" s="72">
        <v>66.84</v>
      </c>
      <c r="K64" s="72" t="s">
        <v>59</v>
      </c>
    </row>
    <row r="65" spans="1:11">
      <c r="A65" s="1">
        <v>62</v>
      </c>
      <c r="B65" s="13" t="s">
        <v>4725</v>
      </c>
      <c r="C65" s="1" t="s">
        <v>4</v>
      </c>
      <c r="D65" s="44" t="s">
        <v>35</v>
      </c>
      <c r="E65" s="72">
        <v>779999</v>
      </c>
      <c r="F65" s="10">
        <f t="shared" si="2"/>
        <v>756599.03</v>
      </c>
      <c r="G65" s="9">
        <f t="shared" si="3"/>
        <v>733199.05999999994</v>
      </c>
      <c r="H65" s="243">
        <v>360.59</v>
      </c>
      <c r="I65" s="72">
        <v>293.75</v>
      </c>
      <c r="J65" s="72">
        <v>66.84</v>
      </c>
      <c r="K65" s="72" t="s">
        <v>59</v>
      </c>
    </row>
    <row r="66" spans="1:11">
      <c r="A66" s="1">
        <v>63</v>
      </c>
      <c r="B66" s="13" t="s">
        <v>4726</v>
      </c>
      <c r="C66" s="1" t="s">
        <v>4</v>
      </c>
      <c r="D66" s="44" t="s">
        <v>35</v>
      </c>
      <c r="E66" s="72">
        <v>779999</v>
      </c>
      <c r="F66" s="10">
        <f t="shared" si="2"/>
        <v>756599.03</v>
      </c>
      <c r="G66" s="9">
        <f t="shared" si="3"/>
        <v>733199.05999999994</v>
      </c>
      <c r="H66" s="243">
        <v>360.59</v>
      </c>
      <c r="I66" s="72">
        <v>293.75</v>
      </c>
      <c r="J66" s="72">
        <v>66.84</v>
      </c>
      <c r="K66" s="72" t="s">
        <v>59</v>
      </c>
    </row>
    <row r="67" spans="1:11">
      <c r="A67" s="1">
        <v>64</v>
      </c>
      <c r="B67" s="13" t="s">
        <v>4727</v>
      </c>
      <c r="C67" s="1" t="s">
        <v>4</v>
      </c>
      <c r="D67" s="44" t="s">
        <v>35</v>
      </c>
      <c r="E67" s="72">
        <v>779999</v>
      </c>
      <c r="F67" s="10">
        <f t="shared" si="2"/>
        <v>756599.03</v>
      </c>
      <c r="G67" s="9">
        <f t="shared" si="3"/>
        <v>733199.05999999994</v>
      </c>
      <c r="H67" s="243">
        <v>360.59</v>
      </c>
      <c r="I67" s="72">
        <v>293.75</v>
      </c>
      <c r="J67" s="72">
        <v>66.84</v>
      </c>
      <c r="K67" s="72" t="s">
        <v>59</v>
      </c>
    </row>
    <row r="68" spans="1:11">
      <c r="A68" s="1">
        <v>65</v>
      </c>
      <c r="B68" s="13" t="s">
        <v>4728</v>
      </c>
      <c r="C68" s="1" t="s">
        <v>32</v>
      </c>
      <c r="D68" s="44" t="s">
        <v>35</v>
      </c>
      <c r="E68" s="72">
        <v>778999</v>
      </c>
      <c r="F68" s="10">
        <f t="shared" si="2"/>
        <v>755629.03</v>
      </c>
      <c r="G68" s="9">
        <f t="shared" si="3"/>
        <v>732259.05999999994</v>
      </c>
      <c r="H68" s="243">
        <v>359.3</v>
      </c>
      <c r="I68" s="72">
        <v>292.45999999999998</v>
      </c>
      <c r="J68" s="72">
        <v>66.84</v>
      </c>
      <c r="K68" s="72" t="s">
        <v>59</v>
      </c>
    </row>
    <row r="69" spans="1:11">
      <c r="A69" s="1">
        <v>66</v>
      </c>
      <c r="B69" s="13" t="s">
        <v>4729</v>
      </c>
      <c r="C69" s="1" t="s">
        <v>4458</v>
      </c>
      <c r="D69" s="44" t="s">
        <v>35</v>
      </c>
      <c r="E69" s="72">
        <v>778999</v>
      </c>
      <c r="F69" s="10">
        <f t="shared" si="2"/>
        <v>755629.03</v>
      </c>
      <c r="G69" s="9">
        <f t="shared" si="3"/>
        <v>732259.05999999994</v>
      </c>
      <c r="H69" s="243">
        <v>360.59</v>
      </c>
      <c r="I69" s="72">
        <v>293.75</v>
      </c>
      <c r="J69" s="72">
        <v>66.84</v>
      </c>
      <c r="K69" s="72" t="s">
        <v>59</v>
      </c>
    </row>
    <row r="70" spans="1:11">
      <c r="A70" s="1">
        <v>67</v>
      </c>
      <c r="B70" s="13" t="s">
        <v>4730</v>
      </c>
      <c r="C70" s="1" t="s">
        <v>4458</v>
      </c>
      <c r="D70" s="44" t="s">
        <v>35</v>
      </c>
      <c r="E70" s="72">
        <v>778999</v>
      </c>
      <c r="F70" s="10">
        <f t="shared" ref="F70:F101" si="4">E70*0.97</f>
        <v>755629.03</v>
      </c>
      <c r="G70" s="9">
        <f t="shared" ref="G70:G101" si="5">E70*0.94</f>
        <v>732259.05999999994</v>
      </c>
      <c r="H70" s="243">
        <v>360.59</v>
      </c>
      <c r="I70" s="72">
        <v>293.75</v>
      </c>
      <c r="J70" s="72">
        <v>66.84</v>
      </c>
      <c r="K70" s="72" t="s">
        <v>59</v>
      </c>
    </row>
    <row r="71" spans="1:11">
      <c r="A71" s="1">
        <v>68</v>
      </c>
      <c r="B71" s="13" t="s">
        <v>4731</v>
      </c>
      <c r="C71" s="1" t="s">
        <v>4458</v>
      </c>
      <c r="D71" s="44" t="s">
        <v>35</v>
      </c>
      <c r="E71" s="72">
        <v>778999</v>
      </c>
      <c r="F71" s="10">
        <f t="shared" si="4"/>
        <v>755629.03</v>
      </c>
      <c r="G71" s="9">
        <f t="shared" si="5"/>
        <v>732259.05999999994</v>
      </c>
      <c r="H71" s="243">
        <v>360.59</v>
      </c>
      <c r="I71" s="72">
        <v>293.75</v>
      </c>
      <c r="J71" s="72">
        <v>66.84</v>
      </c>
      <c r="K71" s="72" t="s">
        <v>59</v>
      </c>
    </row>
    <row r="72" spans="1:11">
      <c r="A72" s="1">
        <v>69</v>
      </c>
      <c r="B72" s="13" t="s">
        <v>4732</v>
      </c>
      <c r="C72" s="1" t="s">
        <v>4458</v>
      </c>
      <c r="D72" s="44" t="s">
        <v>35</v>
      </c>
      <c r="E72" s="72">
        <v>778999</v>
      </c>
      <c r="F72" s="10">
        <f t="shared" si="4"/>
        <v>755629.03</v>
      </c>
      <c r="G72" s="9">
        <f t="shared" si="5"/>
        <v>732259.05999999994</v>
      </c>
      <c r="H72" s="243">
        <v>360.59</v>
      </c>
      <c r="I72" s="72">
        <v>293.75</v>
      </c>
      <c r="J72" s="72">
        <v>66.84</v>
      </c>
      <c r="K72" s="72" t="s">
        <v>59</v>
      </c>
    </row>
    <row r="73" spans="1:11">
      <c r="A73" s="1">
        <v>70</v>
      </c>
      <c r="B73" s="13" t="s">
        <v>4733</v>
      </c>
      <c r="C73" s="1" t="s">
        <v>4458</v>
      </c>
      <c r="D73" s="44" t="s">
        <v>35</v>
      </c>
      <c r="E73" s="72">
        <v>778999</v>
      </c>
      <c r="F73" s="10">
        <f t="shared" si="4"/>
        <v>755629.03</v>
      </c>
      <c r="G73" s="9">
        <f t="shared" si="5"/>
        <v>732259.05999999994</v>
      </c>
      <c r="H73" s="243">
        <v>360.59</v>
      </c>
      <c r="I73" s="72">
        <v>293.75</v>
      </c>
      <c r="J73" s="72">
        <v>66.84</v>
      </c>
      <c r="K73" s="72" t="s">
        <v>59</v>
      </c>
    </row>
    <row r="74" spans="1:11">
      <c r="A74" s="1">
        <v>71</v>
      </c>
      <c r="B74" s="13" t="s">
        <v>4734</v>
      </c>
      <c r="C74" s="1" t="s">
        <v>4458</v>
      </c>
      <c r="D74" s="44" t="s">
        <v>35</v>
      </c>
      <c r="E74" s="72">
        <v>778999</v>
      </c>
      <c r="F74" s="10">
        <f t="shared" si="4"/>
        <v>755629.03</v>
      </c>
      <c r="G74" s="9">
        <f t="shared" si="5"/>
        <v>732259.05999999994</v>
      </c>
      <c r="H74" s="243">
        <v>360.59</v>
      </c>
      <c r="I74" s="72">
        <v>293.75</v>
      </c>
      <c r="J74" s="72">
        <v>66.84</v>
      </c>
      <c r="K74" s="72" t="s">
        <v>59</v>
      </c>
    </row>
    <row r="75" spans="1:11">
      <c r="A75" s="1">
        <v>72</v>
      </c>
      <c r="B75" s="13" t="s">
        <v>4735</v>
      </c>
      <c r="C75" s="1" t="s">
        <v>4459</v>
      </c>
      <c r="D75" s="44" t="s">
        <v>35</v>
      </c>
      <c r="E75" s="72">
        <v>777999</v>
      </c>
      <c r="F75" s="10">
        <f t="shared" si="4"/>
        <v>754659.03</v>
      </c>
      <c r="G75" s="9">
        <f t="shared" si="5"/>
        <v>731319.05999999994</v>
      </c>
      <c r="H75" s="243">
        <v>359.3</v>
      </c>
      <c r="I75" s="72">
        <v>292.45999999999998</v>
      </c>
      <c r="J75" s="72">
        <v>66.84</v>
      </c>
      <c r="K75" s="72" t="s">
        <v>59</v>
      </c>
    </row>
    <row r="76" spans="1:11">
      <c r="A76" s="1">
        <v>73</v>
      </c>
      <c r="B76" s="13" t="s">
        <v>4736</v>
      </c>
      <c r="C76" s="1" t="s">
        <v>4459</v>
      </c>
      <c r="D76" s="44" t="s">
        <v>35</v>
      </c>
      <c r="E76" s="72">
        <v>777999</v>
      </c>
      <c r="F76" s="10">
        <f t="shared" si="4"/>
        <v>754659.03</v>
      </c>
      <c r="G76" s="9">
        <f t="shared" si="5"/>
        <v>731319.05999999994</v>
      </c>
      <c r="H76" s="243">
        <v>359.3</v>
      </c>
      <c r="I76" s="72">
        <v>292.45999999999998</v>
      </c>
      <c r="J76" s="72">
        <v>66.84</v>
      </c>
      <c r="K76" s="72" t="s">
        <v>59</v>
      </c>
    </row>
    <row r="77" spans="1:11">
      <c r="A77" s="1">
        <v>74</v>
      </c>
      <c r="B77" s="13" t="s">
        <v>4737</v>
      </c>
      <c r="C77" s="1" t="s">
        <v>5</v>
      </c>
      <c r="D77" s="44" t="s">
        <v>35</v>
      </c>
      <c r="E77" s="72">
        <v>777999</v>
      </c>
      <c r="F77" s="10">
        <f t="shared" si="4"/>
        <v>754659.03</v>
      </c>
      <c r="G77" s="9">
        <f t="shared" si="5"/>
        <v>731319.05999999994</v>
      </c>
      <c r="H77" s="243">
        <v>359.3</v>
      </c>
      <c r="I77" s="72">
        <v>292.45999999999998</v>
      </c>
      <c r="J77" s="72">
        <v>66.84</v>
      </c>
      <c r="K77" s="72" t="s">
        <v>59</v>
      </c>
    </row>
    <row r="78" spans="1:11">
      <c r="A78" s="1">
        <v>75</v>
      </c>
      <c r="B78" s="13" t="s">
        <v>4738</v>
      </c>
      <c r="C78" s="1" t="s">
        <v>5</v>
      </c>
      <c r="D78" s="44" t="s">
        <v>35</v>
      </c>
      <c r="E78" s="72">
        <v>777999</v>
      </c>
      <c r="F78" s="10">
        <f t="shared" si="4"/>
        <v>754659.03</v>
      </c>
      <c r="G78" s="9">
        <f t="shared" si="5"/>
        <v>731319.05999999994</v>
      </c>
      <c r="H78" s="243">
        <v>359.3</v>
      </c>
      <c r="I78" s="72">
        <v>292.45999999999998</v>
      </c>
      <c r="J78" s="72">
        <v>66.84</v>
      </c>
      <c r="K78" s="72" t="s">
        <v>59</v>
      </c>
    </row>
    <row r="79" spans="1:11">
      <c r="A79" s="1">
        <v>76</v>
      </c>
      <c r="B79" s="13" t="s">
        <v>4739</v>
      </c>
      <c r="C79" s="1" t="s">
        <v>6</v>
      </c>
      <c r="D79" s="44" t="s">
        <v>35</v>
      </c>
      <c r="E79" s="72">
        <v>778999</v>
      </c>
      <c r="F79" s="10">
        <f t="shared" si="4"/>
        <v>755629.03</v>
      </c>
      <c r="G79" s="9">
        <f t="shared" si="5"/>
        <v>732259.05999999994</v>
      </c>
      <c r="H79" s="243">
        <v>360.59</v>
      </c>
      <c r="I79" s="72">
        <v>293.75</v>
      </c>
      <c r="J79" s="72">
        <v>66.84</v>
      </c>
      <c r="K79" s="72" t="s">
        <v>59</v>
      </c>
    </row>
    <row r="80" spans="1:11">
      <c r="A80" s="1">
        <v>77</v>
      </c>
      <c r="B80" s="13" t="s">
        <v>4740</v>
      </c>
      <c r="C80" s="1" t="s">
        <v>6</v>
      </c>
      <c r="D80" s="44" t="s">
        <v>35</v>
      </c>
      <c r="E80" s="72">
        <v>778999</v>
      </c>
      <c r="F80" s="10">
        <f t="shared" si="4"/>
        <v>755629.03</v>
      </c>
      <c r="G80" s="9">
        <f t="shared" si="5"/>
        <v>732259.05999999994</v>
      </c>
      <c r="H80" s="243">
        <v>360.59</v>
      </c>
      <c r="I80" s="72">
        <v>293.75</v>
      </c>
      <c r="J80" s="72">
        <v>66.84</v>
      </c>
      <c r="K80" s="72" t="s">
        <v>59</v>
      </c>
    </row>
    <row r="81" spans="1:11">
      <c r="A81" s="1">
        <v>78</v>
      </c>
      <c r="B81" s="13" t="s">
        <v>4741</v>
      </c>
      <c r="C81" s="1" t="s">
        <v>6</v>
      </c>
      <c r="D81" s="44" t="s">
        <v>35</v>
      </c>
      <c r="E81" s="72">
        <v>778999</v>
      </c>
      <c r="F81" s="10">
        <f t="shared" si="4"/>
        <v>755629.03</v>
      </c>
      <c r="G81" s="9">
        <f t="shared" si="5"/>
        <v>732259.05999999994</v>
      </c>
      <c r="H81" s="243">
        <v>360.59</v>
      </c>
      <c r="I81" s="72">
        <v>293.75</v>
      </c>
      <c r="J81" s="72">
        <v>66.84</v>
      </c>
      <c r="K81" s="72" t="s">
        <v>59</v>
      </c>
    </row>
    <row r="82" spans="1:11">
      <c r="A82" s="1">
        <v>79</v>
      </c>
      <c r="B82" s="13" t="s">
        <v>4742</v>
      </c>
      <c r="C82" s="1" t="s">
        <v>6</v>
      </c>
      <c r="D82" s="44" t="s">
        <v>35</v>
      </c>
      <c r="E82" s="72">
        <v>778999</v>
      </c>
      <c r="F82" s="10">
        <f t="shared" si="4"/>
        <v>755629.03</v>
      </c>
      <c r="G82" s="9">
        <f t="shared" si="5"/>
        <v>732259.05999999994</v>
      </c>
      <c r="H82" s="243">
        <v>360.59</v>
      </c>
      <c r="I82" s="72">
        <v>293.75</v>
      </c>
      <c r="J82" s="72">
        <v>66.84</v>
      </c>
      <c r="K82" s="72" t="s">
        <v>59</v>
      </c>
    </row>
    <row r="83" spans="1:11">
      <c r="A83" s="1">
        <v>80</v>
      </c>
      <c r="B83" s="13" t="s">
        <v>4743</v>
      </c>
      <c r="C83" s="1" t="s">
        <v>6</v>
      </c>
      <c r="D83" s="44" t="s">
        <v>35</v>
      </c>
      <c r="E83" s="72">
        <v>778999</v>
      </c>
      <c r="F83" s="10">
        <f t="shared" si="4"/>
        <v>755629.03</v>
      </c>
      <c r="G83" s="9">
        <f t="shared" si="5"/>
        <v>732259.05999999994</v>
      </c>
      <c r="H83" s="243">
        <v>360.59</v>
      </c>
      <c r="I83" s="72">
        <v>293.75</v>
      </c>
      <c r="J83" s="72">
        <v>66.84</v>
      </c>
      <c r="K83" s="72" t="s">
        <v>59</v>
      </c>
    </row>
    <row r="84" spans="1:11">
      <c r="A84" s="1">
        <v>81</v>
      </c>
      <c r="B84" s="13" t="s">
        <v>4744</v>
      </c>
      <c r="C84" s="1" t="s">
        <v>6</v>
      </c>
      <c r="D84" s="44" t="s">
        <v>35</v>
      </c>
      <c r="E84" s="72">
        <v>778999</v>
      </c>
      <c r="F84" s="10">
        <f t="shared" si="4"/>
        <v>755629.03</v>
      </c>
      <c r="G84" s="9">
        <f t="shared" si="5"/>
        <v>732259.05999999994</v>
      </c>
      <c r="H84" s="243">
        <v>360.59</v>
      </c>
      <c r="I84" s="72">
        <v>293.75</v>
      </c>
      <c r="J84" s="72">
        <v>66.84</v>
      </c>
      <c r="K84" s="72" t="s">
        <v>59</v>
      </c>
    </row>
    <row r="85" spans="1:11">
      <c r="A85" s="1">
        <v>82</v>
      </c>
      <c r="B85" s="13" t="s">
        <v>4745</v>
      </c>
      <c r="C85" s="1" t="s">
        <v>7</v>
      </c>
      <c r="D85" s="44" t="s">
        <v>35</v>
      </c>
      <c r="E85" s="72">
        <v>777999</v>
      </c>
      <c r="F85" s="10">
        <f t="shared" si="4"/>
        <v>754659.03</v>
      </c>
      <c r="G85" s="9">
        <f t="shared" si="5"/>
        <v>731319.05999999994</v>
      </c>
      <c r="H85" s="243">
        <v>360.59</v>
      </c>
      <c r="I85" s="72">
        <v>293.75</v>
      </c>
      <c r="J85" s="72">
        <v>66.84</v>
      </c>
      <c r="K85" s="72" t="s">
        <v>59</v>
      </c>
    </row>
    <row r="86" spans="1:11">
      <c r="A86" s="1">
        <v>83</v>
      </c>
      <c r="B86" s="13" t="s">
        <v>4746</v>
      </c>
      <c r="C86" s="1" t="s">
        <v>7</v>
      </c>
      <c r="D86" s="44" t="s">
        <v>35</v>
      </c>
      <c r="E86" s="72">
        <v>777999</v>
      </c>
      <c r="F86" s="10">
        <f t="shared" si="4"/>
        <v>754659.03</v>
      </c>
      <c r="G86" s="9">
        <f t="shared" si="5"/>
        <v>731319.05999999994</v>
      </c>
      <c r="H86" s="243">
        <v>360.59</v>
      </c>
      <c r="I86" s="72">
        <v>293.75</v>
      </c>
      <c r="J86" s="72">
        <v>66.84</v>
      </c>
      <c r="K86" s="72" t="s">
        <v>59</v>
      </c>
    </row>
    <row r="87" spans="1:11">
      <c r="A87" s="1">
        <v>84</v>
      </c>
      <c r="B87" s="13" t="s">
        <v>4747</v>
      </c>
      <c r="C87" s="1" t="s">
        <v>7</v>
      </c>
      <c r="D87" s="44" t="s">
        <v>35</v>
      </c>
      <c r="E87" s="72">
        <v>777999</v>
      </c>
      <c r="F87" s="10">
        <f t="shared" si="4"/>
        <v>754659.03</v>
      </c>
      <c r="G87" s="9">
        <f t="shared" si="5"/>
        <v>731319.05999999994</v>
      </c>
      <c r="H87" s="243">
        <v>360.59</v>
      </c>
      <c r="I87" s="72">
        <v>293.75</v>
      </c>
      <c r="J87" s="72">
        <v>66.84</v>
      </c>
      <c r="K87" s="72" t="s">
        <v>59</v>
      </c>
    </row>
    <row r="88" spans="1:11">
      <c r="A88" s="1">
        <v>85</v>
      </c>
      <c r="B88" s="13" t="s">
        <v>4748</v>
      </c>
      <c r="C88" s="1" t="s">
        <v>7</v>
      </c>
      <c r="D88" s="44" t="s">
        <v>35</v>
      </c>
      <c r="E88" s="72">
        <v>777999</v>
      </c>
      <c r="F88" s="10">
        <f t="shared" si="4"/>
        <v>754659.03</v>
      </c>
      <c r="G88" s="9">
        <f t="shared" si="5"/>
        <v>731319.05999999994</v>
      </c>
      <c r="H88" s="243">
        <v>360.59</v>
      </c>
      <c r="I88" s="72">
        <v>293.75</v>
      </c>
      <c r="J88" s="72">
        <v>66.84</v>
      </c>
      <c r="K88" s="72" t="s">
        <v>59</v>
      </c>
    </row>
    <row r="89" spans="1:11">
      <c r="A89" s="1">
        <v>86</v>
      </c>
      <c r="B89" s="13" t="s">
        <v>4749</v>
      </c>
      <c r="C89" s="1" t="s">
        <v>4</v>
      </c>
      <c r="D89" s="44" t="s">
        <v>35</v>
      </c>
      <c r="E89" s="72">
        <v>776999</v>
      </c>
      <c r="F89" s="10">
        <f t="shared" si="4"/>
        <v>753689.03</v>
      </c>
      <c r="G89" s="9">
        <f t="shared" si="5"/>
        <v>730379.05999999994</v>
      </c>
      <c r="H89" s="243">
        <v>359.3</v>
      </c>
      <c r="I89" s="72">
        <v>292.45999999999998</v>
      </c>
      <c r="J89" s="72">
        <v>66.84</v>
      </c>
      <c r="K89" s="72" t="s">
        <v>59</v>
      </c>
    </row>
    <row r="90" spans="1:11">
      <c r="A90" s="1">
        <v>87</v>
      </c>
      <c r="B90" s="13" t="s">
        <v>4750</v>
      </c>
      <c r="C90" s="1" t="s">
        <v>8</v>
      </c>
      <c r="D90" s="44" t="s">
        <v>35</v>
      </c>
      <c r="E90" s="72">
        <v>776999</v>
      </c>
      <c r="F90" s="10">
        <f t="shared" si="4"/>
        <v>753689.03</v>
      </c>
      <c r="G90" s="9">
        <f t="shared" si="5"/>
        <v>730379.05999999994</v>
      </c>
      <c r="H90" s="243">
        <v>360.59</v>
      </c>
      <c r="I90" s="72">
        <v>293.75</v>
      </c>
      <c r="J90" s="72">
        <v>66.84</v>
      </c>
      <c r="K90" s="72" t="s">
        <v>59</v>
      </c>
    </row>
    <row r="91" spans="1:11">
      <c r="A91" s="1">
        <v>88</v>
      </c>
      <c r="B91" s="13" t="s">
        <v>4751</v>
      </c>
      <c r="C91" s="1" t="s">
        <v>8</v>
      </c>
      <c r="D91" s="44" t="s">
        <v>35</v>
      </c>
      <c r="E91" s="72">
        <v>776999</v>
      </c>
      <c r="F91" s="10">
        <f t="shared" si="4"/>
        <v>753689.03</v>
      </c>
      <c r="G91" s="9">
        <f t="shared" si="5"/>
        <v>730379.05999999994</v>
      </c>
      <c r="H91" s="243">
        <v>360.59</v>
      </c>
      <c r="I91" s="72">
        <v>293.75</v>
      </c>
      <c r="J91" s="72">
        <v>66.84</v>
      </c>
      <c r="K91" s="72" t="s">
        <v>59</v>
      </c>
    </row>
    <row r="92" spans="1:11">
      <c r="A92" s="1">
        <v>89</v>
      </c>
      <c r="B92" s="13" t="s">
        <v>4752</v>
      </c>
      <c r="C92" s="1" t="s">
        <v>8</v>
      </c>
      <c r="D92" s="44" t="s">
        <v>35</v>
      </c>
      <c r="E92" s="72">
        <v>776999</v>
      </c>
      <c r="F92" s="10">
        <f t="shared" si="4"/>
        <v>753689.03</v>
      </c>
      <c r="G92" s="9">
        <f t="shared" si="5"/>
        <v>730379.05999999994</v>
      </c>
      <c r="H92" s="243">
        <v>360.59</v>
      </c>
      <c r="I92" s="72">
        <v>293.75</v>
      </c>
      <c r="J92" s="72">
        <v>66.84</v>
      </c>
      <c r="K92" s="72" t="s">
        <v>59</v>
      </c>
    </row>
    <row r="93" spans="1:11">
      <c r="A93" s="1">
        <v>90</v>
      </c>
      <c r="B93" s="13" t="s">
        <v>4753</v>
      </c>
      <c r="C93" s="1" t="s">
        <v>8</v>
      </c>
      <c r="D93" s="44" t="s">
        <v>35</v>
      </c>
      <c r="E93" s="72">
        <v>776999</v>
      </c>
      <c r="F93" s="10">
        <f t="shared" si="4"/>
        <v>753689.03</v>
      </c>
      <c r="G93" s="9">
        <f t="shared" si="5"/>
        <v>730379.05999999994</v>
      </c>
      <c r="H93" s="243">
        <v>360.59</v>
      </c>
      <c r="I93" s="72">
        <v>293.75</v>
      </c>
      <c r="J93" s="72">
        <v>66.84</v>
      </c>
      <c r="K93" s="72" t="s">
        <v>59</v>
      </c>
    </row>
    <row r="94" spans="1:11">
      <c r="A94" s="1">
        <v>91</v>
      </c>
      <c r="B94" s="13" t="s">
        <v>4754</v>
      </c>
      <c r="C94" s="1" t="s">
        <v>8</v>
      </c>
      <c r="D94" s="44" t="s">
        <v>35</v>
      </c>
      <c r="E94" s="72">
        <v>776999</v>
      </c>
      <c r="F94" s="10">
        <f t="shared" si="4"/>
        <v>753689.03</v>
      </c>
      <c r="G94" s="9">
        <f t="shared" si="5"/>
        <v>730379.05999999994</v>
      </c>
      <c r="H94" s="243">
        <v>360.59</v>
      </c>
      <c r="I94" s="72">
        <v>293.75</v>
      </c>
      <c r="J94" s="72">
        <v>66.84</v>
      </c>
      <c r="K94" s="72" t="s">
        <v>59</v>
      </c>
    </row>
    <row r="95" spans="1:11">
      <c r="A95" s="1">
        <v>92</v>
      </c>
      <c r="B95" s="13" t="s">
        <v>4755</v>
      </c>
      <c r="C95" s="1" t="s">
        <v>8</v>
      </c>
      <c r="D95" s="44" t="s">
        <v>35</v>
      </c>
      <c r="E95" s="72">
        <v>776999</v>
      </c>
      <c r="F95" s="10">
        <f t="shared" si="4"/>
        <v>753689.03</v>
      </c>
      <c r="G95" s="9">
        <f t="shared" si="5"/>
        <v>730379.05999999994</v>
      </c>
      <c r="H95" s="243">
        <v>360.59</v>
      </c>
      <c r="I95" s="72">
        <v>293.75</v>
      </c>
      <c r="J95" s="72">
        <v>66.84</v>
      </c>
      <c r="K95" s="72" t="s">
        <v>59</v>
      </c>
    </row>
    <row r="96" spans="1:11">
      <c r="A96" s="1">
        <v>93</v>
      </c>
      <c r="B96" s="13" t="s">
        <v>4756</v>
      </c>
      <c r="C96" s="1" t="s">
        <v>4458</v>
      </c>
      <c r="D96" s="44" t="s">
        <v>35</v>
      </c>
      <c r="E96" s="72">
        <v>775999</v>
      </c>
      <c r="F96" s="10">
        <f t="shared" si="4"/>
        <v>752719.03</v>
      </c>
      <c r="G96" s="9">
        <f t="shared" si="5"/>
        <v>729439.05999999994</v>
      </c>
      <c r="H96" s="243">
        <v>359.3</v>
      </c>
      <c r="I96" s="72">
        <v>292.45999999999998</v>
      </c>
      <c r="J96" s="72">
        <v>66.84</v>
      </c>
      <c r="K96" s="72" t="s">
        <v>59</v>
      </c>
    </row>
    <row r="97" spans="1:11">
      <c r="A97" s="1">
        <v>94</v>
      </c>
      <c r="B97" s="13" t="s">
        <v>4757</v>
      </c>
      <c r="C97" s="1" t="s">
        <v>9</v>
      </c>
      <c r="D97" s="44" t="s">
        <v>35</v>
      </c>
      <c r="E97" s="72">
        <v>775999</v>
      </c>
      <c r="F97" s="10">
        <f t="shared" si="4"/>
        <v>752719.03</v>
      </c>
      <c r="G97" s="9">
        <f t="shared" si="5"/>
        <v>729439.05999999994</v>
      </c>
      <c r="H97" s="243">
        <v>360.59</v>
      </c>
      <c r="I97" s="72">
        <v>293.75</v>
      </c>
      <c r="J97" s="72">
        <v>66.84</v>
      </c>
      <c r="K97" s="72" t="s">
        <v>59</v>
      </c>
    </row>
    <row r="98" spans="1:11">
      <c r="A98" s="1">
        <v>95</v>
      </c>
      <c r="B98" s="13" t="s">
        <v>4758</v>
      </c>
      <c r="C98" s="1" t="s">
        <v>9</v>
      </c>
      <c r="D98" s="44" t="s">
        <v>35</v>
      </c>
      <c r="E98" s="72">
        <v>775999</v>
      </c>
      <c r="F98" s="10">
        <f t="shared" si="4"/>
        <v>752719.03</v>
      </c>
      <c r="G98" s="9">
        <f t="shared" si="5"/>
        <v>729439.05999999994</v>
      </c>
      <c r="H98" s="243">
        <v>360.59</v>
      </c>
      <c r="I98" s="72">
        <v>293.75</v>
      </c>
      <c r="J98" s="72">
        <v>66.84</v>
      </c>
      <c r="K98" s="72" t="s">
        <v>59</v>
      </c>
    </row>
    <row r="99" spans="1:11">
      <c r="A99" s="1">
        <v>96</v>
      </c>
      <c r="B99" s="13" t="s">
        <v>4759</v>
      </c>
      <c r="C99" s="1" t="s">
        <v>9</v>
      </c>
      <c r="D99" s="44" t="s">
        <v>35</v>
      </c>
      <c r="E99" s="72">
        <v>775999</v>
      </c>
      <c r="F99" s="10">
        <f t="shared" si="4"/>
        <v>752719.03</v>
      </c>
      <c r="G99" s="9">
        <f t="shared" si="5"/>
        <v>729439.05999999994</v>
      </c>
      <c r="H99" s="243">
        <v>360.59</v>
      </c>
      <c r="I99" s="72">
        <v>293.75</v>
      </c>
      <c r="J99" s="72">
        <v>66.84</v>
      </c>
      <c r="K99" s="72" t="s">
        <v>59</v>
      </c>
    </row>
    <row r="100" spans="1:11">
      <c r="A100" s="1">
        <v>97</v>
      </c>
      <c r="B100" s="13" t="s">
        <v>4760</v>
      </c>
      <c r="C100" s="1" t="s">
        <v>9</v>
      </c>
      <c r="D100" s="44" t="s">
        <v>35</v>
      </c>
      <c r="E100" s="72">
        <v>775999</v>
      </c>
      <c r="F100" s="10">
        <f t="shared" si="4"/>
        <v>752719.03</v>
      </c>
      <c r="G100" s="9">
        <f t="shared" si="5"/>
        <v>729439.05999999994</v>
      </c>
      <c r="H100" s="243">
        <v>360.59</v>
      </c>
      <c r="I100" s="72">
        <v>293.75</v>
      </c>
      <c r="J100" s="72">
        <v>66.84</v>
      </c>
      <c r="K100" s="72" t="s">
        <v>59</v>
      </c>
    </row>
    <row r="101" spans="1:11">
      <c r="A101" s="1">
        <v>98</v>
      </c>
      <c r="B101" s="13" t="s">
        <v>4761</v>
      </c>
      <c r="C101" s="1" t="s">
        <v>9</v>
      </c>
      <c r="D101" s="44" t="s">
        <v>35</v>
      </c>
      <c r="E101" s="72">
        <v>775999</v>
      </c>
      <c r="F101" s="10">
        <f t="shared" si="4"/>
        <v>752719.03</v>
      </c>
      <c r="G101" s="9">
        <f t="shared" si="5"/>
        <v>729439.05999999994</v>
      </c>
      <c r="H101" s="243">
        <v>360.59</v>
      </c>
      <c r="I101" s="72">
        <v>293.75</v>
      </c>
      <c r="J101" s="72">
        <v>66.84</v>
      </c>
      <c r="K101" s="72" t="s">
        <v>59</v>
      </c>
    </row>
    <row r="102" spans="1:11">
      <c r="A102" s="1">
        <v>99</v>
      </c>
      <c r="B102" s="13" t="s">
        <v>4762</v>
      </c>
      <c r="C102" s="1" t="s">
        <v>6</v>
      </c>
      <c r="D102" s="1" t="s">
        <v>35</v>
      </c>
      <c r="E102" s="256">
        <v>775999</v>
      </c>
      <c r="F102" s="10">
        <f t="shared" ref="F102:F112" si="6">E102*0.97</f>
        <v>752719.03</v>
      </c>
      <c r="G102" s="9">
        <f t="shared" ref="G102:G112" si="7">E102*0.94</f>
        <v>729439.05999999994</v>
      </c>
      <c r="H102" s="256">
        <v>359.3</v>
      </c>
      <c r="I102" s="256">
        <v>292.45999999999998</v>
      </c>
      <c r="J102" s="256">
        <v>66.84</v>
      </c>
      <c r="K102" s="1" t="s">
        <v>59</v>
      </c>
    </row>
    <row r="103" spans="1:11">
      <c r="A103" s="1">
        <v>100</v>
      </c>
      <c r="B103" s="13" t="s">
        <v>4763</v>
      </c>
      <c r="C103" s="1" t="s">
        <v>10</v>
      </c>
      <c r="D103" s="1" t="s">
        <v>35</v>
      </c>
      <c r="E103" s="256">
        <v>775999</v>
      </c>
      <c r="F103" s="10">
        <f t="shared" si="6"/>
        <v>752719.03</v>
      </c>
      <c r="G103" s="9">
        <f t="shared" si="7"/>
        <v>729439.05999999994</v>
      </c>
      <c r="H103" s="256">
        <v>360.59</v>
      </c>
      <c r="I103" s="256">
        <v>293.75</v>
      </c>
      <c r="J103" s="256">
        <v>66.84</v>
      </c>
      <c r="K103" s="1" t="s">
        <v>59</v>
      </c>
    </row>
    <row r="104" spans="1:11">
      <c r="A104" s="1">
        <v>101</v>
      </c>
      <c r="B104" s="13" t="s">
        <v>4764</v>
      </c>
      <c r="C104" s="1" t="s">
        <v>10</v>
      </c>
      <c r="D104" s="1" t="s">
        <v>35</v>
      </c>
      <c r="E104" s="256">
        <v>775999</v>
      </c>
      <c r="F104" s="10">
        <f t="shared" si="6"/>
        <v>752719.03</v>
      </c>
      <c r="G104" s="9">
        <f t="shared" si="7"/>
        <v>729439.05999999994</v>
      </c>
      <c r="H104" s="256">
        <v>360.59</v>
      </c>
      <c r="I104" s="256">
        <v>293.75</v>
      </c>
      <c r="J104" s="256">
        <v>66.84</v>
      </c>
      <c r="K104" s="1" t="s">
        <v>59</v>
      </c>
    </row>
    <row r="105" spans="1:11">
      <c r="A105" s="1">
        <v>102</v>
      </c>
      <c r="B105" s="13" t="s">
        <v>4765</v>
      </c>
      <c r="C105" s="1" t="s">
        <v>10</v>
      </c>
      <c r="D105" s="1" t="s">
        <v>35</v>
      </c>
      <c r="E105" s="256">
        <v>775999</v>
      </c>
      <c r="F105" s="10">
        <f t="shared" si="6"/>
        <v>752719.03</v>
      </c>
      <c r="G105" s="9">
        <f t="shared" si="7"/>
        <v>729439.05999999994</v>
      </c>
      <c r="H105" s="256">
        <v>360.59</v>
      </c>
      <c r="I105" s="256">
        <v>293.75</v>
      </c>
      <c r="J105" s="256">
        <v>66.84</v>
      </c>
      <c r="K105" s="1" t="s">
        <v>59</v>
      </c>
    </row>
    <row r="106" spans="1:11">
      <c r="A106" s="1">
        <v>103</v>
      </c>
      <c r="B106" s="13" t="s">
        <v>4766</v>
      </c>
      <c r="C106" s="1" t="s">
        <v>10</v>
      </c>
      <c r="D106" s="1" t="s">
        <v>35</v>
      </c>
      <c r="E106" s="256">
        <v>775999</v>
      </c>
      <c r="F106" s="10">
        <f t="shared" si="6"/>
        <v>752719.03</v>
      </c>
      <c r="G106" s="9">
        <f t="shared" si="7"/>
        <v>729439.05999999994</v>
      </c>
      <c r="H106" s="256">
        <v>360.59</v>
      </c>
      <c r="I106" s="256">
        <v>293.75</v>
      </c>
      <c r="J106" s="256">
        <v>66.84</v>
      </c>
      <c r="K106" s="1" t="s">
        <v>59</v>
      </c>
    </row>
    <row r="107" spans="1:11">
      <c r="A107" s="1">
        <v>104</v>
      </c>
      <c r="B107" s="13" t="s">
        <v>4767</v>
      </c>
      <c r="C107" s="1" t="s">
        <v>3</v>
      </c>
      <c r="D107" s="1" t="s">
        <v>35</v>
      </c>
      <c r="E107" s="256">
        <v>776999</v>
      </c>
      <c r="F107" s="10">
        <f t="shared" si="6"/>
        <v>753689.03</v>
      </c>
      <c r="G107" s="9">
        <f t="shared" si="7"/>
        <v>730379.05999999994</v>
      </c>
      <c r="H107" s="256">
        <v>360.59</v>
      </c>
      <c r="I107" s="256">
        <v>293.75</v>
      </c>
      <c r="J107" s="256">
        <v>66.84</v>
      </c>
      <c r="K107" s="1" t="s">
        <v>59</v>
      </c>
    </row>
    <row r="108" spans="1:11">
      <c r="A108" s="1">
        <v>105</v>
      </c>
      <c r="B108" s="13" t="s">
        <v>4768</v>
      </c>
      <c r="C108" s="1" t="s">
        <v>3</v>
      </c>
      <c r="D108" s="1" t="s">
        <v>35</v>
      </c>
      <c r="E108" s="256">
        <v>776999</v>
      </c>
      <c r="F108" s="10">
        <f t="shared" si="6"/>
        <v>753689.03</v>
      </c>
      <c r="G108" s="9">
        <f t="shared" si="7"/>
        <v>730379.05999999994</v>
      </c>
      <c r="H108" s="256">
        <v>360.59</v>
      </c>
      <c r="I108" s="256">
        <v>293.75</v>
      </c>
      <c r="J108" s="256">
        <v>66.84</v>
      </c>
      <c r="K108" s="1" t="s">
        <v>59</v>
      </c>
    </row>
    <row r="109" spans="1:11">
      <c r="A109" s="1">
        <v>106</v>
      </c>
      <c r="B109" s="13" t="s">
        <v>4769</v>
      </c>
      <c r="C109" s="1" t="s">
        <v>8</v>
      </c>
      <c r="D109" s="1" t="s">
        <v>35</v>
      </c>
      <c r="E109" s="256">
        <v>775999</v>
      </c>
      <c r="F109" s="10">
        <f t="shared" si="6"/>
        <v>752719.03</v>
      </c>
      <c r="G109" s="9">
        <f t="shared" si="7"/>
        <v>729439.05999999994</v>
      </c>
      <c r="H109" s="256">
        <v>359.3</v>
      </c>
      <c r="I109" s="256">
        <v>292.45999999999998</v>
      </c>
      <c r="J109" s="256">
        <v>66.84</v>
      </c>
      <c r="K109" s="1" t="s">
        <v>59</v>
      </c>
    </row>
    <row r="110" spans="1:11">
      <c r="A110" s="1">
        <v>107</v>
      </c>
      <c r="B110" s="13" t="s">
        <v>4770</v>
      </c>
      <c r="C110" s="1" t="s">
        <v>8</v>
      </c>
      <c r="D110" s="1" t="s">
        <v>35</v>
      </c>
      <c r="E110" s="256">
        <v>775999</v>
      </c>
      <c r="F110" s="10">
        <f t="shared" si="6"/>
        <v>752719.03</v>
      </c>
      <c r="G110" s="9">
        <f t="shared" si="7"/>
        <v>729439.05999999994</v>
      </c>
      <c r="H110" s="256">
        <v>359.3</v>
      </c>
      <c r="I110" s="256">
        <v>292.45999999999998</v>
      </c>
      <c r="J110" s="256">
        <v>66.84</v>
      </c>
      <c r="K110" s="1" t="s">
        <v>59</v>
      </c>
    </row>
    <row r="111" spans="1:11">
      <c r="A111" s="1">
        <v>108</v>
      </c>
      <c r="B111" s="13" t="s">
        <v>4771</v>
      </c>
      <c r="C111" s="1" t="s">
        <v>9</v>
      </c>
      <c r="D111" s="1" t="s">
        <v>35</v>
      </c>
      <c r="E111" s="256">
        <v>775999</v>
      </c>
      <c r="F111" s="10">
        <f t="shared" si="6"/>
        <v>752719.03</v>
      </c>
      <c r="G111" s="9">
        <f t="shared" si="7"/>
        <v>729439.05999999994</v>
      </c>
      <c r="H111" s="256">
        <v>359.3</v>
      </c>
      <c r="I111" s="256">
        <v>292.45999999999998</v>
      </c>
      <c r="J111" s="256">
        <v>66.84</v>
      </c>
      <c r="K111" s="1" t="s">
        <v>59</v>
      </c>
    </row>
    <row r="112" spans="1:11">
      <c r="A112" s="1">
        <v>109</v>
      </c>
      <c r="B112" s="13" t="s">
        <v>4772</v>
      </c>
      <c r="C112" s="1" t="s">
        <v>9</v>
      </c>
      <c r="D112" s="1" t="s">
        <v>35</v>
      </c>
      <c r="E112" s="256">
        <v>775999</v>
      </c>
      <c r="F112" s="10">
        <f t="shared" si="6"/>
        <v>752719.03</v>
      </c>
      <c r="G112" s="9">
        <f t="shared" si="7"/>
        <v>729439.05999999994</v>
      </c>
      <c r="H112" s="256">
        <v>359.3</v>
      </c>
      <c r="I112" s="256">
        <v>292.45999999999998</v>
      </c>
      <c r="J112" s="256">
        <v>66.84</v>
      </c>
      <c r="K112" s="1" t="s">
        <v>59</v>
      </c>
    </row>
  </sheetData>
  <mergeCells count="2">
    <mergeCell ref="A1:K1"/>
    <mergeCell ref="A2:K2"/>
  </mergeCells>
  <conditionalFormatting sqref="B1">
    <cfRule type="duplicateValues" dxfId="11734" priority="3"/>
    <cfRule type="duplicateValues" dxfId="11733" priority="4"/>
    <cfRule type="duplicateValues" dxfId="11732" priority="5"/>
    <cfRule type="duplicateValues" dxfId="11731" priority="6"/>
    <cfRule type="duplicateValues" dxfId="11730" priority="7"/>
    <cfRule type="duplicateValues" dxfId="11729" priority="8"/>
    <cfRule type="duplicateValues" dxfId="11728" priority="9"/>
    <cfRule type="duplicateValues" dxfId="11727" priority="10"/>
    <cfRule type="duplicateValues" dxfId="11726" priority="11"/>
    <cfRule type="duplicateValues" dxfId="11725" priority="12"/>
    <cfRule type="duplicateValues" dxfId="11724" priority="13"/>
    <cfRule type="duplicateValues" dxfId="11723" priority="14"/>
    <cfRule type="duplicateValues" dxfId="11722" priority="15"/>
  </conditionalFormatting>
  <conditionalFormatting sqref="B2">
    <cfRule type="duplicateValues" dxfId="11721" priority="93"/>
    <cfRule type="duplicateValues" dxfId="11720" priority="94"/>
    <cfRule type="duplicateValues" dxfId="11719" priority="95"/>
    <cfRule type="duplicateValues" dxfId="11718" priority="96"/>
    <cfRule type="duplicateValues" dxfId="11717" priority="97"/>
    <cfRule type="duplicateValues" dxfId="11716" priority="98"/>
    <cfRule type="duplicateValues" dxfId="11715" priority="99"/>
    <cfRule type="duplicateValues" dxfId="11714" priority="100"/>
    <cfRule type="duplicateValues" dxfId="11713" priority="101"/>
    <cfRule type="duplicateValues" dxfId="11712" priority="102"/>
    <cfRule type="duplicateValues" dxfId="11711" priority="103"/>
    <cfRule type="duplicateValues" dxfId="11710" priority="104"/>
    <cfRule type="duplicateValues" dxfId="11709" priority="105"/>
  </conditionalFormatting>
  <conditionalFormatting sqref="B2:B3">
    <cfRule type="duplicateValues" dxfId="11708" priority="248739"/>
  </conditionalFormatting>
  <conditionalFormatting sqref="B3">
    <cfRule type="duplicateValues" dxfId="11707" priority="248210"/>
    <cfRule type="duplicateValues" dxfId="11706" priority="248211"/>
    <cfRule type="duplicateValues" dxfId="11705" priority="248212"/>
    <cfRule type="duplicateValues" dxfId="11704" priority="248213"/>
    <cfRule type="duplicateValues" dxfId="11703" priority="248214"/>
    <cfRule type="duplicateValues" dxfId="11702" priority="248215"/>
    <cfRule type="duplicateValues" dxfId="11701" priority="248216"/>
    <cfRule type="duplicateValues" dxfId="11700" priority="248217"/>
    <cfRule type="duplicateValues" dxfId="11699" priority="248218"/>
    <cfRule type="duplicateValues" dxfId="11698" priority="248219"/>
    <cfRule type="duplicateValues" dxfId="11697" priority="248220"/>
    <cfRule type="duplicateValues" dxfId="11696" priority="248221"/>
    <cfRule type="duplicateValues" dxfId="11695" priority="248222"/>
    <cfRule type="duplicateValues" dxfId="11694" priority="248223"/>
    <cfRule type="duplicateValues" dxfId="11693" priority="248224"/>
    <cfRule type="duplicateValues" dxfId="11692" priority="248225"/>
    <cfRule type="duplicateValues" dxfId="11691" priority="248226"/>
    <cfRule type="duplicateValues" dxfId="11690" priority="248227"/>
    <cfRule type="duplicateValues" dxfId="11689" priority="248228"/>
    <cfRule type="duplicateValues" dxfId="11688" priority="248229"/>
    <cfRule type="duplicateValues" dxfId="11687" priority="248230"/>
    <cfRule type="duplicateValues" dxfId="11686" priority="248231"/>
    <cfRule type="duplicateValues" dxfId="11685" priority="248232"/>
    <cfRule type="duplicateValues" dxfId="11684" priority="248233"/>
    <cfRule type="duplicateValues" dxfId="11683" priority="248234"/>
    <cfRule type="duplicateValues" dxfId="11682" priority="248235"/>
    <cfRule type="duplicateValues" dxfId="11681" priority="248236"/>
    <cfRule type="duplicateValues" dxfId="11680" priority="248237"/>
    <cfRule type="duplicateValues" dxfId="11679" priority="248238"/>
    <cfRule type="duplicateValues" dxfId="11678" priority="248239"/>
    <cfRule type="duplicateValues" dxfId="11677" priority="248240"/>
    <cfRule type="duplicateValues" dxfId="11676" priority="248241"/>
    <cfRule type="duplicateValues" dxfId="11675" priority="248242"/>
    <cfRule type="duplicateValues" dxfId="11674" priority="248243"/>
    <cfRule type="duplicateValues" dxfId="11673" priority="248244"/>
    <cfRule type="duplicateValues" dxfId="11672" priority="248245"/>
    <cfRule type="duplicateValues" dxfId="11671" priority="248246"/>
  </conditionalFormatting>
  <conditionalFormatting sqref="B4:B112">
    <cfRule type="duplicateValues" dxfId="11670" priority="249815"/>
    <cfRule type="duplicateValues" dxfId="11669" priority="249816"/>
    <cfRule type="duplicateValues" dxfId="11668" priority="249817"/>
    <cfRule type="duplicateValues" dxfId="11667" priority="249818"/>
    <cfRule type="duplicateValues" dxfId="11666" priority="249819"/>
    <cfRule type="duplicateValues" dxfId="11665" priority="249820"/>
    <cfRule type="duplicateValues" dxfId="11664" priority="249821"/>
    <cfRule type="duplicateValues" dxfId="11663" priority="249822"/>
    <cfRule type="duplicateValues" dxfId="11662" priority="249823"/>
    <cfRule type="duplicateValues" dxfId="11661" priority="249824"/>
    <cfRule type="duplicateValues" dxfId="11660" priority="249825"/>
    <cfRule type="duplicateValues" dxfId="11659" priority="249826"/>
    <cfRule type="duplicateValues" dxfId="11658" priority="249827"/>
    <cfRule type="duplicateValues" dxfId="11657" priority="249828"/>
    <cfRule type="duplicateValues" dxfId="11656" priority="249829"/>
    <cfRule type="duplicateValues" dxfId="11655" priority="249830"/>
    <cfRule type="duplicateValues" dxfId="11654" priority="249831"/>
    <cfRule type="duplicateValues" dxfId="11653" priority="249832"/>
    <cfRule type="duplicateValues" dxfId="11652" priority="249833"/>
    <cfRule type="duplicateValues" dxfId="11651" priority="249834"/>
    <cfRule type="duplicateValues" dxfId="11650" priority="249835"/>
    <cfRule type="duplicateValues" dxfId="11649" priority="249836"/>
    <cfRule type="duplicateValues" dxfId="11648" priority="249837"/>
    <cfRule type="duplicateValues" dxfId="11647" priority="249838"/>
    <cfRule type="duplicateValues" dxfId="11646" priority="249839"/>
    <cfRule type="duplicateValues" dxfId="11645" priority="249840"/>
    <cfRule type="duplicateValues" dxfId="11644" priority="249841"/>
    <cfRule type="duplicateValues" dxfId="11643" priority="249842"/>
    <cfRule type="duplicateValues" dxfId="11642" priority="249843"/>
    <cfRule type="duplicateValues" dxfId="11641" priority="249844"/>
    <cfRule type="duplicateValues" dxfId="11640" priority="249845"/>
    <cfRule type="duplicateValues" dxfId="11639" priority="249846"/>
    <cfRule type="duplicateValues" dxfId="11638" priority="249847"/>
    <cfRule type="duplicateValues" dxfId="11637" priority="249848"/>
    <cfRule type="duplicateValues" dxfId="11636" priority="249849"/>
    <cfRule type="duplicateValues" dxfId="11635" priority="249850"/>
    <cfRule type="duplicateValues" dxfId="11634" priority="249851"/>
    <cfRule type="duplicateValues" dxfId="11633" priority="249852"/>
  </conditionalFormatting>
  <conditionalFormatting sqref="B1:B1048576">
    <cfRule type="duplicateValues" dxfId="11632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B2DD-F3DB-4F99-AC83-985769FEEF09}">
  <dimension ref="A1:K15"/>
  <sheetViews>
    <sheetView zoomScaleNormal="100" workbookViewId="0">
      <selection sqref="A1:K1"/>
    </sheetView>
  </sheetViews>
  <sheetFormatPr defaultColWidth="8.88671875" defaultRowHeight="14.4"/>
  <cols>
    <col min="1" max="1" width="4.109375" style="33" bestFit="1" customWidth="1"/>
    <col min="2" max="2" width="15.88671875" style="33" customWidth="1"/>
    <col min="3" max="3" width="5.21875" style="33" bestFit="1" customWidth="1"/>
    <col min="4" max="4" width="17.33203125" style="33" customWidth="1"/>
    <col min="5" max="7" width="14.6640625" style="38" customWidth="1"/>
    <col min="8" max="8" width="11.33203125" style="38" customWidth="1"/>
    <col min="9" max="9" width="10.44140625" style="38" customWidth="1"/>
    <col min="10" max="10" width="12.33203125" style="38" bestFit="1" customWidth="1"/>
    <col min="11" max="11" width="55.88671875" style="33" bestFit="1" customWidth="1"/>
    <col min="12" max="16384" width="8.88671875" style="33"/>
  </cols>
  <sheetData>
    <row r="1" spans="1:11" ht="23.4">
      <c r="A1" s="307" t="s">
        <v>55</v>
      </c>
      <c r="B1" s="307"/>
      <c r="C1" s="307"/>
      <c r="D1" s="307"/>
      <c r="E1" s="308"/>
      <c r="F1" s="308"/>
      <c r="G1" s="308"/>
      <c r="H1" s="307"/>
      <c r="I1" s="307"/>
      <c r="J1" s="307"/>
      <c r="K1" s="307"/>
    </row>
    <row r="2" spans="1:11">
      <c r="A2" s="296" t="s">
        <v>4257</v>
      </c>
      <c r="B2" s="296"/>
      <c r="C2" s="296"/>
      <c r="D2" s="296"/>
      <c r="E2" s="309"/>
      <c r="F2" s="309"/>
      <c r="G2" s="309"/>
      <c r="H2" s="296"/>
      <c r="I2" s="296"/>
      <c r="J2" s="296"/>
      <c r="K2" s="296"/>
    </row>
    <row r="3" spans="1:11" customFormat="1">
      <c r="A3" s="98" t="s">
        <v>22</v>
      </c>
      <c r="B3" s="99" t="s">
        <v>56</v>
      </c>
      <c r="C3" s="99" t="s">
        <v>26</v>
      </c>
      <c r="D3" s="98" t="s">
        <v>14</v>
      </c>
      <c r="E3" s="102" t="s">
        <v>28</v>
      </c>
      <c r="F3" s="102" t="s">
        <v>29</v>
      </c>
      <c r="G3" s="99" t="s">
        <v>43</v>
      </c>
      <c r="H3" s="99" t="s">
        <v>0</v>
      </c>
      <c r="I3" s="99" t="s">
        <v>1</v>
      </c>
      <c r="J3" s="99" t="s">
        <v>2</v>
      </c>
      <c r="K3" s="99" t="s">
        <v>19</v>
      </c>
    </row>
    <row r="4" spans="1:11">
      <c r="A4" s="28">
        <v>1</v>
      </c>
      <c r="B4" s="41" t="s">
        <v>316</v>
      </c>
      <c r="C4" s="24" t="s">
        <v>3</v>
      </c>
      <c r="D4" s="24" t="s">
        <v>35</v>
      </c>
      <c r="E4" s="27">
        <v>923000</v>
      </c>
      <c r="F4" s="26">
        <f t="shared" ref="F4" si="0">E4*0.97</f>
        <v>895310</v>
      </c>
      <c r="G4" s="40">
        <f t="shared" ref="G4" si="1">E4*0.94</f>
        <v>867620</v>
      </c>
      <c r="H4" s="69">
        <v>480.18</v>
      </c>
      <c r="I4" s="69">
        <v>368.13</v>
      </c>
      <c r="J4" s="69">
        <v>112.05</v>
      </c>
      <c r="K4" s="39" t="s">
        <v>51</v>
      </c>
    </row>
    <row r="5" spans="1:11">
      <c r="A5" s="28">
        <v>2</v>
      </c>
      <c r="B5" s="41" t="s">
        <v>317</v>
      </c>
      <c r="C5" s="24" t="s">
        <v>10</v>
      </c>
      <c r="D5" s="24" t="s">
        <v>35</v>
      </c>
      <c r="E5" s="27">
        <v>891000</v>
      </c>
      <c r="F5" s="26">
        <f t="shared" ref="F5:F8" si="2">E5*0.97</f>
        <v>864270</v>
      </c>
      <c r="G5" s="40">
        <f t="shared" ref="G5:G8" si="3">E5*0.94</f>
        <v>837540</v>
      </c>
      <c r="H5" s="69">
        <v>452.52</v>
      </c>
      <c r="I5" s="69">
        <v>358.12</v>
      </c>
      <c r="J5" s="69">
        <v>94.4</v>
      </c>
      <c r="K5" s="39" t="s">
        <v>50</v>
      </c>
    </row>
    <row r="6" spans="1:11">
      <c r="A6" s="28">
        <v>3</v>
      </c>
      <c r="B6" s="41" t="s">
        <v>318</v>
      </c>
      <c r="C6" s="24" t="s">
        <v>10</v>
      </c>
      <c r="D6" s="24" t="s">
        <v>35</v>
      </c>
      <c r="E6" s="27">
        <v>891000</v>
      </c>
      <c r="F6" s="26">
        <f t="shared" si="2"/>
        <v>864270</v>
      </c>
      <c r="G6" s="40">
        <f t="shared" si="3"/>
        <v>837540</v>
      </c>
      <c r="H6" s="69">
        <v>452.19</v>
      </c>
      <c r="I6" s="69">
        <v>357.79</v>
      </c>
      <c r="J6" s="69">
        <v>94.4</v>
      </c>
      <c r="K6" s="39" t="s">
        <v>50</v>
      </c>
    </row>
    <row r="7" spans="1:11">
      <c r="A7" s="28">
        <v>4</v>
      </c>
      <c r="B7" s="41" t="s">
        <v>319</v>
      </c>
      <c r="C7" s="24" t="s">
        <v>10</v>
      </c>
      <c r="D7" s="24" t="s">
        <v>35</v>
      </c>
      <c r="E7" s="27">
        <v>891000</v>
      </c>
      <c r="F7" s="26">
        <f t="shared" si="2"/>
        <v>864270</v>
      </c>
      <c r="G7" s="40">
        <f t="shared" si="3"/>
        <v>837540</v>
      </c>
      <c r="H7" s="69">
        <v>452.52</v>
      </c>
      <c r="I7" s="69">
        <v>358.12</v>
      </c>
      <c r="J7" s="69">
        <v>94.4</v>
      </c>
      <c r="K7" s="39" t="s">
        <v>50</v>
      </c>
    </row>
    <row r="8" spans="1:11">
      <c r="A8" s="28">
        <v>5</v>
      </c>
      <c r="B8" s="41" t="s">
        <v>320</v>
      </c>
      <c r="C8" s="24" t="s">
        <v>10</v>
      </c>
      <c r="D8" s="24" t="s">
        <v>35</v>
      </c>
      <c r="E8" s="27">
        <v>891000</v>
      </c>
      <c r="F8" s="26">
        <f t="shared" si="2"/>
        <v>864270</v>
      </c>
      <c r="G8" s="40">
        <f t="shared" si="3"/>
        <v>837540</v>
      </c>
      <c r="H8" s="69">
        <v>452.19</v>
      </c>
      <c r="I8" s="69">
        <v>357.79</v>
      </c>
      <c r="J8" s="69">
        <v>94.4</v>
      </c>
      <c r="K8" s="39" t="s">
        <v>50</v>
      </c>
    </row>
    <row r="9" spans="1:11">
      <c r="A9" s="28">
        <v>6</v>
      </c>
      <c r="B9" s="41" t="s">
        <v>54</v>
      </c>
      <c r="C9" s="24" t="s">
        <v>3</v>
      </c>
      <c r="D9" s="24" t="s">
        <v>35</v>
      </c>
      <c r="E9" s="27">
        <v>854000</v>
      </c>
      <c r="F9" s="26">
        <f t="shared" ref="F9" si="4">E9*0.97</f>
        <v>828380</v>
      </c>
      <c r="G9" s="40">
        <f t="shared" ref="G9" si="5">E9*0.94</f>
        <v>802760</v>
      </c>
      <c r="H9" s="69">
        <v>445.63</v>
      </c>
      <c r="I9" s="69">
        <v>341.22</v>
      </c>
      <c r="J9" s="69">
        <v>104.41</v>
      </c>
      <c r="K9" s="39" t="s">
        <v>51</v>
      </c>
    </row>
    <row r="10" spans="1:11">
      <c r="A10" s="28">
        <v>7</v>
      </c>
      <c r="B10" s="41" t="s">
        <v>53</v>
      </c>
      <c r="C10" s="24" t="s">
        <v>3</v>
      </c>
      <c r="D10" s="24" t="s">
        <v>35</v>
      </c>
      <c r="E10" s="27">
        <v>854000</v>
      </c>
      <c r="F10" s="26">
        <f t="shared" ref="F10:F12" si="6">E10*0.97</f>
        <v>828380</v>
      </c>
      <c r="G10" s="40">
        <f t="shared" ref="G10:G12" si="7">E10*0.94</f>
        <v>802760</v>
      </c>
      <c r="H10" s="69">
        <v>445.41</v>
      </c>
      <c r="I10" s="69">
        <v>341</v>
      </c>
      <c r="J10" s="69">
        <v>104.41</v>
      </c>
      <c r="K10" s="39" t="s">
        <v>51</v>
      </c>
    </row>
    <row r="11" spans="1:11">
      <c r="A11" s="28">
        <v>8</v>
      </c>
      <c r="B11" s="41" t="s">
        <v>52</v>
      </c>
      <c r="C11" s="24" t="s">
        <v>3</v>
      </c>
      <c r="D11" s="24" t="s">
        <v>35</v>
      </c>
      <c r="E11" s="27">
        <v>853000</v>
      </c>
      <c r="F11" s="26">
        <f t="shared" si="6"/>
        <v>827410</v>
      </c>
      <c r="G11" s="40">
        <f t="shared" si="7"/>
        <v>801820</v>
      </c>
      <c r="H11" s="69">
        <v>445.19</v>
      </c>
      <c r="I11" s="69">
        <v>340.89</v>
      </c>
      <c r="J11" s="69">
        <v>104.3</v>
      </c>
      <c r="K11" s="39" t="s">
        <v>51</v>
      </c>
    </row>
    <row r="12" spans="1:11">
      <c r="A12" s="28">
        <v>9</v>
      </c>
      <c r="B12" s="41" t="s">
        <v>4960</v>
      </c>
      <c r="C12" s="24" t="s">
        <v>4464</v>
      </c>
      <c r="D12" s="24" t="s">
        <v>35</v>
      </c>
      <c r="E12" s="27">
        <v>832000</v>
      </c>
      <c r="F12" s="26">
        <f t="shared" si="6"/>
        <v>807040</v>
      </c>
      <c r="G12" s="40">
        <f t="shared" si="7"/>
        <v>782080</v>
      </c>
      <c r="H12" s="69">
        <v>410.21</v>
      </c>
      <c r="I12" s="69">
        <v>323.56</v>
      </c>
      <c r="J12" s="69">
        <v>86.65</v>
      </c>
      <c r="K12" s="39" t="s">
        <v>50</v>
      </c>
    </row>
    <row r="13" spans="1:11">
      <c r="A13" s="28">
        <v>10</v>
      </c>
      <c r="B13" s="41" t="s">
        <v>4961</v>
      </c>
      <c r="C13" s="28" t="s">
        <v>10</v>
      </c>
      <c r="D13" s="28" t="s">
        <v>35</v>
      </c>
      <c r="E13" s="257">
        <v>824000</v>
      </c>
      <c r="F13" s="26">
        <f t="shared" ref="F13" si="8">E13*0.97</f>
        <v>799280</v>
      </c>
      <c r="G13" s="40">
        <f t="shared" ref="G13" si="9">E13*0.94</f>
        <v>774560</v>
      </c>
      <c r="H13" s="257">
        <v>410.43</v>
      </c>
      <c r="I13" s="257">
        <v>323.77999999999997</v>
      </c>
      <c r="J13" s="257">
        <v>86.65</v>
      </c>
      <c r="K13" s="28" t="s">
        <v>50</v>
      </c>
    </row>
    <row r="15" spans="1:11">
      <c r="A15" s="38"/>
      <c r="B15" s="38"/>
      <c r="C15" s="38"/>
    </row>
  </sheetData>
  <mergeCells count="2">
    <mergeCell ref="A1:K1"/>
    <mergeCell ref="A2:K2"/>
  </mergeCells>
  <conditionalFormatting sqref="B1:B2 B4:B13">
    <cfRule type="duplicateValues" dxfId="11631" priority="248814"/>
    <cfRule type="duplicateValues" dxfId="11630" priority="248815"/>
    <cfRule type="duplicateValues" dxfId="11629" priority="248816"/>
    <cfRule type="duplicateValues" dxfId="11628" priority="248817"/>
    <cfRule type="duplicateValues" dxfId="11627" priority="248818"/>
    <cfRule type="duplicateValues" dxfId="11626" priority="248819"/>
    <cfRule type="duplicateValues" dxfId="11625" priority="248820"/>
    <cfRule type="duplicateValues" dxfId="11624" priority="248821"/>
    <cfRule type="duplicateValues" dxfId="11623" priority="248822"/>
    <cfRule type="duplicateValues" dxfId="11622" priority="248823"/>
    <cfRule type="duplicateValues" dxfId="11621" priority="248824"/>
    <cfRule type="duplicateValues" dxfId="11620" priority="248825"/>
    <cfRule type="duplicateValues" dxfId="11619" priority="248826"/>
  </conditionalFormatting>
  <conditionalFormatting sqref="B1:B2 B4:B1048576">
    <cfRule type="duplicateValues" dxfId="11618" priority="52"/>
    <cfRule type="duplicateValues" dxfId="11617" priority="235247"/>
  </conditionalFormatting>
  <conditionalFormatting sqref="B3">
    <cfRule type="duplicateValues" dxfId="11616" priority="3"/>
    <cfRule type="duplicateValues" dxfId="11615" priority="4"/>
    <cfRule type="duplicateValues" dxfId="11614" priority="5"/>
    <cfRule type="duplicateValues" dxfId="11613" priority="6"/>
    <cfRule type="duplicateValues" dxfId="11612" priority="7"/>
    <cfRule type="duplicateValues" dxfId="11611" priority="8"/>
    <cfRule type="duplicateValues" dxfId="11610" priority="9"/>
    <cfRule type="duplicateValues" dxfId="11609" priority="10"/>
    <cfRule type="duplicateValues" dxfId="11608" priority="11"/>
    <cfRule type="duplicateValues" dxfId="11607" priority="12"/>
    <cfRule type="duplicateValues" dxfId="11606" priority="13"/>
    <cfRule type="duplicateValues" dxfId="11605" priority="14"/>
    <cfRule type="duplicateValues" dxfId="11604" priority="15"/>
    <cfRule type="duplicateValues" dxfId="11603" priority="16"/>
    <cfRule type="duplicateValues" dxfId="11602" priority="17"/>
    <cfRule type="duplicateValues" dxfId="11601" priority="18"/>
    <cfRule type="duplicateValues" dxfId="11600" priority="19"/>
    <cfRule type="duplicateValues" dxfId="11599" priority="20"/>
    <cfRule type="duplicateValues" dxfId="11598" priority="21"/>
    <cfRule type="duplicateValues" dxfId="11597" priority="22"/>
    <cfRule type="duplicateValues" dxfId="11596" priority="23"/>
    <cfRule type="duplicateValues" dxfId="11595" priority="24"/>
    <cfRule type="duplicateValues" dxfId="11594" priority="25"/>
    <cfRule type="duplicateValues" dxfId="11593" priority="26"/>
    <cfRule type="duplicateValues" dxfId="11592" priority="27"/>
    <cfRule type="duplicateValues" dxfId="11591" priority="28"/>
    <cfRule type="duplicateValues" dxfId="11590" priority="29"/>
    <cfRule type="duplicateValues" dxfId="11589" priority="30"/>
    <cfRule type="duplicateValues" dxfId="11588" priority="31"/>
    <cfRule type="duplicateValues" dxfId="11587" priority="32"/>
    <cfRule type="duplicateValues" dxfId="11586" priority="33"/>
    <cfRule type="duplicateValues" dxfId="11585" priority="34"/>
    <cfRule type="duplicateValues" dxfId="11584" priority="35"/>
    <cfRule type="duplicateValues" dxfId="11583" priority="36"/>
    <cfRule type="duplicateValues" dxfId="11582" priority="37"/>
    <cfRule type="duplicateValues" dxfId="11581" priority="38"/>
    <cfRule type="duplicateValues" dxfId="11580" priority="39"/>
    <cfRule type="duplicateValues" dxfId="11579" priority="40"/>
    <cfRule type="duplicateValues" dxfId="11578" priority="41"/>
    <cfRule type="duplicateValues" dxfId="11577" priority="42"/>
    <cfRule type="duplicateValues" dxfId="11576" priority="43"/>
    <cfRule type="duplicateValues" dxfId="11575" priority="44"/>
    <cfRule type="duplicateValues" dxfId="11574" priority="45"/>
    <cfRule type="duplicateValues" dxfId="11573" priority="46"/>
    <cfRule type="duplicateValues" dxfId="11572" priority="47"/>
    <cfRule type="duplicateValues" dxfId="11571" priority="48"/>
    <cfRule type="duplicateValues" dxfId="11570" priority="49"/>
    <cfRule type="duplicateValues" dxfId="11569" priority="50"/>
    <cfRule type="duplicateValues" dxfId="11568" priority="51"/>
  </conditionalFormatting>
  <conditionalFormatting sqref="B15:B1048576 B1:B2 B4:B13">
    <cfRule type="duplicateValues" dxfId="11567" priority="56"/>
  </conditionalFormatting>
  <conditionalFormatting sqref="B16:B1048576 B4:B13">
    <cfRule type="duplicateValues" dxfId="11566" priority="59"/>
    <cfRule type="duplicateValues" dxfId="11565" priority="61"/>
    <cfRule type="duplicateValues" dxfId="11564" priority="63"/>
    <cfRule type="duplicateValues" dxfId="11563" priority="93"/>
    <cfRule type="duplicateValues" dxfId="11562" priority="95"/>
    <cfRule type="duplicateValues" dxfId="11561" priority="97"/>
    <cfRule type="duplicateValues" dxfId="11560" priority="99"/>
    <cfRule type="duplicateValues" dxfId="11559" priority="65842"/>
    <cfRule type="duplicateValues" dxfId="11558" priority="65843"/>
    <cfRule type="duplicateValues" dxfId="11557" priority="65844"/>
    <cfRule type="duplicateValues" dxfId="11556" priority="65845"/>
    <cfRule type="duplicateValues" dxfId="11555" priority="65846"/>
    <cfRule type="duplicateValues" dxfId="11554" priority="65847"/>
    <cfRule type="duplicateValues" dxfId="11553" priority="65848"/>
    <cfRule type="duplicateValues" dxfId="11552" priority="65849"/>
    <cfRule type="duplicateValues" dxfId="11551" priority="65850"/>
    <cfRule type="duplicateValues" dxfId="11550" priority="65851"/>
    <cfRule type="duplicateValues" dxfId="11549" priority="65852"/>
    <cfRule type="duplicateValues" dxfId="11548" priority="65853"/>
    <cfRule type="duplicateValues" dxfId="11547" priority="65854"/>
    <cfRule type="duplicateValues" dxfId="11546" priority="65855"/>
    <cfRule type="duplicateValues" dxfId="11545" priority="65884"/>
    <cfRule type="duplicateValues" dxfId="11544" priority="65885"/>
    <cfRule type="duplicateValues" dxfId="11543" priority="65886"/>
    <cfRule type="duplicateValues" dxfId="11542" priority="65887"/>
    <cfRule type="duplicateValues" dxfId="11541" priority="65888"/>
    <cfRule type="duplicateValues" dxfId="11540" priority="65889"/>
    <cfRule type="duplicateValues" dxfId="11539" priority="65890"/>
    <cfRule type="duplicateValues" dxfId="11538" priority="65891"/>
    <cfRule type="duplicateValues" dxfId="11537" priority="65892"/>
    <cfRule type="duplicateValues" dxfId="11536" priority="65893"/>
    <cfRule type="duplicateValues" dxfId="11535" priority="65894"/>
    <cfRule type="duplicateValues" dxfId="11534" priority="65895"/>
    <cfRule type="duplicateValues" dxfId="11533" priority="65896"/>
    <cfRule type="duplicateValues" dxfId="11532" priority="65897"/>
    <cfRule type="duplicateValues" dxfId="11531" priority="65898"/>
    <cfRule type="duplicateValues" dxfId="11530" priority="65899"/>
    <cfRule type="duplicateValues" dxfId="11529" priority="65900"/>
    <cfRule type="duplicateValues" dxfId="11528" priority="65901"/>
    <cfRule type="duplicateValues" dxfId="11527" priority="65938"/>
    <cfRule type="duplicateValues" dxfId="11526" priority="65939"/>
    <cfRule type="duplicateValues" dxfId="11525" priority="65940"/>
    <cfRule type="duplicateValues" dxfId="11524" priority="65941"/>
    <cfRule type="duplicateValues" dxfId="11523" priority="65942"/>
    <cfRule type="duplicateValues" dxfId="11522" priority="65943"/>
    <cfRule type="duplicateValues" dxfId="11521" priority="65944"/>
    <cfRule type="duplicateValues" dxfId="11520" priority="112696"/>
    <cfRule type="duplicateValues" dxfId="11519" priority="112697"/>
    <cfRule type="duplicateValues" dxfId="11518" priority="112698"/>
    <cfRule type="duplicateValues" dxfId="11517" priority="112699"/>
    <cfRule type="duplicateValues" dxfId="11516" priority="112705"/>
    <cfRule type="duplicateValues" dxfId="11515" priority="112706"/>
  </conditionalFormatting>
  <conditionalFormatting sqref="B16:B1048576">
    <cfRule type="duplicateValues" dxfId="11514" priority="67"/>
    <cfRule type="duplicateValues" dxfId="11513" priority="71"/>
    <cfRule type="duplicateValues" dxfId="11512" priority="65952"/>
    <cfRule type="duplicateValues" dxfId="11511" priority="65953"/>
    <cfRule type="duplicateValues" dxfId="11510" priority="65954"/>
    <cfRule type="duplicateValues" dxfId="11509" priority="65955"/>
    <cfRule type="duplicateValues" dxfId="11508" priority="65956"/>
    <cfRule type="duplicateValues" dxfId="11507" priority="65957"/>
    <cfRule type="duplicateValues" dxfId="11506" priority="65958"/>
    <cfRule type="duplicateValues" dxfId="11505" priority="65959"/>
    <cfRule type="duplicateValues" dxfId="11504" priority="65960"/>
    <cfRule type="duplicateValues" dxfId="11503" priority="65961"/>
    <cfRule type="duplicateValues" dxfId="11502" priority="65962"/>
    <cfRule type="duplicateValues" dxfId="11501" priority="65963"/>
    <cfRule type="duplicateValues" dxfId="11500" priority="112704"/>
  </conditionalFormatting>
  <conditionalFormatting sqref="B1:B1048576">
    <cfRule type="duplicateValues" dxfId="11499" priority="1"/>
  </conditionalFormatting>
  <conditionalFormatting sqref="B1:B2">
    <cfRule type="duplicateValues" dxfId="11498" priority="65941"/>
    <cfRule type="duplicateValues" dxfId="11497" priority="65942"/>
    <cfRule type="duplicateValues" dxfId="11496" priority="65943"/>
    <cfRule type="duplicateValues" dxfId="11495" priority="65944"/>
    <cfRule type="duplicateValues" dxfId="11494" priority="112696"/>
    <cfRule type="duplicateValues" dxfId="11493" priority="112697"/>
    <cfRule type="duplicateValues" dxfId="11492" priority="112698"/>
    <cfRule type="duplicateValues" dxfId="11491" priority="112699"/>
    <cfRule type="duplicateValues" dxfId="11490" priority="112705"/>
    <cfRule type="duplicateValues" dxfId="11489" priority="112706"/>
    <cfRule type="duplicateValues" dxfId="11488" priority="252022"/>
    <cfRule type="duplicateValues" dxfId="11487" priority="252023"/>
    <cfRule type="duplicateValues" dxfId="11486" priority="252024"/>
    <cfRule type="duplicateValues" dxfId="11485" priority="252025"/>
    <cfRule type="duplicateValues" dxfId="11484" priority="252026"/>
    <cfRule type="duplicateValues" dxfId="11483" priority="252027"/>
    <cfRule type="duplicateValues" dxfId="11482" priority="252028"/>
    <cfRule type="duplicateValues" dxfId="11481" priority="252029"/>
    <cfRule type="duplicateValues" dxfId="11480" priority="252030"/>
    <cfRule type="duplicateValues" dxfId="11479" priority="252031"/>
    <cfRule type="duplicateValues" dxfId="11478" priority="252032"/>
    <cfRule type="duplicateValues" dxfId="11477" priority="252033"/>
    <cfRule type="duplicateValues" dxfId="11476" priority="252034"/>
    <cfRule type="duplicateValues" dxfId="11475" priority="252035"/>
    <cfRule type="duplicateValues" dxfId="11474" priority="252036"/>
    <cfRule type="duplicateValues" dxfId="11473" priority="252037"/>
    <cfRule type="duplicateValues" dxfId="11472" priority="252038"/>
    <cfRule type="duplicateValues" dxfId="11471" priority="252039"/>
    <cfRule type="duplicateValues" dxfId="11470" priority="252040"/>
    <cfRule type="duplicateValues" dxfId="11469" priority="252041"/>
    <cfRule type="duplicateValues" dxfId="11468" priority="252042"/>
    <cfRule type="duplicateValues" dxfId="11467" priority="252043"/>
    <cfRule type="duplicateValues" dxfId="11466" priority="252044"/>
    <cfRule type="duplicateValues" dxfId="11465" priority="252045"/>
    <cfRule type="duplicateValues" dxfId="11464" priority="252046"/>
    <cfRule type="duplicateValues" dxfId="11463" priority="252047"/>
    <cfRule type="duplicateValues" dxfId="11462" priority="252048"/>
    <cfRule type="duplicateValues" dxfId="11461" priority="252049"/>
    <cfRule type="duplicateValues" dxfId="11460" priority="252050"/>
    <cfRule type="duplicateValues" dxfId="11459" priority="252051"/>
    <cfRule type="duplicateValues" dxfId="11458" priority="252052"/>
    <cfRule type="duplicateValues" dxfId="11457" priority="252053"/>
    <cfRule type="duplicateValues" dxfId="11456" priority="252054"/>
    <cfRule type="duplicateValues" dxfId="11455" priority="252055"/>
    <cfRule type="duplicateValues" dxfId="11454" priority="252056"/>
    <cfRule type="duplicateValues" dxfId="11453" priority="252057"/>
    <cfRule type="duplicateValues" dxfId="11452" priority="252058"/>
    <cfRule type="duplicateValues" dxfId="11451" priority="252059"/>
    <cfRule type="duplicateValues" dxfId="11450" priority="252060"/>
    <cfRule type="duplicateValues" dxfId="11449" priority="252061"/>
    <cfRule type="duplicateValues" dxfId="11448" priority="252062"/>
    <cfRule type="duplicateValues" dxfId="11447" priority="25206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3E75-49C5-4742-B8FA-6DD80B4623CD}">
  <dimension ref="A1:L8"/>
  <sheetViews>
    <sheetView zoomScale="85" zoomScaleNormal="85" workbookViewId="0">
      <selection activeCell="J22" sqref="J22"/>
    </sheetView>
  </sheetViews>
  <sheetFormatPr defaultColWidth="8.44140625" defaultRowHeight="14.4"/>
  <cols>
    <col min="1" max="1" width="3.6640625" bestFit="1" customWidth="1"/>
    <col min="2" max="2" width="11.88671875" customWidth="1"/>
    <col min="3" max="3" width="7.109375" customWidth="1"/>
    <col min="4" max="4" width="12.5546875" customWidth="1"/>
    <col min="5" max="5" width="14.5546875" customWidth="1"/>
    <col min="6" max="6" width="14" hidden="1" customWidth="1"/>
    <col min="7" max="7" width="13.5546875" hidden="1" customWidth="1"/>
    <col min="8" max="8" width="15.88671875" bestFit="1" customWidth="1"/>
    <col min="9" max="9" width="13.21875" style="163" customWidth="1"/>
    <col min="10" max="10" width="11.6640625" style="163" customWidth="1"/>
    <col min="11" max="11" width="12.109375" style="163" customWidth="1"/>
    <col min="12" max="12" width="78.6640625" customWidth="1"/>
  </cols>
  <sheetData>
    <row r="1" spans="1:12" s="173" customFormat="1" ht="24.6">
      <c r="A1" s="310" t="s">
        <v>27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</row>
    <row r="2" spans="1:12" s="2" customFormat="1" ht="15">
      <c r="A2" s="311" t="s">
        <v>38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</row>
    <row r="3" spans="1:12" s="2" customFormat="1" ht="27.6">
      <c r="A3" s="174" t="s">
        <v>25</v>
      </c>
      <c r="B3" s="174" t="s">
        <v>13</v>
      </c>
      <c r="C3" s="174" t="s">
        <v>26</v>
      </c>
      <c r="D3" s="174" t="s">
        <v>14</v>
      </c>
      <c r="E3" s="175" t="s">
        <v>15</v>
      </c>
      <c r="F3" s="176" t="s">
        <v>28</v>
      </c>
      <c r="G3" s="176" t="s">
        <v>29</v>
      </c>
      <c r="H3" s="176" t="s">
        <v>30</v>
      </c>
      <c r="I3" s="174" t="s">
        <v>0</v>
      </c>
      <c r="J3" s="174" t="s">
        <v>1</v>
      </c>
      <c r="K3" s="174" t="s">
        <v>2</v>
      </c>
      <c r="L3" s="174" t="s">
        <v>19</v>
      </c>
    </row>
    <row r="4" spans="1:12" s="178" customFormat="1">
      <c r="A4" s="240">
        <v>1</v>
      </c>
      <c r="B4" s="241"/>
      <c r="C4" s="240"/>
      <c r="D4" s="177"/>
      <c r="E4" s="235"/>
      <c r="F4" s="80">
        <v>2454374.15</v>
      </c>
      <c r="G4" s="81">
        <v>2367749.1799999997</v>
      </c>
      <c r="H4" s="82">
        <f>E4*0.78</f>
        <v>0</v>
      </c>
      <c r="I4" s="238"/>
      <c r="J4" s="238"/>
      <c r="K4" s="238"/>
      <c r="L4" s="239"/>
    </row>
    <row r="5" spans="1:12">
      <c r="A5" s="240">
        <v>2</v>
      </c>
      <c r="B5" s="241"/>
      <c r="C5" s="240"/>
      <c r="D5" s="177"/>
      <c r="E5" s="236"/>
      <c r="F5" s="1">
        <v>2253561.65</v>
      </c>
      <c r="G5" s="81">
        <v>2174024.1799999997</v>
      </c>
      <c r="H5" s="82">
        <f t="shared" ref="H5:H6" si="0">E5*0.78</f>
        <v>0</v>
      </c>
      <c r="I5" s="234"/>
      <c r="J5" s="234"/>
      <c r="K5" s="234"/>
      <c r="L5" s="234"/>
    </row>
    <row r="6" spans="1:12">
      <c r="A6" s="240">
        <v>3</v>
      </c>
      <c r="B6" s="241"/>
      <c r="C6" s="240"/>
      <c r="D6" s="177"/>
      <c r="E6" s="236"/>
      <c r="F6" s="1">
        <v>2231249.15</v>
      </c>
      <c r="G6" s="81">
        <v>2152499.1799999997</v>
      </c>
      <c r="H6" s="82">
        <f t="shared" si="0"/>
        <v>0</v>
      </c>
      <c r="I6" s="234"/>
      <c r="J6" s="234"/>
      <c r="K6" s="234"/>
      <c r="L6" s="234"/>
    </row>
    <row r="8" spans="1:12">
      <c r="H8" s="249"/>
    </row>
  </sheetData>
  <mergeCells count="2">
    <mergeCell ref="A1:L1"/>
    <mergeCell ref="A2:L2"/>
  </mergeCells>
  <conditionalFormatting sqref="B16:B1048576 B1:B6">
    <cfRule type="duplicateValues" dxfId="11446" priority="1"/>
  </conditionalFormatting>
  <conditionalFormatting sqref="B17:B1048576 B1:B6">
    <cfRule type="duplicateValues" dxfId="11445" priority="3"/>
    <cfRule type="duplicateValues" dxfId="11444" priority="162950"/>
  </conditionalFormatting>
  <conditionalFormatting sqref="B18:B1048576 B1:B6">
    <cfRule type="duplicateValues" dxfId="11443" priority="7"/>
  </conditionalFormatting>
  <conditionalFormatting sqref="B64:B1048576 B1:B6">
    <cfRule type="duplicateValues" dxfId="11442" priority="9"/>
    <cfRule type="duplicateValues" dxfId="11441" priority="99571"/>
    <cfRule type="duplicateValues" dxfId="11440" priority="99572"/>
    <cfRule type="duplicateValues" dxfId="11439" priority="99573"/>
    <cfRule type="duplicateValues" dxfId="11438" priority="99574"/>
    <cfRule type="duplicateValues" dxfId="11437" priority="99575"/>
    <cfRule type="duplicateValues" dxfId="11436" priority="99576"/>
    <cfRule type="duplicateValues" dxfId="11435" priority="99577"/>
    <cfRule type="duplicateValues" dxfId="11434" priority="99587"/>
    <cfRule type="duplicateValues" dxfId="11433" priority="99591"/>
    <cfRule type="duplicateValues" dxfId="11432" priority="99592"/>
    <cfRule type="duplicateValues" dxfId="11431" priority="99593"/>
    <cfRule type="duplicateValues" dxfId="11430" priority="99594"/>
    <cfRule type="duplicateValues" dxfId="11429" priority="99595"/>
    <cfRule type="duplicateValues" dxfId="11428" priority="99596"/>
    <cfRule type="duplicateValues" dxfId="11427" priority="99597"/>
    <cfRule type="duplicateValues" dxfId="11426" priority="99598"/>
    <cfRule type="duplicateValues" dxfId="11425" priority="99599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8BA3-7FDD-4900-96D1-F9D5C098C1B1}">
  <dimension ref="A1:K6"/>
  <sheetViews>
    <sheetView workbookViewId="0">
      <selection activeCell="H4" sqref="H4:K6"/>
    </sheetView>
  </sheetViews>
  <sheetFormatPr defaultColWidth="5.6640625" defaultRowHeight="14.4"/>
  <cols>
    <col min="1" max="1" width="3.6640625" style="22" bestFit="1" customWidth="1"/>
    <col min="2" max="2" width="14.33203125" style="22" customWidth="1"/>
    <col min="3" max="3" width="5.44140625" style="22" bestFit="1" customWidth="1"/>
    <col min="4" max="4" width="14.109375" style="22" customWidth="1"/>
    <col min="5" max="5" width="14.44140625" style="22" customWidth="1"/>
    <col min="6" max="6" width="14.21875" style="23" customWidth="1"/>
    <col min="7" max="7" width="15" style="23" customWidth="1"/>
    <col min="8" max="8" width="13.109375" style="22" bestFit="1" customWidth="1"/>
    <col min="9" max="9" width="10.109375" style="22" customWidth="1"/>
    <col min="10" max="10" width="11.6640625" style="22" customWidth="1"/>
    <col min="11" max="11" width="14.88671875" style="22" customWidth="1"/>
    <col min="12" max="16384" width="5.6640625" style="22"/>
  </cols>
  <sheetData>
    <row r="1" spans="1:11" ht="29.25" customHeight="1">
      <c r="A1" s="276" t="s">
        <v>61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</row>
    <row r="2" spans="1:11">
      <c r="A2" s="277" t="s">
        <v>342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</row>
    <row r="3" spans="1:11">
      <c r="A3" s="32" t="s">
        <v>25</v>
      </c>
      <c r="B3" s="32" t="s">
        <v>13</v>
      </c>
      <c r="C3" s="32" t="s">
        <v>37</v>
      </c>
      <c r="D3" s="32" t="s">
        <v>14</v>
      </c>
      <c r="E3" s="88" t="s">
        <v>28</v>
      </c>
      <c r="F3" s="87" t="s">
        <v>29</v>
      </c>
      <c r="G3" s="87" t="s">
        <v>31</v>
      </c>
      <c r="H3" s="29" t="s">
        <v>0</v>
      </c>
      <c r="I3" s="29" t="s">
        <v>1</v>
      </c>
      <c r="J3" s="29" t="s">
        <v>2</v>
      </c>
      <c r="K3" s="29" t="s">
        <v>19</v>
      </c>
    </row>
    <row r="4" spans="1:11">
      <c r="A4" s="28">
        <v>1</v>
      </c>
      <c r="B4" s="41"/>
      <c r="C4" s="24"/>
      <c r="D4" s="41"/>
      <c r="E4" s="86"/>
      <c r="F4" s="85">
        <f>E4*0.97</f>
        <v>0</v>
      </c>
      <c r="G4" s="84">
        <f>E4*0.94</f>
        <v>0</v>
      </c>
      <c r="H4" s="24"/>
      <c r="I4" s="24"/>
      <c r="J4" s="24"/>
      <c r="K4" s="24"/>
    </row>
    <row r="5" spans="1:11">
      <c r="A5" s="28">
        <v>2</v>
      </c>
      <c r="B5" s="41"/>
      <c r="C5" s="24"/>
      <c r="D5" s="41"/>
      <c r="E5" s="86"/>
      <c r="F5" s="85">
        <f t="shared" ref="F5" si="0">E5*0.97</f>
        <v>0</v>
      </c>
      <c r="G5" s="84">
        <f t="shared" ref="G5" si="1">E5*0.94</f>
        <v>0</v>
      </c>
      <c r="H5" s="24"/>
      <c r="I5" s="24"/>
      <c r="J5" s="24"/>
      <c r="K5" s="24"/>
    </row>
    <row r="6" spans="1:11">
      <c r="A6" s="28">
        <v>3</v>
      </c>
      <c r="B6" s="41"/>
      <c r="C6" s="24"/>
      <c r="D6" s="41"/>
      <c r="E6" s="86"/>
      <c r="F6" s="85">
        <f t="shared" ref="F6" si="2">E6*0.97</f>
        <v>0</v>
      </c>
      <c r="G6" s="84">
        <f t="shared" ref="G6" si="3">E6*0.94</f>
        <v>0</v>
      </c>
      <c r="H6" s="24"/>
      <c r="I6" s="24"/>
      <c r="J6" s="24"/>
      <c r="K6" s="24"/>
    </row>
  </sheetData>
  <mergeCells count="2">
    <mergeCell ref="A2:K2"/>
    <mergeCell ref="A1:K1"/>
  </mergeCells>
  <conditionalFormatting sqref="B1">
    <cfRule type="duplicateValues" dxfId="11424" priority="267"/>
    <cfRule type="duplicateValues" dxfId="11423" priority="205616"/>
    <cfRule type="duplicateValues" dxfId="11422" priority="205617"/>
    <cfRule type="duplicateValues" dxfId="11421" priority="205618"/>
    <cfRule type="duplicateValues" dxfId="11420" priority="205619"/>
    <cfRule type="duplicateValues" dxfId="11419" priority="205620"/>
    <cfRule type="duplicateValues" dxfId="11418" priority="205621"/>
    <cfRule type="duplicateValues" dxfId="11417" priority="205622"/>
    <cfRule type="duplicateValues" dxfId="11416" priority="205623"/>
    <cfRule type="duplicateValues" dxfId="11415" priority="210676"/>
    <cfRule type="duplicateValues" dxfId="11414" priority="210677"/>
    <cfRule type="duplicateValues" dxfId="11413" priority="210678"/>
    <cfRule type="duplicateValues" dxfId="11412" priority="210679"/>
    <cfRule type="duplicateValues" dxfId="11411" priority="210680"/>
    <cfRule type="duplicateValues" dxfId="11410" priority="210681"/>
    <cfRule type="duplicateValues" dxfId="11409" priority="210682"/>
    <cfRule type="duplicateValues" dxfId="11408" priority="210683"/>
    <cfRule type="duplicateValues" dxfId="11407" priority="210684"/>
    <cfRule type="duplicateValues" dxfId="11406" priority="210685"/>
    <cfRule type="duplicateValues" dxfId="11405" priority="210686"/>
    <cfRule type="duplicateValues" dxfId="11404" priority="210687"/>
    <cfRule type="duplicateValues" dxfId="11403" priority="210688"/>
    <cfRule type="duplicateValues" dxfId="11402" priority="210689"/>
    <cfRule type="duplicateValues" dxfId="11401" priority="210690"/>
    <cfRule type="duplicateValues" dxfId="11400" priority="210691"/>
    <cfRule type="duplicateValues" dxfId="11399" priority="210692"/>
    <cfRule type="duplicateValues" dxfId="11398" priority="210693"/>
    <cfRule type="duplicateValues" dxfId="11397" priority="210694"/>
    <cfRule type="duplicateValues" dxfId="11396" priority="210695"/>
    <cfRule type="duplicateValues" dxfId="11395" priority="210696"/>
    <cfRule type="duplicateValues" dxfId="11394" priority="210697"/>
    <cfRule type="duplicateValues" dxfId="11393" priority="210698"/>
    <cfRule type="duplicateValues" dxfId="11392" priority="210699"/>
    <cfRule type="duplicateValues" dxfId="11391" priority="210700"/>
    <cfRule type="duplicateValues" dxfId="11390" priority="210701"/>
    <cfRule type="duplicateValues" dxfId="11389" priority="210702"/>
    <cfRule type="duplicateValues" dxfId="11388" priority="210703"/>
    <cfRule type="duplicateValues" dxfId="11387" priority="210704"/>
    <cfRule type="duplicateValues" dxfId="11386" priority="210705"/>
    <cfRule type="duplicateValues" dxfId="11385" priority="210706"/>
    <cfRule type="duplicateValues" dxfId="11384" priority="210707"/>
    <cfRule type="duplicateValues" dxfId="11383" priority="210708"/>
    <cfRule type="duplicateValues" dxfId="11382" priority="210709"/>
    <cfRule type="duplicateValues" dxfId="11381" priority="210710"/>
    <cfRule type="duplicateValues" dxfId="11380" priority="210711"/>
    <cfRule type="duplicateValues" dxfId="11379" priority="210712"/>
    <cfRule type="duplicateValues" dxfId="11378" priority="210713"/>
    <cfRule type="duplicateValues" dxfId="11377" priority="210714"/>
    <cfRule type="duplicateValues" dxfId="11376" priority="210715"/>
    <cfRule type="duplicateValues" dxfId="11375" priority="210716"/>
    <cfRule type="duplicateValues" dxfId="11374" priority="210717"/>
  </conditionalFormatting>
  <conditionalFormatting sqref="B1:B6">
    <cfRule type="duplicateValues" dxfId="11373" priority="222926"/>
  </conditionalFormatting>
  <conditionalFormatting sqref="B3:B6">
    <cfRule type="duplicateValues" dxfId="11372" priority="222927"/>
    <cfRule type="duplicateValues" dxfId="11371" priority="222928"/>
    <cfRule type="duplicateValues" dxfId="11370" priority="222929"/>
    <cfRule type="duplicateValues" dxfId="11369" priority="222930"/>
    <cfRule type="duplicateValues" dxfId="11368" priority="222931"/>
    <cfRule type="duplicateValues" dxfId="11367" priority="222932"/>
    <cfRule type="duplicateValues" dxfId="11366" priority="222933"/>
    <cfRule type="duplicateValues" dxfId="11365" priority="222934"/>
    <cfRule type="duplicateValues" dxfId="11364" priority="222935"/>
    <cfRule type="duplicateValues" dxfId="11363" priority="222936"/>
    <cfRule type="duplicateValues" dxfId="11362" priority="222937"/>
    <cfRule type="duplicateValues" dxfId="11361" priority="222938"/>
    <cfRule type="duplicateValues" dxfId="11360" priority="222939"/>
    <cfRule type="duplicateValues" dxfId="11359" priority="222940"/>
    <cfRule type="duplicateValues" dxfId="11358" priority="222941"/>
    <cfRule type="duplicateValues" dxfId="11357" priority="222942"/>
    <cfRule type="duplicateValues" dxfId="11356" priority="222943"/>
    <cfRule type="duplicateValues" dxfId="11355" priority="222944"/>
    <cfRule type="duplicateValues" dxfId="11354" priority="222945"/>
    <cfRule type="duplicateValues" dxfId="11353" priority="222946"/>
    <cfRule type="duplicateValues" dxfId="11352" priority="222947"/>
    <cfRule type="duplicateValues" dxfId="11351" priority="222948"/>
    <cfRule type="duplicateValues" dxfId="11350" priority="222949"/>
    <cfRule type="duplicateValues" dxfId="11349" priority="222950"/>
    <cfRule type="duplicateValues" dxfId="11348" priority="222951"/>
    <cfRule type="duplicateValues" dxfId="11347" priority="222952"/>
    <cfRule type="duplicateValues" dxfId="11346" priority="222953"/>
    <cfRule type="duplicateValues" dxfId="11345" priority="222954"/>
    <cfRule type="duplicateValues" dxfId="11344" priority="222955"/>
    <cfRule type="duplicateValues" dxfId="11343" priority="222956"/>
    <cfRule type="duplicateValues" dxfId="11342" priority="222957"/>
    <cfRule type="duplicateValues" dxfId="11341" priority="222958"/>
    <cfRule type="duplicateValues" dxfId="11340" priority="222959"/>
    <cfRule type="duplicateValues" dxfId="11339" priority="222960"/>
    <cfRule type="duplicateValues" dxfId="11338" priority="222961"/>
    <cfRule type="duplicateValues" dxfId="11337" priority="222962"/>
    <cfRule type="duplicateValues" dxfId="11336" priority="222963"/>
    <cfRule type="duplicateValues" dxfId="11335" priority="222964"/>
    <cfRule type="duplicateValues" dxfId="11334" priority="222965"/>
    <cfRule type="duplicateValues" dxfId="11333" priority="222966"/>
    <cfRule type="duplicateValues" dxfId="11332" priority="222967"/>
    <cfRule type="duplicateValues" dxfId="11331" priority="222968"/>
    <cfRule type="duplicateValues" dxfId="11330" priority="222969"/>
    <cfRule type="duplicateValues" dxfId="11329" priority="222970"/>
    <cfRule type="duplicateValues" dxfId="11328" priority="222971"/>
    <cfRule type="duplicateValues" dxfId="11327" priority="222972"/>
    <cfRule type="duplicateValues" dxfId="11326" priority="222973"/>
    <cfRule type="duplicateValues" dxfId="11325" priority="222974"/>
    <cfRule type="duplicateValues" dxfId="11324" priority="222975"/>
    <cfRule type="duplicateValues" dxfId="11323" priority="222976"/>
    <cfRule type="duplicateValues" dxfId="11322" priority="222977"/>
  </conditionalFormatting>
  <conditionalFormatting sqref="B7:B1048576">
    <cfRule type="duplicateValues" dxfId="11321" priority="290"/>
    <cfRule type="duplicateValues" dxfId="11320" priority="314"/>
    <cfRule type="duplicateValues" dxfId="11319" priority="316"/>
    <cfRule type="duplicateValues" dxfId="11318" priority="53067"/>
    <cfRule type="duplicateValues" dxfId="11317" priority="189056"/>
    <cfRule type="duplicateValues" dxfId="11316" priority="189057"/>
    <cfRule type="duplicateValues" dxfId="11315" priority="189058"/>
    <cfRule type="duplicateValues" dxfId="11314" priority="189062"/>
    <cfRule type="duplicateValues" dxfId="11313" priority="189063"/>
    <cfRule type="duplicateValues" dxfId="11312" priority="189064"/>
    <cfRule type="duplicateValues" dxfId="11311" priority="189065"/>
    <cfRule type="duplicateValues" dxfId="11310" priority="189066"/>
    <cfRule type="duplicateValues" dxfId="11309" priority="189067"/>
    <cfRule type="duplicateValues" dxfId="11308" priority="189068"/>
    <cfRule type="duplicateValues" dxfId="11307" priority="189069"/>
    <cfRule type="duplicateValues" dxfId="11306" priority="189070"/>
    <cfRule type="duplicateValues" dxfId="11305" priority="189071"/>
    <cfRule type="duplicateValues" dxfId="11304" priority="189072"/>
    <cfRule type="duplicateValues" dxfId="11303" priority="189073"/>
    <cfRule type="duplicateValues" dxfId="11302" priority="189074"/>
    <cfRule type="duplicateValues" dxfId="11301" priority="189075"/>
    <cfRule type="duplicateValues" dxfId="11300" priority="189076"/>
    <cfRule type="duplicateValues" dxfId="11299" priority="189077"/>
    <cfRule type="duplicateValues" dxfId="11298" priority="189078"/>
    <cfRule type="duplicateValues" dxfId="11297" priority="189079"/>
    <cfRule type="duplicateValues" dxfId="11296" priority="189080"/>
    <cfRule type="duplicateValues" dxfId="11295" priority="189081"/>
    <cfRule type="duplicateValues" dxfId="11294" priority="189082"/>
    <cfRule type="duplicateValues" dxfId="11293" priority="189083"/>
    <cfRule type="duplicateValues" dxfId="11292" priority="189084"/>
    <cfRule type="duplicateValues" dxfId="11291" priority="189085"/>
    <cfRule type="duplicateValues" dxfId="11290" priority="189086"/>
    <cfRule type="duplicateValues" dxfId="11289" priority="189087"/>
    <cfRule type="duplicateValues" dxfId="11288" priority="189088"/>
    <cfRule type="duplicateValues" dxfId="11287" priority="189089"/>
    <cfRule type="duplicateValues" dxfId="11286" priority="189090"/>
    <cfRule type="duplicateValues" dxfId="11285" priority="189091"/>
    <cfRule type="duplicateValues" dxfId="11284" priority="189092"/>
    <cfRule type="duplicateValues" dxfId="11283" priority="189093"/>
    <cfRule type="duplicateValues" dxfId="11282" priority="189094"/>
    <cfRule type="duplicateValues" dxfId="11281" priority="189095"/>
    <cfRule type="duplicateValues" dxfId="11280" priority="189096"/>
    <cfRule type="duplicateValues" dxfId="11279" priority="189097"/>
    <cfRule type="duplicateValues" dxfId="11278" priority="189098"/>
    <cfRule type="duplicateValues" dxfId="11277" priority="189099"/>
    <cfRule type="duplicateValues" dxfId="11276" priority="189100"/>
    <cfRule type="duplicateValues" dxfId="11275" priority="189101"/>
    <cfRule type="duplicateValues" dxfId="11274" priority="189102"/>
    <cfRule type="duplicateValues" dxfId="11273" priority="189103"/>
    <cfRule type="duplicateValues" dxfId="11272" priority="189148"/>
    <cfRule type="duplicateValues" dxfId="11271" priority="189149"/>
    <cfRule type="duplicateValues" dxfId="11270" priority="189150"/>
    <cfRule type="duplicateValues" dxfId="11269" priority="189151"/>
    <cfRule type="duplicateValues" dxfId="11268" priority="189152"/>
    <cfRule type="duplicateValues" dxfId="11267" priority="189153"/>
    <cfRule type="duplicateValues" dxfId="11266" priority="189154"/>
    <cfRule type="duplicateValues" dxfId="11265" priority="189155"/>
    <cfRule type="duplicateValues" dxfId="11264" priority="189156"/>
    <cfRule type="duplicateValues" dxfId="11263" priority="189157"/>
    <cfRule type="duplicateValues" dxfId="11262" priority="189158"/>
    <cfRule type="duplicateValues" dxfId="11261" priority="189159"/>
    <cfRule type="duplicateValues" dxfId="11260" priority="189160"/>
    <cfRule type="duplicateValues" dxfId="11259" priority="189161"/>
    <cfRule type="duplicateValues" dxfId="11258" priority="189162"/>
    <cfRule type="duplicateValues" dxfId="11257" priority="189163"/>
    <cfRule type="duplicateValues" dxfId="11256" priority="189164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00F9-5897-4C30-9D46-77DA897108F6}">
  <dimension ref="A1:M4"/>
  <sheetViews>
    <sheetView zoomScale="85" zoomScaleNormal="85" workbookViewId="0">
      <selection activeCell="F12" sqref="F12"/>
    </sheetView>
  </sheetViews>
  <sheetFormatPr defaultColWidth="10" defaultRowHeight="14.4"/>
  <cols>
    <col min="1" max="1" width="6.88671875" style="90" customWidth="1"/>
    <col min="2" max="2" width="14.21875" style="90" customWidth="1"/>
    <col min="3" max="3" width="8.88671875" style="90" customWidth="1"/>
    <col min="4" max="4" width="26.5546875" style="90" customWidth="1"/>
    <col min="5" max="5" width="15" style="90" customWidth="1"/>
    <col min="6" max="6" width="16.6640625" style="90" customWidth="1"/>
    <col min="7" max="7" width="18.109375" style="90" customWidth="1"/>
    <col min="8" max="8" width="16.6640625" style="90" customWidth="1"/>
    <col min="9" max="9" width="16.33203125" style="90" customWidth="1"/>
    <col min="10" max="10" width="14.44140625" style="90" customWidth="1"/>
    <col min="11" max="11" width="13.21875" style="90" customWidth="1"/>
    <col min="12" max="12" width="13.6640625" style="90" customWidth="1"/>
    <col min="13" max="13" width="62.6640625" style="90" customWidth="1"/>
    <col min="14" max="16384" width="10" style="90"/>
  </cols>
  <sheetData>
    <row r="1" spans="1:13" s="115" customFormat="1" ht="30.75" customHeight="1">
      <c r="A1" s="313" t="s">
        <v>222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</row>
    <row r="2" spans="1:13" s="91" customFormat="1" ht="19.8">
      <c r="A2" s="314" t="s">
        <v>221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</row>
    <row r="3" spans="1:13" s="118" customFormat="1" ht="15" customHeight="1">
      <c r="A3" s="116" t="s">
        <v>22</v>
      </c>
      <c r="B3" s="116" t="s">
        <v>13</v>
      </c>
      <c r="C3" s="116" t="s">
        <v>26</v>
      </c>
      <c r="D3" s="116" t="s">
        <v>14</v>
      </c>
      <c r="E3" s="116" t="s">
        <v>15</v>
      </c>
      <c r="F3" s="117">
        <v>0.2</v>
      </c>
      <c r="G3" s="117">
        <v>0.5</v>
      </c>
      <c r="H3" s="117">
        <v>0.7</v>
      </c>
      <c r="I3" s="116" t="s">
        <v>31</v>
      </c>
      <c r="J3" s="116" t="s">
        <v>16</v>
      </c>
      <c r="K3" s="116" t="s">
        <v>17</v>
      </c>
      <c r="L3" s="116" t="s">
        <v>18</v>
      </c>
      <c r="M3" s="116" t="s">
        <v>19</v>
      </c>
    </row>
    <row r="4" spans="1:13" s="91" customFormat="1" ht="15" customHeight="1">
      <c r="A4" s="108">
        <v>1</v>
      </c>
      <c r="B4" s="266" t="s">
        <v>4641</v>
      </c>
      <c r="C4" s="109" t="s">
        <v>3</v>
      </c>
      <c r="D4" s="119" t="s">
        <v>4640</v>
      </c>
      <c r="E4" s="110">
        <v>9722221.5</v>
      </c>
      <c r="F4" s="111">
        <f>E4*0.85</f>
        <v>8263888.2749999994</v>
      </c>
      <c r="G4" s="112">
        <f>E4*0.82</f>
        <v>7972221.6299999999</v>
      </c>
      <c r="H4" s="113">
        <f>E4*0.8</f>
        <v>7777777.2000000002</v>
      </c>
      <c r="I4" s="114">
        <f t="shared" ref="I4" si="0">E4*0.78</f>
        <v>7583332.7700000005</v>
      </c>
      <c r="J4" s="109">
        <v>4154.33</v>
      </c>
      <c r="K4" s="109">
        <v>1922.97</v>
      </c>
      <c r="L4" s="109">
        <v>2231.36</v>
      </c>
      <c r="M4" s="109" t="s">
        <v>4639</v>
      </c>
    </row>
  </sheetData>
  <autoFilter ref="A3:M4" xr:uid="{11D9ED70-5A8B-46D6-9C86-FBE6A5A995B1}"/>
  <mergeCells count="2">
    <mergeCell ref="A1:M1"/>
    <mergeCell ref="A2:M2"/>
  </mergeCells>
  <conditionalFormatting sqref="B2">
    <cfRule type="duplicateValues" dxfId="11255" priority="416"/>
    <cfRule type="duplicateValues" dxfId="11254" priority="417"/>
    <cfRule type="duplicateValues" dxfId="11253" priority="418"/>
    <cfRule type="duplicateValues" dxfId="11252" priority="419"/>
    <cfRule type="duplicateValues" dxfId="11251" priority="420"/>
    <cfRule type="duplicateValues" dxfId="11250" priority="421"/>
    <cfRule type="duplicateValues" dxfId="11249" priority="422"/>
    <cfRule type="duplicateValues" dxfId="11248" priority="423"/>
    <cfRule type="duplicateValues" dxfId="11247" priority="424"/>
    <cfRule type="duplicateValues" dxfId="11246" priority="425"/>
    <cfRule type="duplicateValues" dxfId="11245" priority="426"/>
    <cfRule type="duplicateValues" dxfId="11244" priority="427"/>
    <cfRule type="duplicateValues" dxfId="11243" priority="428"/>
    <cfRule type="duplicateValues" dxfId="11242" priority="429"/>
    <cfRule type="duplicateValues" dxfId="11241" priority="430"/>
    <cfRule type="aboveAverage" dxfId="11240" priority="431" aboveAverage="0"/>
    <cfRule type="duplicateValues" dxfId="11239" priority="432"/>
    <cfRule type="duplicateValues" dxfId="11238" priority="433"/>
    <cfRule type="duplicateValues" dxfId="11237" priority="434"/>
    <cfRule type="duplicateValues" dxfId="11236" priority="435"/>
    <cfRule type="duplicateValues" dxfId="11235" priority="436"/>
    <cfRule type="duplicateValues" dxfId="11234" priority="437"/>
    <cfRule type="duplicateValues" dxfId="11233" priority="438"/>
    <cfRule type="duplicateValues" dxfId="11232" priority="439"/>
    <cfRule type="duplicateValues" dxfId="11231" priority="440"/>
    <cfRule type="duplicateValues" dxfId="11230" priority="441"/>
    <cfRule type="duplicateValues" dxfId="11229" priority="442"/>
    <cfRule type="duplicateValues" dxfId="11228" priority="443"/>
    <cfRule type="duplicateValues" dxfId="11227" priority="444"/>
    <cfRule type="duplicateValues" dxfId="11226" priority="445"/>
    <cfRule type="duplicateValues" dxfId="11225" priority="446"/>
    <cfRule type="duplicateValues" dxfId="11224" priority="447"/>
    <cfRule type="duplicateValues" dxfId="11223" priority="448"/>
    <cfRule type="duplicateValues" dxfId="11222" priority="449"/>
    <cfRule type="duplicateValues" dxfId="11221" priority="450"/>
    <cfRule type="duplicateValues" dxfId="11220" priority="451"/>
    <cfRule type="duplicateValues" dxfId="11219" priority="452"/>
    <cfRule type="duplicateValues" dxfId="11218" priority="453"/>
    <cfRule type="duplicateValues" dxfId="11217" priority="454"/>
    <cfRule type="duplicateValues" dxfId="11216" priority="455"/>
    <cfRule type="duplicateValues" dxfId="11215" priority="456"/>
    <cfRule type="duplicateValues" dxfId="11214" priority="457"/>
    <cfRule type="duplicateValues" dxfId="11213" priority="458"/>
    <cfRule type="duplicateValues" dxfId="11212" priority="459"/>
    <cfRule type="duplicateValues" dxfId="11211" priority="460"/>
    <cfRule type="duplicateValues" dxfId="11210" priority="461"/>
    <cfRule type="duplicateValues" dxfId="11209" priority="462"/>
    <cfRule type="duplicateValues" dxfId="11208" priority="463"/>
    <cfRule type="duplicateValues" dxfId="11207" priority="464"/>
    <cfRule type="duplicateValues" dxfId="11206" priority="465"/>
    <cfRule type="duplicateValues" dxfId="11205" priority="466"/>
    <cfRule type="duplicateValues" dxfId="11204" priority="467"/>
    <cfRule type="duplicateValues" dxfId="11203" priority="468"/>
    <cfRule type="duplicateValues" dxfId="11202" priority="469"/>
    <cfRule type="duplicateValues" dxfId="11201" priority="470"/>
    <cfRule type="duplicateValues" dxfId="11200" priority="471"/>
    <cfRule type="duplicateValues" dxfId="11199" priority="472"/>
    <cfRule type="duplicateValues" dxfId="11198" priority="473"/>
    <cfRule type="duplicateValues" dxfId="11197" priority="474"/>
  </conditionalFormatting>
  <conditionalFormatting sqref="B2:B3">
    <cfRule type="duplicateValues" dxfId="11196" priority="2001"/>
    <cfRule type="duplicateValues" dxfId="11195" priority="2687"/>
    <cfRule type="duplicateValues" dxfId="11194" priority="2688"/>
    <cfRule type="duplicateValues" dxfId="11193" priority="2689"/>
    <cfRule type="duplicateValues" dxfId="11192" priority="2690"/>
    <cfRule type="duplicateValues" dxfId="11191" priority="2691"/>
    <cfRule type="duplicateValues" dxfId="11190" priority="2692"/>
    <cfRule type="duplicateValues" dxfId="11189" priority="2693"/>
    <cfRule type="duplicateValues" dxfId="11188" priority="2694"/>
    <cfRule type="duplicateValues" dxfId="11187" priority="2695"/>
    <cfRule type="duplicateValues" dxfId="11186" priority="2696"/>
    <cfRule type="duplicateValues" dxfId="11185" priority="2697"/>
    <cfRule type="duplicateValues" dxfId="11184" priority="2698"/>
    <cfRule type="duplicateValues" dxfId="11183" priority="2699"/>
    <cfRule type="duplicateValues" dxfId="11182" priority="2700"/>
    <cfRule type="duplicateValues" dxfId="11181" priority="2701"/>
    <cfRule type="duplicateValues" dxfId="11180" priority="2702"/>
    <cfRule type="duplicateValues" dxfId="11179" priority="2703"/>
    <cfRule type="duplicateValues" dxfId="11178" priority="2704"/>
    <cfRule type="duplicateValues" dxfId="11177" priority="2705"/>
    <cfRule type="duplicateValues" dxfId="11176" priority="2706"/>
    <cfRule type="duplicateValues" dxfId="11175" priority="2707"/>
    <cfRule type="duplicateValues" dxfId="11174" priority="2708"/>
    <cfRule type="duplicateValues" dxfId="11173" priority="2709"/>
    <cfRule type="duplicateValues" dxfId="11172" priority="2710"/>
    <cfRule type="duplicateValues" dxfId="11171" priority="2711"/>
    <cfRule type="duplicateValues" dxfId="11170" priority="2712"/>
    <cfRule type="duplicateValues" dxfId="11169" priority="2713"/>
    <cfRule type="duplicateValues" dxfId="11168" priority="2714"/>
    <cfRule type="duplicateValues" dxfId="11167" priority="2715"/>
    <cfRule type="duplicateValues" dxfId="11166" priority="2716"/>
    <cfRule type="duplicateValues" dxfId="11165" priority="2717"/>
    <cfRule type="duplicateValues" dxfId="11164" priority="2718"/>
    <cfRule type="duplicateValues" dxfId="11163" priority="2719"/>
    <cfRule type="duplicateValues" dxfId="11162" priority="2720"/>
    <cfRule type="duplicateValues" dxfId="11161" priority="2721"/>
    <cfRule type="duplicateValues" dxfId="11160" priority="2722"/>
    <cfRule type="duplicateValues" dxfId="11159" priority="2723"/>
    <cfRule type="duplicateValues" dxfId="11158" priority="2724"/>
    <cfRule type="duplicateValues" dxfId="11157" priority="2725"/>
    <cfRule type="duplicateValues" dxfId="11156" priority="2726"/>
    <cfRule type="duplicateValues" dxfId="11155" priority="2727"/>
    <cfRule type="duplicateValues" dxfId="11154" priority="2728"/>
  </conditionalFormatting>
  <conditionalFormatting sqref="B2:B4">
    <cfRule type="duplicateValues" dxfId="11153" priority="249304"/>
    <cfRule type="duplicateValues" dxfId="11152" priority="249305"/>
    <cfRule type="duplicateValues" dxfId="11151" priority="249306"/>
    <cfRule type="duplicateValues" dxfId="11150" priority="249307"/>
    <cfRule type="duplicateValues" dxfId="11149" priority="249308"/>
    <cfRule type="duplicateValues" dxfId="11148" priority="249309"/>
    <cfRule type="duplicateValues" dxfId="11147" priority="249310"/>
    <cfRule type="duplicateValues" dxfId="11146" priority="249311"/>
    <cfRule type="duplicateValues" dxfId="11145" priority="249312"/>
    <cfRule type="duplicateValues" dxfId="11144" priority="249313"/>
    <cfRule type="duplicateValues" dxfId="11143" priority="249314"/>
    <cfRule type="duplicateValues" dxfId="11142" priority="249315"/>
    <cfRule type="duplicateValues" dxfId="11141" priority="249316"/>
    <cfRule type="duplicateValues" dxfId="11140" priority="249317"/>
    <cfRule type="duplicateValues" dxfId="11139" priority="249318"/>
    <cfRule type="duplicateValues" dxfId="11138" priority="249319"/>
    <cfRule type="duplicateValues" dxfId="11137" priority="249320"/>
    <cfRule type="duplicateValues" dxfId="11136" priority="249321"/>
    <cfRule type="duplicateValues" dxfId="11135" priority="249322"/>
  </conditionalFormatting>
  <conditionalFormatting sqref="B4">
    <cfRule type="duplicateValues" dxfId="11134" priority="249323"/>
    <cfRule type="duplicateValues" dxfId="11133" priority="249324"/>
    <cfRule type="duplicateValues" dxfId="11132" priority="249325"/>
    <cfRule type="duplicateValues" dxfId="11131" priority="249326"/>
    <cfRule type="duplicateValues" dxfId="11130" priority="249327"/>
    <cfRule type="duplicateValues" dxfId="11129" priority="249328"/>
    <cfRule type="duplicateValues" dxfId="11128" priority="249329"/>
    <cfRule type="duplicateValues" dxfId="11127" priority="249330"/>
    <cfRule type="duplicateValues" dxfId="11126" priority="249331"/>
    <cfRule type="duplicateValues" dxfId="11125" priority="249332"/>
    <cfRule type="aboveAverage" dxfId="11124" priority="249333" aboveAverage="0"/>
    <cfRule type="duplicateValues" dxfId="11123" priority="249334"/>
    <cfRule type="duplicateValues" dxfId="11122" priority="249335"/>
    <cfRule type="duplicateValues" dxfId="11121" priority="249336"/>
    <cfRule type="duplicateValues" dxfId="11120" priority="249337"/>
    <cfRule type="duplicateValues" dxfId="11119" priority="249338"/>
    <cfRule type="duplicateValues" dxfId="11118" priority="249339"/>
    <cfRule type="duplicateValues" dxfId="11117" priority="249340"/>
    <cfRule type="duplicateValues" dxfId="11116" priority="249341"/>
    <cfRule type="duplicateValues" dxfId="11115" priority="249342"/>
    <cfRule type="duplicateValues" dxfId="11114" priority="249343"/>
    <cfRule type="duplicateValues" dxfId="11113" priority="249344"/>
    <cfRule type="duplicateValues" dxfId="11112" priority="249345"/>
    <cfRule type="duplicateValues" dxfId="11111" priority="249346"/>
    <cfRule type="duplicateValues" dxfId="11110" priority="249347"/>
    <cfRule type="duplicateValues" dxfId="11109" priority="249348"/>
    <cfRule type="duplicateValues" dxfId="11108" priority="249349"/>
    <cfRule type="duplicateValues" dxfId="11107" priority="249350"/>
    <cfRule type="duplicateValues" dxfId="11106" priority="249351"/>
    <cfRule type="duplicateValues" dxfId="11105" priority="249352"/>
    <cfRule type="duplicateValues" dxfId="11104" priority="249353"/>
    <cfRule type="duplicateValues" dxfId="11103" priority="249354"/>
    <cfRule type="duplicateValues" dxfId="11102" priority="249355"/>
    <cfRule type="duplicateValues" dxfId="11101" priority="249356"/>
    <cfRule type="duplicateValues" dxfId="11100" priority="249357"/>
    <cfRule type="duplicateValues" dxfId="11099" priority="249358"/>
    <cfRule type="duplicateValues" dxfId="11098" priority="249359"/>
    <cfRule type="duplicateValues" dxfId="11097" priority="249360"/>
    <cfRule type="duplicateValues" dxfId="11096" priority="249361"/>
    <cfRule type="duplicateValues" dxfId="11095" priority="249362"/>
    <cfRule type="duplicateValues" dxfId="11094" priority="249363"/>
    <cfRule type="duplicateValues" dxfId="11093" priority="249364"/>
    <cfRule type="duplicateValues" dxfId="11092" priority="249365"/>
    <cfRule type="duplicateValues" dxfId="11091" priority="249366"/>
    <cfRule type="duplicateValues" dxfId="11090" priority="249367"/>
    <cfRule type="duplicateValues" dxfId="11089" priority="249368"/>
    <cfRule type="duplicateValues" dxfId="11088" priority="249369"/>
    <cfRule type="duplicateValues" dxfId="11087" priority="249370"/>
    <cfRule type="duplicateValues" dxfId="11086" priority="249371"/>
    <cfRule type="duplicateValues" dxfId="11085" priority="249372"/>
    <cfRule type="duplicateValues" dxfId="11084" priority="249373"/>
    <cfRule type="duplicateValues" dxfId="11083" priority="249374"/>
    <cfRule type="duplicateValues" dxfId="11082" priority="249375"/>
    <cfRule type="duplicateValues" dxfId="11081" priority="249376"/>
    <cfRule type="duplicateValues" dxfId="11080" priority="249377"/>
    <cfRule type="duplicateValues" dxfId="11079" priority="249378"/>
    <cfRule type="duplicateValues" dxfId="11078" priority="249379"/>
    <cfRule type="duplicateValues" dxfId="11077" priority="249380"/>
    <cfRule type="duplicateValues" dxfId="11076" priority="249381"/>
    <cfRule type="duplicateValues" dxfId="11075" priority="249382"/>
    <cfRule type="duplicateValues" dxfId="11074" priority="249383"/>
    <cfRule type="duplicateValues" dxfId="11073" priority="249384"/>
    <cfRule type="duplicateValues" dxfId="11072" priority="249385"/>
    <cfRule type="duplicateValues" dxfId="11071" priority="249386"/>
    <cfRule type="duplicateValues" dxfId="11070" priority="249387"/>
    <cfRule type="duplicateValues" dxfId="11069" priority="249388"/>
    <cfRule type="duplicateValues" dxfId="11068" priority="249389"/>
    <cfRule type="duplicateValues" dxfId="11067" priority="249390"/>
    <cfRule type="duplicateValues" dxfId="11066" priority="249391"/>
    <cfRule type="duplicateValues" dxfId="11065" priority="249392"/>
    <cfRule type="duplicateValues" dxfId="11064" priority="249393"/>
    <cfRule type="duplicateValues" dxfId="11063" priority="249394"/>
    <cfRule type="duplicateValues" dxfId="11062" priority="249395"/>
    <cfRule type="duplicateValues" dxfId="11061" priority="249396"/>
    <cfRule type="duplicateValues" dxfId="11060" priority="249397"/>
    <cfRule type="duplicateValues" dxfId="11059" priority="249398"/>
    <cfRule type="duplicateValues" dxfId="11058" priority="249399"/>
    <cfRule type="duplicateValues" dxfId="11057" priority="249400"/>
    <cfRule type="duplicateValues" dxfId="11056" priority="249401"/>
    <cfRule type="duplicateValues" dxfId="11055" priority="249402"/>
    <cfRule type="duplicateValues" dxfId="11054" priority="249403"/>
    <cfRule type="duplicateValues" dxfId="11053" priority="249404"/>
    <cfRule type="duplicateValues" dxfId="11052" priority="249405"/>
    <cfRule type="duplicateValues" dxfId="11051" priority="249406"/>
    <cfRule type="duplicateValues" dxfId="11050" priority="249407"/>
    <cfRule type="duplicateValues" dxfId="11049" priority="249408"/>
    <cfRule type="duplicateValues" dxfId="11048" priority="249409"/>
    <cfRule type="duplicateValues" dxfId="11047" priority="249410"/>
    <cfRule type="duplicateValues" dxfId="11046" priority="249411"/>
    <cfRule type="duplicateValues" dxfId="11045" priority="249412"/>
    <cfRule type="duplicateValues" dxfId="11044" priority="249413"/>
    <cfRule type="duplicateValues" dxfId="11043" priority="249414"/>
    <cfRule type="duplicateValues" dxfId="11042" priority="249415"/>
    <cfRule type="duplicateValues" dxfId="11041" priority="249416"/>
    <cfRule type="duplicateValues" dxfId="11040" priority="249417"/>
    <cfRule type="duplicateValues" dxfId="11039" priority="249418"/>
    <cfRule type="duplicateValues" dxfId="11038" priority="249419"/>
    <cfRule type="duplicateValues" dxfId="11037" priority="249420"/>
    <cfRule type="duplicateValues" dxfId="11036" priority="249421"/>
    <cfRule type="duplicateValues" dxfId="11035" priority="249422"/>
    <cfRule type="duplicateValues" dxfId="11034" priority="249423"/>
    <cfRule type="duplicateValues" dxfId="11033" priority="249424"/>
    <cfRule type="duplicateValues" dxfId="11032" priority="249425"/>
    <cfRule type="duplicateValues" dxfId="11031" priority="249426"/>
    <cfRule type="duplicateValues" dxfId="11030" priority="249427"/>
    <cfRule type="duplicateValues" dxfId="11029" priority="249428"/>
    <cfRule type="duplicateValues" dxfId="11028" priority="249429"/>
    <cfRule type="duplicateValues" dxfId="11027" priority="249430"/>
    <cfRule type="duplicateValues" dxfId="11026" priority="249431"/>
    <cfRule type="duplicateValues" dxfId="11025" priority="249432"/>
    <cfRule type="duplicateValues" dxfId="11024" priority="249433"/>
    <cfRule type="duplicateValues" dxfId="11023" priority="249434"/>
    <cfRule type="duplicateValues" dxfId="11022" priority="249435"/>
    <cfRule type="duplicateValues" dxfId="11021" priority="249436"/>
    <cfRule type="duplicateValues" dxfId="11020" priority="249437"/>
    <cfRule type="duplicateValues" dxfId="11019" priority="249438"/>
    <cfRule type="duplicateValues" dxfId="11018" priority="249439"/>
  </conditionalFormatting>
  <conditionalFormatting sqref="B128:B1048576 B1:B4">
    <cfRule type="duplicateValues" dxfId="11017" priority="352"/>
  </conditionalFormatting>
  <conditionalFormatting sqref="B131:B1048576 B1:B4">
    <cfRule type="duplicateValues" dxfId="11016" priority="354"/>
  </conditionalFormatting>
  <conditionalFormatting sqref="B132:B1048576 B1:B4">
    <cfRule type="duplicateValues" dxfId="11015" priority="356"/>
  </conditionalFormatting>
  <conditionalFormatting sqref="B134:B1048576 B1:B4">
    <cfRule type="duplicateValues" dxfId="11014" priority="358"/>
  </conditionalFormatting>
  <conditionalFormatting sqref="B140:B1048576 B1:B4">
    <cfRule type="duplicateValues" dxfId="11013" priority="360"/>
  </conditionalFormatting>
  <conditionalFormatting sqref="B143:B1048576 B1:B4">
    <cfRule type="duplicateValues" dxfId="11012" priority="362"/>
  </conditionalFormatting>
  <conditionalFormatting sqref="B149:B1048576 B1:B4">
    <cfRule type="duplicateValues" dxfId="11011" priority="364"/>
  </conditionalFormatting>
  <conditionalFormatting sqref="B154:B1048576 B1:B4">
    <cfRule type="duplicateValues" dxfId="11010" priority="366"/>
    <cfRule type="duplicateValues" dxfId="11009" priority="153453"/>
    <cfRule type="duplicateValues" dxfId="11008" priority="153458"/>
    <cfRule type="duplicateValues" dxfId="11007" priority="153459"/>
    <cfRule type="duplicateValues" dxfId="11006" priority="153460"/>
    <cfRule type="duplicateValues" dxfId="11005" priority="153461"/>
    <cfRule type="duplicateValues" dxfId="11004" priority="153462"/>
    <cfRule type="duplicateValues" dxfId="11003" priority="153463"/>
    <cfRule type="duplicateValues" dxfId="11002" priority="153464"/>
    <cfRule type="duplicateValues" dxfId="11001" priority="153465"/>
    <cfRule type="duplicateValues" dxfId="11000" priority="153466"/>
    <cfRule type="duplicateValues" dxfId="10999" priority="153467"/>
    <cfRule type="duplicateValues" dxfId="10998" priority="153468"/>
    <cfRule type="duplicateValues" dxfId="10997" priority="153469"/>
    <cfRule type="duplicateValues" dxfId="10996" priority="153470"/>
    <cfRule type="duplicateValues" dxfId="10995" priority="153471"/>
    <cfRule type="duplicateValues" dxfId="10994" priority="153472"/>
    <cfRule type="duplicateValues" dxfId="10993" priority="153473"/>
    <cfRule type="duplicateValues" dxfId="10992" priority="153474"/>
    <cfRule type="duplicateValues" dxfId="10991" priority="153475"/>
    <cfRule type="duplicateValues" dxfId="10990" priority="153476"/>
  </conditionalFormatting>
  <conditionalFormatting sqref="B154:B1048576 B2:B4">
    <cfRule type="duplicateValues" dxfId="10989" priority="153496"/>
  </conditionalFormatting>
  <conditionalFormatting sqref="B154:B1048576">
    <cfRule type="duplicateValues" dxfId="10988" priority="153447"/>
    <cfRule type="duplicateValues" dxfId="10987" priority="153451"/>
    <cfRule type="duplicateValues" dxfId="10986" priority="153498"/>
    <cfRule type="duplicateValues" dxfId="10985" priority="153499"/>
    <cfRule type="duplicateValues" dxfId="10984" priority="153500"/>
    <cfRule type="duplicateValues" dxfId="10983" priority="15350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5640-DE6B-48C6-95F7-CF518679EDDC}">
  <dimension ref="A1:K101"/>
  <sheetViews>
    <sheetView zoomScale="85" zoomScaleNormal="85" workbookViewId="0">
      <selection sqref="A1:K1"/>
    </sheetView>
  </sheetViews>
  <sheetFormatPr defaultRowHeight="14.4"/>
  <cols>
    <col min="1" max="1" width="7.33203125" customWidth="1"/>
    <col min="2" max="2" width="11.44140625" customWidth="1"/>
    <col min="4" max="4" width="15.6640625" customWidth="1"/>
    <col min="5" max="5" width="13.5546875" customWidth="1"/>
    <col min="6" max="6" width="13.109375" customWidth="1"/>
    <col min="7" max="7" width="15.6640625" customWidth="1"/>
    <col min="11" max="11" width="77.88671875" customWidth="1"/>
  </cols>
  <sheetData>
    <row r="1" spans="1:11" ht="25.8">
      <c r="A1" s="315" t="s">
        <v>2357</v>
      </c>
      <c r="B1" s="316"/>
      <c r="C1" s="316"/>
      <c r="D1" s="316"/>
      <c r="E1" s="316"/>
      <c r="F1" s="316"/>
      <c r="G1" s="316"/>
      <c r="H1" s="316"/>
      <c r="I1" s="316"/>
      <c r="J1" s="316"/>
      <c r="K1" s="317"/>
    </row>
    <row r="2" spans="1:11" ht="17.399999999999999">
      <c r="A2" s="318" t="s">
        <v>2358</v>
      </c>
      <c r="B2" s="319"/>
      <c r="C2" s="319"/>
      <c r="D2" s="319"/>
      <c r="E2" s="319"/>
      <c r="F2" s="319"/>
      <c r="G2" s="319"/>
      <c r="H2" s="319"/>
      <c r="I2" s="319"/>
      <c r="J2" s="319"/>
      <c r="K2" s="320"/>
    </row>
    <row r="3" spans="1:11">
      <c r="A3" s="211" t="s">
        <v>22</v>
      </c>
      <c r="B3" s="211" t="s">
        <v>13</v>
      </c>
      <c r="C3" s="211" t="s">
        <v>26</v>
      </c>
      <c r="D3" s="211" t="s">
        <v>14</v>
      </c>
      <c r="E3" s="211" t="s">
        <v>20</v>
      </c>
      <c r="F3" s="211" t="s">
        <v>21</v>
      </c>
      <c r="G3" s="211" t="s">
        <v>62</v>
      </c>
      <c r="H3" s="211" t="s">
        <v>0</v>
      </c>
      <c r="I3" s="211" t="s">
        <v>1</v>
      </c>
      <c r="J3" s="211" t="s">
        <v>2</v>
      </c>
      <c r="K3" s="211" t="s">
        <v>19</v>
      </c>
    </row>
    <row r="4" spans="1:11">
      <c r="A4" s="61">
        <v>1</v>
      </c>
      <c r="B4" s="203" t="s">
        <v>2359</v>
      </c>
      <c r="C4" s="61" t="s">
        <v>5</v>
      </c>
      <c r="D4" s="61" t="s">
        <v>24</v>
      </c>
      <c r="E4" s="209">
        <v>1817999</v>
      </c>
      <c r="F4" s="212">
        <f>E4*0.97</f>
        <v>1763459.03</v>
      </c>
      <c r="G4" s="206">
        <f>E4*0.94</f>
        <v>1708919.0599999998</v>
      </c>
      <c r="H4" s="61">
        <v>963.26</v>
      </c>
      <c r="I4" s="61">
        <v>889.64</v>
      </c>
      <c r="J4" s="61">
        <v>73.63</v>
      </c>
      <c r="K4" s="61" t="s">
        <v>2454</v>
      </c>
    </row>
    <row r="5" spans="1:11">
      <c r="A5" s="61">
        <v>2</v>
      </c>
      <c r="B5" s="203" t="s">
        <v>2360</v>
      </c>
      <c r="C5" s="61" t="s">
        <v>4458</v>
      </c>
      <c r="D5" s="61" t="s">
        <v>24</v>
      </c>
      <c r="E5" s="209">
        <v>1812999</v>
      </c>
      <c r="F5" s="212">
        <f t="shared" ref="F5:F66" si="0">E5*0.97</f>
        <v>1758609.03</v>
      </c>
      <c r="G5" s="206">
        <f t="shared" ref="G5:G66" si="1">E5*0.94</f>
        <v>1704219.0599999998</v>
      </c>
      <c r="H5" s="61">
        <v>963.26</v>
      </c>
      <c r="I5" s="61">
        <v>889.64</v>
      </c>
      <c r="J5" s="61">
        <v>73.63</v>
      </c>
      <c r="K5" s="61" t="s">
        <v>2454</v>
      </c>
    </row>
    <row r="6" spans="1:11">
      <c r="A6" s="61">
        <v>3</v>
      </c>
      <c r="B6" s="203" t="s">
        <v>2361</v>
      </c>
      <c r="C6" s="61" t="s">
        <v>7</v>
      </c>
      <c r="D6" s="61" t="s">
        <v>24</v>
      </c>
      <c r="E6" s="209">
        <v>1806999</v>
      </c>
      <c r="F6" s="212">
        <f t="shared" si="0"/>
        <v>1752789.03</v>
      </c>
      <c r="G6" s="206">
        <f t="shared" si="1"/>
        <v>1698579.0599999998</v>
      </c>
      <c r="H6" s="61">
        <v>963.26</v>
      </c>
      <c r="I6" s="61">
        <v>889.64</v>
      </c>
      <c r="J6" s="61">
        <v>73.63</v>
      </c>
      <c r="K6" s="61" t="s">
        <v>2454</v>
      </c>
    </row>
    <row r="7" spans="1:11">
      <c r="A7" s="61">
        <v>4</v>
      </c>
      <c r="B7" s="203" t="s">
        <v>2362</v>
      </c>
      <c r="C7" s="61" t="s">
        <v>8</v>
      </c>
      <c r="D7" s="61" t="s">
        <v>24</v>
      </c>
      <c r="E7" s="209">
        <v>1804999</v>
      </c>
      <c r="F7" s="212">
        <f t="shared" si="0"/>
        <v>1750849.03</v>
      </c>
      <c r="G7" s="206">
        <f t="shared" si="1"/>
        <v>1696699.0599999998</v>
      </c>
      <c r="H7" s="61">
        <v>963.26</v>
      </c>
      <c r="I7" s="61">
        <v>889.64</v>
      </c>
      <c r="J7" s="61">
        <v>73.63</v>
      </c>
      <c r="K7" s="61" t="s">
        <v>2454</v>
      </c>
    </row>
    <row r="8" spans="1:11">
      <c r="A8" s="61">
        <v>5</v>
      </c>
      <c r="B8" s="203" t="s">
        <v>2363</v>
      </c>
      <c r="C8" s="61" t="s">
        <v>5</v>
      </c>
      <c r="D8" s="61" t="s">
        <v>24</v>
      </c>
      <c r="E8" s="209">
        <v>1817999</v>
      </c>
      <c r="F8" s="212">
        <f t="shared" si="0"/>
        <v>1763459.03</v>
      </c>
      <c r="G8" s="206">
        <f t="shared" si="1"/>
        <v>1708919.0599999998</v>
      </c>
      <c r="H8" s="61">
        <v>963.26</v>
      </c>
      <c r="I8" s="61">
        <v>889.64</v>
      </c>
      <c r="J8" s="61">
        <v>73.63</v>
      </c>
      <c r="K8" s="61" t="s">
        <v>2454</v>
      </c>
    </row>
    <row r="9" spans="1:11">
      <c r="A9" s="61">
        <v>6</v>
      </c>
      <c r="B9" s="203" t="s">
        <v>2364</v>
      </c>
      <c r="C9" s="61" t="s">
        <v>9</v>
      </c>
      <c r="D9" s="61" t="s">
        <v>24</v>
      </c>
      <c r="E9" s="209">
        <v>1801999</v>
      </c>
      <c r="F9" s="212">
        <f t="shared" si="0"/>
        <v>1747939.03</v>
      </c>
      <c r="G9" s="206">
        <f t="shared" si="1"/>
        <v>1693879.0599999998</v>
      </c>
      <c r="H9" s="61">
        <v>963.26</v>
      </c>
      <c r="I9" s="61">
        <v>889.64</v>
      </c>
      <c r="J9" s="61">
        <v>73.63</v>
      </c>
      <c r="K9" s="61" t="s">
        <v>2454</v>
      </c>
    </row>
    <row r="10" spans="1:11">
      <c r="A10" s="61">
        <v>7</v>
      </c>
      <c r="B10" s="203" t="s">
        <v>2365</v>
      </c>
      <c r="C10" s="61" t="s">
        <v>7</v>
      </c>
      <c r="D10" s="61" t="s">
        <v>24</v>
      </c>
      <c r="E10" s="209">
        <v>1806999</v>
      </c>
      <c r="F10" s="212">
        <f t="shared" si="0"/>
        <v>1752789.03</v>
      </c>
      <c r="G10" s="206">
        <f t="shared" si="1"/>
        <v>1698579.0599999998</v>
      </c>
      <c r="H10" s="61">
        <v>963.26</v>
      </c>
      <c r="I10" s="61">
        <v>889.64</v>
      </c>
      <c r="J10" s="61">
        <v>73.63</v>
      </c>
      <c r="K10" s="61" t="s">
        <v>2454</v>
      </c>
    </row>
    <row r="11" spans="1:11">
      <c r="A11" s="61">
        <v>8</v>
      </c>
      <c r="B11" s="203" t="s">
        <v>2366</v>
      </c>
      <c r="C11" s="61" t="s">
        <v>8</v>
      </c>
      <c r="D11" s="61" t="s">
        <v>24</v>
      </c>
      <c r="E11" s="209">
        <v>1804999</v>
      </c>
      <c r="F11" s="212">
        <f t="shared" si="0"/>
        <v>1750849.03</v>
      </c>
      <c r="G11" s="206">
        <f t="shared" si="1"/>
        <v>1696699.0599999998</v>
      </c>
      <c r="H11" s="61">
        <v>963.26</v>
      </c>
      <c r="I11" s="61">
        <v>889.64</v>
      </c>
      <c r="J11" s="61">
        <v>73.63</v>
      </c>
      <c r="K11" s="61" t="s">
        <v>2454</v>
      </c>
    </row>
    <row r="12" spans="1:11">
      <c r="A12" s="61">
        <v>9</v>
      </c>
      <c r="B12" s="203" t="s">
        <v>2367</v>
      </c>
      <c r="C12" s="61" t="s">
        <v>9</v>
      </c>
      <c r="D12" s="61" t="s">
        <v>24</v>
      </c>
      <c r="E12" s="209">
        <v>1801999</v>
      </c>
      <c r="F12" s="212">
        <f t="shared" si="0"/>
        <v>1747939.03</v>
      </c>
      <c r="G12" s="206">
        <f t="shared" si="1"/>
        <v>1693879.0599999998</v>
      </c>
      <c r="H12" s="61">
        <v>963.26</v>
      </c>
      <c r="I12" s="61">
        <v>889.64</v>
      </c>
      <c r="J12" s="61">
        <v>73.63</v>
      </c>
      <c r="K12" s="61" t="s">
        <v>2454</v>
      </c>
    </row>
    <row r="13" spans="1:11">
      <c r="A13" s="61">
        <v>10</v>
      </c>
      <c r="B13" s="203" t="s">
        <v>2368</v>
      </c>
      <c r="C13" s="61" t="s">
        <v>8</v>
      </c>
      <c r="D13" s="61" t="s">
        <v>36</v>
      </c>
      <c r="E13" s="209">
        <v>1333999</v>
      </c>
      <c r="F13" s="212">
        <f t="shared" si="0"/>
        <v>1293979.03</v>
      </c>
      <c r="G13" s="206">
        <f t="shared" si="1"/>
        <v>1253959.0599999998</v>
      </c>
      <c r="H13" s="61">
        <v>741.63</v>
      </c>
      <c r="I13" s="61">
        <v>632.38</v>
      </c>
      <c r="J13" s="61">
        <v>109.25</v>
      </c>
      <c r="K13" s="61" t="s">
        <v>2455</v>
      </c>
    </row>
    <row r="14" spans="1:11">
      <c r="A14" s="61">
        <v>11</v>
      </c>
      <c r="B14" s="203" t="s">
        <v>2369</v>
      </c>
      <c r="C14" s="61" t="s">
        <v>8</v>
      </c>
      <c r="D14" s="61" t="s">
        <v>36</v>
      </c>
      <c r="E14" s="209">
        <v>1339999</v>
      </c>
      <c r="F14" s="212">
        <f t="shared" si="0"/>
        <v>1299799.03</v>
      </c>
      <c r="G14" s="206">
        <f t="shared" si="1"/>
        <v>1259599.0599999998</v>
      </c>
      <c r="H14" s="61">
        <v>754.87</v>
      </c>
      <c r="I14" s="61">
        <v>631.73</v>
      </c>
      <c r="J14" s="61">
        <v>123.14</v>
      </c>
      <c r="K14" s="61" t="s">
        <v>2455</v>
      </c>
    </row>
    <row r="15" spans="1:11">
      <c r="A15" s="61">
        <v>12</v>
      </c>
      <c r="B15" s="203" t="s">
        <v>2370</v>
      </c>
      <c r="C15" s="61" t="s">
        <v>3</v>
      </c>
      <c r="D15" s="61" t="s">
        <v>36</v>
      </c>
      <c r="E15" s="209">
        <v>1365999</v>
      </c>
      <c r="F15" s="212">
        <f t="shared" si="0"/>
        <v>1325019.03</v>
      </c>
      <c r="G15" s="206">
        <f t="shared" si="1"/>
        <v>1284039.0599999998</v>
      </c>
      <c r="H15" s="61">
        <v>852.39</v>
      </c>
      <c r="I15" s="61">
        <v>631.73</v>
      </c>
      <c r="J15" s="61">
        <v>220.66</v>
      </c>
      <c r="K15" s="61" t="s">
        <v>2455</v>
      </c>
    </row>
    <row r="16" spans="1:11">
      <c r="A16" s="61">
        <v>13</v>
      </c>
      <c r="B16" s="203" t="s">
        <v>2371</v>
      </c>
      <c r="C16" s="61" t="s">
        <v>9</v>
      </c>
      <c r="D16" s="61" t="s">
        <v>36</v>
      </c>
      <c r="E16" s="209">
        <v>1337999</v>
      </c>
      <c r="F16" s="212">
        <f t="shared" si="0"/>
        <v>1297859.03</v>
      </c>
      <c r="G16" s="206">
        <f t="shared" si="1"/>
        <v>1257719.0599999998</v>
      </c>
      <c r="H16" s="61">
        <v>754.87</v>
      </c>
      <c r="I16" s="61">
        <v>631.73</v>
      </c>
      <c r="J16" s="61">
        <v>123.14</v>
      </c>
      <c r="K16" s="61" t="s">
        <v>2455</v>
      </c>
    </row>
    <row r="17" spans="1:11">
      <c r="A17" s="61">
        <v>14</v>
      </c>
      <c r="B17" s="203" t="s">
        <v>2372</v>
      </c>
      <c r="C17" s="61" t="s">
        <v>9</v>
      </c>
      <c r="D17" s="61" t="s">
        <v>36</v>
      </c>
      <c r="E17" s="209">
        <v>1331999</v>
      </c>
      <c r="F17" s="212">
        <f t="shared" si="0"/>
        <v>1292039.03</v>
      </c>
      <c r="G17" s="206">
        <f t="shared" si="1"/>
        <v>1252079.0599999998</v>
      </c>
      <c r="H17" s="61">
        <v>741.63</v>
      </c>
      <c r="I17" s="61">
        <v>632.38</v>
      </c>
      <c r="J17" s="61">
        <v>109.25</v>
      </c>
      <c r="K17" s="61" t="s">
        <v>2455</v>
      </c>
    </row>
    <row r="18" spans="1:11">
      <c r="A18" s="61">
        <v>15</v>
      </c>
      <c r="B18" s="203" t="s">
        <v>2373</v>
      </c>
      <c r="C18" s="61" t="s">
        <v>10</v>
      </c>
      <c r="D18" s="61" t="s">
        <v>36</v>
      </c>
      <c r="E18" s="209">
        <v>1335999</v>
      </c>
      <c r="F18" s="212">
        <f t="shared" si="0"/>
        <v>1295919.03</v>
      </c>
      <c r="G18" s="206">
        <f t="shared" si="1"/>
        <v>1255839.0599999998</v>
      </c>
      <c r="H18" s="61">
        <v>754.87</v>
      </c>
      <c r="I18" s="61">
        <v>631.73</v>
      </c>
      <c r="J18" s="61">
        <v>123.14</v>
      </c>
      <c r="K18" s="61" t="s">
        <v>2455</v>
      </c>
    </row>
    <row r="19" spans="1:11">
      <c r="A19" s="61">
        <v>16</v>
      </c>
      <c r="B19" s="203" t="s">
        <v>2374</v>
      </c>
      <c r="C19" s="61" t="s">
        <v>10</v>
      </c>
      <c r="D19" s="61" t="s">
        <v>36</v>
      </c>
      <c r="E19" s="209">
        <v>1329999</v>
      </c>
      <c r="F19" s="212">
        <f t="shared" si="0"/>
        <v>1290099.03</v>
      </c>
      <c r="G19" s="206">
        <f t="shared" si="1"/>
        <v>1250199.0599999998</v>
      </c>
      <c r="H19" s="61">
        <v>741.63</v>
      </c>
      <c r="I19" s="61">
        <v>632.38</v>
      </c>
      <c r="J19" s="61">
        <v>109.25</v>
      </c>
      <c r="K19" s="61" t="s">
        <v>2455</v>
      </c>
    </row>
    <row r="20" spans="1:11">
      <c r="A20" s="61">
        <v>17</v>
      </c>
      <c r="B20" s="203" t="s">
        <v>2375</v>
      </c>
      <c r="C20" s="61" t="s">
        <v>3</v>
      </c>
      <c r="D20" s="61" t="s">
        <v>36</v>
      </c>
      <c r="E20" s="209">
        <v>1310999</v>
      </c>
      <c r="F20" s="212">
        <f t="shared" si="0"/>
        <v>1271669.03</v>
      </c>
      <c r="G20" s="206">
        <f t="shared" si="1"/>
        <v>1232339.0599999998</v>
      </c>
      <c r="H20" s="61">
        <v>838.19</v>
      </c>
      <c r="I20" s="61">
        <v>593.74</v>
      </c>
      <c r="J20" s="61">
        <v>244.45</v>
      </c>
      <c r="K20" s="61" t="s">
        <v>2456</v>
      </c>
    </row>
    <row r="21" spans="1:11">
      <c r="A21" s="61">
        <v>18</v>
      </c>
      <c r="B21" s="203" t="s">
        <v>2376</v>
      </c>
      <c r="C21" s="61" t="s">
        <v>12</v>
      </c>
      <c r="D21" s="61" t="s">
        <v>36</v>
      </c>
      <c r="E21" s="209">
        <v>1265999</v>
      </c>
      <c r="F21" s="212">
        <f t="shared" si="0"/>
        <v>1228019.03</v>
      </c>
      <c r="G21" s="206">
        <f t="shared" si="1"/>
        <v>1190039.0599999998</v>
      </c>
      <c r="H21" s="61">
        <v>651.42999999999995</v>
      </c>
      <c r="I21" s="61">
        <v>593.74</v>
      </c>
      <c r="J21" s="61">
        <v>57.69</v>
      </c>
      <c r="K21" s="61" t="s">
        <v>2456</v>
      </c>
    </row>
    <row r="22" spans="1:11">
      <c r="A22" s="61">
        <v>19</v>
      </c>
      <c r="B22" s="203" t="s">
        <v>2377</v>
      </c>
      <c r="C22" s="61" t="s">
        <v>12</v>
      </c>
      <c r="D22" s="61" t="s">
        <v>36</v>
      </c>
      <c r="E22" s="209">
        <v>1265999</v>
      </c>
      <c r="F22" s="212">
        <f t="shared" si="0"/>
        <v>1228019.03</v>
      </c>
      <c r="G22" s="206">
        <f t="shared" si="1"/>
        <v>1190039.0599999998</v>
      </c>
      <c r="H22" s="61">
        <v>651.54</v>
      </c>
      <c r="I22" s="61">
        <v>593.74</v>
      </c>
      <c r="J22" s="61">
        <v>57.8</v>
      </c>
      <c r="K22" s="61" t="s">
        <v>2456</v>
      </c>
    </row>
    <row r="23" spans="1:11">
      <c r="A23" s="61">
        <v>20</v>
      </c>
      <c r="B23" s="203" t="s">
        <v>2378</v>
      </c>
      <c r="C23" s="61" t="s">
        <v>32</v>
      </c>
      <c r="D23" s="61" t="s">
        <v>36</v>
      </c>
      <c r="E23" s="209">
        <v>1263999</v>
      </c>
      <c r="F23" s="212">
        <f t="shared" si="0"/>
        <v>1226079.03</v>
      </c>
      <c r="G23" s="206">
        <f t="shared" si="1"/>
        <v>1188159.0599999998</v>
      </c>
      <c r="H23" s="61">
        <v>651.42999999999995</v>
      </c>
      <c r="I23" s="61">
        <v>593.74</v>
      </c>
      <c r="J23" s="61">
        <v>57.69</v>
      </c>
      <c r="K23" s="61" t="s">
        <v>2456</v>
      </c>
    </row>
    <row r="24" spans="1:11">
      <c r="A24" s="61">
        <v>21</v>
      </c>
      <c r="B24" s="203" t="s">
        <v>2379</v>
      </c>
      <c r="C24" s="61" t="s">
        <v>32</v>
      </c>
      <c r="D24" s="61" t="s">
        <v>36</v>
      </c>
      <c r="E24" s="209">
        <v>1263999</v>
      </c>
      <c r="F24" s="212">
        <f t="shared" si="0"/>
        <v>1226079.03</v>
      </c>
      <c r="G24" s="206">
        <f t="shared" si="1"/>
        <v>1188159.0599999998</v>
      </c>
      <c r="H24" s="61">
        <v>651.54</v>
      </c>
      <c r="I24" s="61">
        <v>593.74</v>
      </c>
      <c r="J24" s="61">
        <v>57.8</v>
      </c>
      <c r="K24" s="61" t="s">
        <v>2456</v>
      </c>
    </row>
    <row r="25" spans="1:11">
      <c r="A25" s="61">
        <v>22</v>
      </c>
      <c r="B25" s="203" t="s">
        <v>2380</v>
      </c>
      <c r="C25" s="61" t="s">
        <v>4459</v>
      </c>
      <c r="D25" s="61" t="s">
        <v>36</v>
      </c>
      <c r="E25" s="209">
        <v>1261999</v>
      </c>
      <c r="F25" s="212">
        <f t="shared" si="0"/>
        <v>1224139.03</v>
      </c>
      <c r="G25" s="206">
        <f t="shared" si="1"/>
        <v>1186279.0599999998</v>
      </c>
      <c r="H25" s="61">
        <v>651.54</v>
      </c>
      <c r="I25" s="61">
        <v>593.74</v>
      </c>
      <c r="J25" s="61">
        <v>57.8</v>
      </c>
      <c r="K25" s="61" t="s">
        <v>2456</v>
      </c>
    </row>
    <row r="26" spans="1:11">
      <c r="A26" s="61">
        <v>23</v>
      </c>
      <c r="B26" s="203" t="s">
        <v>2381</v>
      </c>
      <c r="C26" s="61" t="s">
        <v>4</v>
      </c>
      <c r="D26" s="61" t="s">
        <v>36</v>
      </c>
      <c r="E26" s="209">
        <v>1258999</v>
      </c>
      <c r="F26" s="212">
        <f t="shared" si="0"/>
        <v>1221229.03</v>
      </c>
      <c r="G26" s="206">
        <f t="shared" si="1"/>
        <v>1183459.0599999998</v>
      </c>
      <c r="H26" s="61">
        <v>651.42999999999995</v>
      </c>
      <c r="I26" s="61">
        <v>593.74</v>
      </c>
      <c r="J26" s="61">
        <v>57.69</v>
      </c>
      <c r="K26" s="61" t="s">
        <v>2456</v>
      </c>
    </row>
    <row r="27" spans="1:11">
      <c r="A27" s="61">
        <v>24</v>
      </c>
      <c r="B27" s="203" t="s">
        <v>2382</v>
      </c>
      <c r="C27" s="61" t="s">
        <v>5</v>
      </c>
      <c r="D27" s="61" t="s">
        <v>36</v>
      </c>
      <c r="E27" s="209">
        <v>1259999</v>
      </c>
      <c r="F27" s="212">
        <f t="shared" si="0"/>
        <v>1222199.03</v>
      </c>
      <c r="G27" s="206">
        <f t="shared" si="1"/>
        <v>1184399.0599999998</v>
      </c>
      <c r="H27" s="61">
        <v>651.42999999999995</v>
      </c>
      <c r="I27" s="61">
        <v>593.74</v>
      </c>
      <c r="J27" s="61">
        <v>57.69</v>
      </c>
      <c r="K27" s="61" t="s">
        <v>2456</v>
      </c>
    </row>
    <row r="28" spans="1:11">
      <c r="A28" s="61">
        <v>25</v>
      </c>
      <c r="B28" s="203" t="s">
        <v>2383</v>
      </c>
      <c r="C28" s="61" t="s">
        <v>5</v>
      </c>
      <c r="D28" s="61" t="s">
        <v>36</v>
      </c>
      <c r="E28" s="209">
        <v>1260999</v>
      </c>
      <c r="F28" s="212">
        <f t="shared" si="0"/>
        <v>1223169.03</v>
      </c>
      <c r="G28" s="206">
        <f t="shared" si="1"/>
        <v>1185339.0599999998</v>
      </c>
      <c r="H28" s="61">
        <v>651.54</v>
      </c>
      <c r="I28" s="61">
        <v>593.74</v>
      </c>
      <c r="J28" s="61">
        <v>57.8</v>
      </c>
      <c r="K28" s="61" t="s">
        <v>2456</v>
      </c>
    </row>
    <row r="29" spans="1:11">
      <c r="A29" s="61">
        <v>26</v>
      </c>
      <c r="B29" s="203" t="s">
        <v>2384</v>
      </c>
      <c r="C29" s="61" t="s">
        <v>4</v>
      </c>
      <c r="D29" s="61" t="s">
        <v>36</v>
      </c>
      <c r="E29" s="209">
        <v>1258999</v>
      </c>
      <c r="F29" s="212">
        <f t="shared" si="0"/>
        <v>1221229.03</v>
      </c>
      <c r="G29" s="206">
        <f t="shared" si="1"/>
        <v>1183459.0599999998</v>
      </c>
      <c r="H29" s="61">
        <v>651.54</v>
      </c>
      <c r="I29" s="61">
        <v>593.74</v>
      </c>
      <c r="J29" s="61">
        <v>57.8</v>
      </c>
      <c r="K29" s="61" t="s">
        <v>2456</v>
      </c>
    </row>
    <row r="30" spans="1:11">
      <c r="A30" s="61">
        <v>27</v>
      </c>
      <c r="B30" s="203" t="s">
        <v>2385</v>
      </c>
      <c r="C30" s="61" t="s">
        <v>4458</v>
      </c>
      <c r="D30" s="61" t="s">
        <v>36</v>
      </c>
      <c r="E30" s="209">
        <v>1256999</v>
      </c>
      <c r="F30" s="212">
        <f t="shared" si="0"/>
        <v>1219289.03</v>
      </c>
      <c r="G30" s="206">
        <f t="shared" si="1"/>
        <v>1181579.0599999998</v>
      </c>
      <c r="H30" s="61">
        <v>651.42999999999995</v>
      </c>
      <c r="I30" s="61">
        <v>593.74</v>
      </c>
      <c r="J30" s="61">
        <v>57.69</v>
      </c>
      <c r="K30" s="61" t="s">
        <v>2456</v>
      </c>
    </row>
    <row r="31" spans="1:11">
      <c r="A31" s="61">
        <v>28</v>
      </c>
      <c r="B31" s="203" t="s">
        <v>2386</v>
      </c>
      <c r="C31" s="61" t="s">
        <v>4458</v>
      </c>
      <c r="D31" s="61" t="s">
        <v>36</v>
      </c>
      <c r="E31" s="209">
        <v>1256999</v>
      </c>
      <c r="F31" s="212">
        <f t="shared" si="0"/>
        <v>1219289.03</v>
      </c>
      <c r="G31" s="206">
        <f t="shared" si="1"/>
        <v>1181579.0599999998</v>
      </c>
      <c r="H31" s="61">
        <v>651.54</v>
      </c>
      <c r="I31" s="61">
        <v>593.74</v>
      </c>
      <c r="J31" s="61">
        <v>57.8</v>
      </c>
      <c r="K31" s="61" t="s">
        <v>2456</v>
      </c>
    </row>
    <row r="32" spans="1:11">
      <c r="A32" s="61">
        <v>29</v>
      </c>
      <c r="B32" s="203" t="s">
        <v>2387</v>
      </c>
      <c r="C32" s="61" t="s">
        <v>8</v>
      </c>
      <c r="D32" s="61" t="s">
        <v>36</v>
      </c>
      <c r="E32" s="209">
        <v>1250999</v>
      </c>
      <c r="F32" s="212">
        <f t="shared" si="0"/>
        <v>1213469.03</v>
      </c>
      <c r="G32" s="206">
        <f t="shared" si="1"/>
        <v>1175939.0599999998</v>
      </c>
      <c r="H32" s="61">
        <v>651.42999999999995</v>
      </c>
      <c r="I32" s="61">
        <v>593.74</v>
      </c>
      <c r="J32" s="61">
        <v>57.69</v>
      </c>
      <c r="K32" s="61" t="s">
        <v>2456</v>
      </c>
    </row>
    <row r="33" spans="1:11">
      <c r="A33" s="61">
        <v>30</v>
      </c>
      <c r="B33" s="203" t="s">
        <v>2388</v>
      </c>
      <c r="C33" s="61" t="s">
        <v>7</v>
      </c>
      <c r="D33" s="61" t="s">
        <v>36</v>
      </c>
      <c r="E33" s="209">
        <v>1252999</v>
      </c>
      <c r="F33" s="212">
        <f t="shared" si="0"/>
        <v>1215409.03</v>
      </c>
      <c r="G33" s="206">
        <f t="shared" si="1"/>
        <v>1177819.0599999998</v>
      </c>
      <c r="H33" s="61">
        <v>651.42999999999995</v>
      </c>
      <c r="I33" s="61">
        <v>593.74</v>
      </c>
      <c r="J33" s="61">
        <v>57.69</v>
      </c>
      <c r="K33" s="61" t="s">
        <v>2456</v>
      </c>
    </row>
    <row r="34" spans="1:11">
      <c r="A34" s="61">
        <v>31</v>
      </c>
      <c r="B34" s="203" t="s">
        <v>2389</v>
      </c>
      <c r="C34" s="61" t="s">
        <v>7</v>
      </c>
      <c r="D34" s="61" t="s">
        <v>36</v>
      </c>
      <c r="E34" s="209">
        <v>1252999</v>
      </c>
      <c r="F34" s="212">
        <f t="shared" si="0"/>
        <v>1215409.03</v>
      </c>
      <c r="G34" s="206">
        <f t="shared" si="1"/>
        <v>1177819.0599999998</v>
      </c>
      <c r="H34" s="61">
        <v>651.54</v>
      </c>
      <c r="I34" s="61">
        <v>593.74</v>
      </c>
      <c r="J34" s="61">
        <v>57.8</v>
      </c>
      <c r="K34" s="61" t="s">
        <v>2456</v>
      </c>
    </row>
    <row r="35" spans="1:11">
      <c r="A35" s="61">
        <v>32</v>
      </c>
      <c r="B35" s="203" t="s">
        <v>2390</v>
      </c>
      <c r="C35" s="61" t="s">
        <v>8</v>
      </c>
      <c r="D35" s="61" t="s">
        <v>36</v>
      </c>
      <c r="E35" s="209">
        <v>1250999</v>
      </c>
      <c r="F35" s="212">
        <f t="shared" si="0"/>
        <v>1213469.03</v>
      </c>
      <c r="G35" s="206">
        <f t="shared" si="1"/>
        <v>1175939.0599999998</v>
      </c>
      <c r="H35" s="61">
        <v>651.54</v>
      </c>
      <c r="I35" s="61">
        <v>593.74</v>
      </c>
      <c r="J35" s="61">
        <v>57.8</v>
      </c>
      <c r="K35" s="61" t="s">
        <v>2456</v>
      </c>
    </row>
    <row r="36" spans="1:11">
      <c r="A36" s="61">
        <v>33</v>
      </c>
      <c r="B36" s="203" t="s">
        <v>4545</v>
      </c>
      <c r="C36" s="61" t="s">
        <v>9</v>
      </c>
      <c r="D36" s="61" t="s">
        <v>36</v>
      </c>
      <c r="E36" s="209">
        <v>1248999</v>
      </c>
      <c r="F36" s="212">
        <f t="shared" si="0"/>
        <v>1211529.03</v>
      </c>
      <c r="G36" s="206">
        <f t="shared" si="1"/>
        <v>1174059.0599999998</v>
      </c>
      <c r="H36" s="61">
        <v>651.42999999999995</v>
      </c>
      <c r="I36" s="61">
        <v>593.74</v>
      </c>
      <c r="J36" s="61">
        <v>57.69</v>
      </c>
      <c r="K36" s="61" t="s">
        <v>4544</v>
      </c>
    </row>
    <row r="37" spans="1:11">
      <c r="A37" s="61">
        <v>34</v>
      </c>
      <c r="B37" s="203" t="s">
        <v>2391</v>
      </c>
      <c r="C37" s="61" t="s">
        <v>10</v>
      </c>
      <c r="D37" s="61" t="s">
        <v>36</v>
      </c>
      <c r="E37" s="209">
        <v>1249999</v>
      </c>
      <c r="F37" s="212">
        <f t="shared" si="0"/>
        <v>1212499.03</v>
      </c>
      <c r="G37" s="206">
        <f t="shared" si="1"/>
        <v>1174999.0599999998</v>
      </c>
      <c r="H37" s="61">
        <v>651.54</v>
      </c>
      <c r="I37" s="61">
        <v>593.74</v>
      </c>
      <c r="J37" s="61">
        <v>57.8</v>
      </c>
      <c r="K37" s="61" t="s">
        <v>2456</v>
      </c>
    </row>
    <row r="38" spans="1:11">
      <c r="A38" s="61">
        <v>35</v>
      </c>
      <c r="B38" s="203" t="s">
        <v>2392</v>
      </c>
      <c r="C38" s="61" t="s">
        <v>10</v>
      </c>
      <c r="D38" s="61" t="s">
        <v>36</v>
      </c>
      <c r="E38" s="209">
        <v>1249999</v>
      </c>
      <c r="F38" s="212">
        <f t="shared" si="0"/>
        <v>1212499.03</v>
      </c>
      <c r="G38" s="206">
        <f t="shared" si="1"/>
        <v>1174999.0599999998</v>
      </c>
      <c r="H38" s="61">
        <v>651.42999999999995</v>
      </c>
      <c r="I38" s="61">
        <v>593.74</v>
      </c>
      <c r="J38" s="61">
        <v>57.69</v>
      </c>
      <c r="K38" s="61" t="s">
        <v>2456</v>
      </c>
    </row>
    <row r="39" spans="1:11">
      <c r="A39" s="61">
        <v>36</v>
      </c>
      <c r="B39" s="203" t="s">
        <v>2393</v>
      </c>
      <c r="C39" s="61" t="s">
        <v>3</v>
      </c>
      <c r="D39" s="61" t="s">
        <v>35</v>
      </c>
      <c r="E39" s="209">
        <v>799999</v>
      </c>
      <c r="F39" s="212">
        <f t="shared" si="0"/>
        <v>775999.03</v>
      </c>
      <c r="G39" s="206">
        <f t="shared" si="1"/>
        <v>751999.05999999994</v>
      </c>
      <c r="H39" s="61">
        <v>430.23</v>
      </c>
      <c r="I39" s="61">
        <v>308.49</v>
      </c>
      <c r="J39" s="61">
        <v>121.74</v>
      </c>
      <c r="K39" s="61" t="s">
        <v>2456</v>
      </c>
    </row>
    <row r="40" spans="1:11">
      <c r="A40" s="61">
        <v>37</v>
      </c>
      <c r="B40" s="203" t="s">
        <v>2394</v>
      </c>
      <c r="C40" s="61" t="s">
        <v>3</v>
      </c>
      <c r="D40" s="61" t="s">
        <v>35</v>
      </c>
      <c r="E40" s="209">
        <v>799999</v>
      </c>
      <c r="F40" s="212">
        <f t="shared" si="0"/>
        <v>775999.03</v>
      </c>
      <c r="G40" s="206">
        <f t="shared" si="1"/>
        <v>751999.05999999994</v>
      </c>
      <c r="H40" s="61">
        <v>429.48</v>
      </c>
      <c r="I40" s="61">
        <v>307.74</v>
      </c>
      <c r="J40" s="61">
        <v>121.74</v>
      </c>
      <c r="K40" s="61" t="s">
        <v>2456</v>
      </c>
    </row>
    <row r="41" spans="1:11">
      <c r="A41" s="61">
        <v>38</v>
      </c>
      <c r="B41" s="203" t="s">
        <v>2395</v>
      </c>
      <c r="C41" s="61" t="s">
        <v>5</v>
      </c>
      <c r="D41" s="61" t="s">
        <v>35</v>
      </c>
      <c r="E41" s="209">
        <v>783999</v>
      </c>
      <c r="F41" s="212">
        <f t="shared" si="0"/>
        <v>760479.03</v>
      </c>
      <c r="G41" s="206">
        <f t="shared" si="1"/>
        <v>736959.05999999994</v>
      </c>
      <c r="H41" s="61">
        <v>337.45</v>
      </c>
      <c r="I41" s="61">
        <v>307.85000000000002</v>
      </c>
      <c r="J41" s="61">
        <v>29.6</v>
      </c>
      <c r="K41" s="61" t="s">
        <v>2456</v>
      </c>
    </row>
    <row r="42" spans="1:11">
      <c r="A42" s="61">
        <v>39</v>
      </c>
      <c r="B42" s="203" t="s">
        <v>2396</v>
      </c>
      <c r="C42" s="61" t="s">
        <v>7</v>
      </c>
      <c r="D42" s="61" t="s">
        <v>35</v>
      </c>
      <c r="E42" s="209">
        <v>778999</v>
      </c>
      <c r="F42" s="212">
        <f t="shared" si="0"/>
        <v>755629.03</v>
      </c>
      <c r="G42" s="206">
        <f t="shared" si="1"/>
        <v>732259.05999999994</v>
      </c>
      <c r="H42" s="61">
        <v>337.45</v>
      </c>
      <c r="I42" s="61">
        <v>307.85000000000002</v>
      </c>
      <c r="J42" s="61">
        <v>29.6</v>
      </c>
      <c r="K42" s="61" t="s">
        <v>2456</v>
      </c>
    </row>
    <row r="43" spans="1:11">
      <c r="A43" s="61">
        <v>40</v>
      </c>
      <c r="B43" s="203" t="s">
        <v>2397</v>
      </c>
      <c r="C43" s="61" t="s">
        <v>4459</v>
      </c>
      <c r="D43" s="61" t="s">
        <v>35</v>
      </c>
      <c r="E43" s="209">
        <v>778999</v>
      </c>
      <c r="F43" s="212">
        <f t="shared" si="0"/>
        <v>755629.03</v>
      </c>
      <c r="G43" s="206">
        <f t="shared" si="1"/>
        <v>732259.05999999994</v>
      </c>
      <c r="H43" s="61">
        <v>338.2</v>
      </c>
      <c r="I43" s="61">
        <v>308.49</v>
      </c>
      <c r="J43" s="61">
        <v>29.71</v>
      </c>
      <c r="K43" s="61" t="s">
        <v>2457</v>
      </c>
    </row>
    <row r="44" spans="1:11">
      <c r="A44" s="61">
        <v>41</v>
      </c>
      <c r="B44" s="203" t="s">
        <v>2398</v>
      </c>
      <c r="C44" s="61" t="s">
        <v>8</v>
      </c>
      <c r="D44" s="61" t="s">
        <v>35</v>
      </c>
      <c r="E44" s="209">
        <v>777999</v>
      </c>
      <c r="F44" s="212">
        <f t="shared" si="0"/>
        <v>754659.03</v>
      </c>
      <c r="G44" s="206">
        <f t="shared" si="1"/>
        <v>731319.05999999994</v>
      </c>
      <c r="H44" s="61">
        <v>337.45</v>
      </c>
      <c r="I44" s="61">
        <v>307.74</v>
      </c>
      <c r="J44" s="61">
        <v>29.71</v>
      </c>
      <c r="K44" s="61" t="s">
        <v>2456</v>
      </c>
    </row>
    <row r="45" spans="1:11">
      <c r="A45" s="61">
        <v>42</v>
      </c>
      <c r="B45" s="203" t="s">
        <v>2399</v>
      </c>
      <c r="C45" s="61" t="s">
        <v>9</v>
      </c>
      <c r="D45" s="61" t="s">
        <v>35</v>
      </c>
      <c r="E45" s="209">
        <v>776999</v>
      </c>
      <c r="F45" s="212">
        <f t="shared" si="0"/>
        <v>753689.03</v>
      </c>
      <c r="G45" s="206">
        <f t="shared" si="1"/>
        <v>730379.05999999994</v>
      </c>
      <c r="H45" s="61">
        <v>337.45</v>
      </c>
      <c r="I45" s="61">
        <v>307.85000000000002</v>
      </c>
      <c r="J45" s="61">
        <v>29.6</v>
      </c>
      <c r="K45" s="61" t="s">
        <v>2456</v>
      </c>
    </row>
    <row r="46" spans="1:11">
      <c r="A46" s="61">
        <v>43</v>
      </c>
      <c r="B46" s="203" t="s">
        <v>2400</v>
      </c>
      <c r="C46" s="61" t="s">
        <v>5</v>
      </c>
      <c r="D46" s="61" t="s">
        <v>35</v>
      </c>
      <c r="E46" s="209">
        <v>777999</v>
      </c>
      <c r="F46" s="212">
        <f t="shared" si="0"/>
        <v>754659.03</v>
      </c>
      <c r="G46" s="206">
        <f t="shared" si="1"/>
        <v>731319.05999999994</v>
      </c>
      <c r="H46" s="61">
        <v>338.2</v>
      </c>
      <c r="I46" s="61">
        <v>308.49</v>
      </c>
      <c r="J46" s="61">
        <v>29.71</v>
      </c>
      <c r="K46" s="61" t="s">
        <v>2457</v>
      </c>
    </row>
    <row r="47" spans="1:11">
      <c r="A47" s="61">
        <v>44</v>
      </c>
      <c r="B47" s="203" t="s">
        <v>2401</v>
      </c>
      <c r="C47" s="61" t="s">
        <v>5</v>
      </c>
      <c r="D47" s="61" t="s">
        <v>35</v>
      </c>
      <c r="E47" s="209">
        <v>777999</v>
      </c>
      <c r="F47" s="212">
        <f t="shared" si="0"/>
        <v>754659.03</v>
      </c>
      <c r="G47" s="206">
        <f t="shared" si="1"/>
        <v>731319.05999999994</v>
      </c>
      <c r="H47" s="61">
        <v>338.2</v>
      </c>
      <c r="I47" s="61">
        <v>308.49</v>
      </c>
      <c r="J47" s="61">
        <v>29.71</v>
      </c>
      <c r="K47" s="61" t="s">
        <v>2457</v>
      </c>
    </row>
    <row r="48" spans="1:11">
      <c r="A48" s="61">
        <v>45</v>
      </c>
      <c r="B48" s="203" t="s">
        <v>2402</v>
      </c>
      <c r="C48" s="61" t="s">
        <v>5</v>
      </c>
      <c r="D48" s="61" t="s">
        <v>35</v>
      </c>
      <c r="E48" s="209">
        <v>783999</v>
      </c>
      <c r="F48" s="212">
        <f t="shared" si="0"/>
        <v>760479.03</v>
      </c>
      <c r="G48" s="206">
        <f t="shared" si="1"/>
        <v>736959.05999999994</v>
      </c>
      <c r="H48" s="61">
        <v>337.45</v>
      </c>
      <c r="I48" s="61">
        <v>307.74</v>
      </c>
      <c r="J48" s="61">
        <v>29.71</v>
      </c>
      <c r="K48" s="61" t="s">
        <v>2456</v>
      </c>
    </row>
    <row r="49" spans="1:11">
      <c r="A49" s="61">
        <v>46</v>
      </c>
      <c r="B49" s="203" t="s">
        <v>2403</v>
      </c>
      <c r="C49" s="61" t="s">
        <v>4</v>
      </c>
      <c r="D49" s="61" t="s">
        <v>35</v>
      </c>
      <c r="E49" s="209">
        <v>776999</v>
      </c>
      <c r="F49" s="212">
        <f t="shared" si="0"/>
        <v>753689.03</v>
      </c>
      <c r="G49" s="206">
        <f t="shared" si="1"/>
        <v>730379.05999999994</v>
      </c>
      <c r="H49" s="61">
        <v>338.2</v>
      </c>
      <c r="I49" s="61">
        <v>308.49</v>
      </c>
      <c r="J49" s="61">
        <v>29.71</v>
      </c>
      <c r="K49" s="61" t="s">
        <v>2457</v>
      </c>
    </row>
    <row r="50" spans="1:11">
      <c r="A50" s="61">
        <v>47</v>
      </c>
      <c r="B50" s="203" t="s">
        <v>2404</v>
      </c>
      <c r="C50" s="61" t="s">
        <v>4</v>
      </c>
      <c r="D50" s="61" t="s">
        <v>35</v>
      </c>
      <c r="E50" s="209">
        <v>776999</v>
      </c>
      <c r="F50" s="212">
        <f t="shared" si="0"/>
        <v>753689.03</v>
      </c>
      <c r="G50" s="206">
        <f t="shared" si="1"/>
        <v>730379.05999999994</v>
      </c>
      <c r="H50" s="61">
        <v>338.2</v>
      </c>
      <c r="I50" s="61">
        <v>308.49</v>
      </c>
      <c r="J50" s="61">
        <v>29.71</v>
      </c>
      <c r="K50" s="61" t="s">
        <v>2457</v>
      </c>
    </row>
    <row r="51" spans="1:11">
      <c r="A51" s="61">
        <v>48</v>
      </c>
      <c r="B51" s="203" t="s">
        <v>2405</v>
      </c>
      <c r="C51" s="61" t="s">
        <v>12</v>
      </c>
      <c r="D51" s="61" t="s">
        <v>35</v>
      </c>
      <c r="E51" s="209">
        <v>780999</v>
      </c>
      <c r="F51" s="212">
        <f t="shared" si="0"/>
        <v>757569.03</v>
      </c>
      <c r="G51" s="206">
        <f t="shared" si="1"/>
        <v>734139.05999999994</v>
      </c>
      <c r="H51" s="61">
        <v>338.2</v>
      </c>
      <c r="I51" s="61">
        <v>308.49</v>
      </c>
      <c r="J51" s="61">
        <v>29.71</v>
      </c>
      <c r="K51" s="61" t="s">
        <v>2457</v>
      </c>
    </row>
    <row r="52" spans="1:11">
      <c r="A52" s="61">
        <v>49</v>
      </c>
      <c r="B52" s="203" t="s">
        <v>2406</v>
      </c>
      <c r="C52" s="61" t="s">
        <v>12</v>
      </c>
      <c r="D52" s="61" t="s">
        <v>35</v>
      </c>
      <c r="E52" s="209">
        <v>780999</v>
      </c>
      <c r="F52" s="212">
        <f t="shared" si="0"/>
        <v>757569.03</v>
      </c>
      <c r="G52" s="206">
        <f t="shared" si="1"/>
        <v>734139.05999999994</v>
      </c>
      <c r="H52" s="61">
        <v>338.2</v>
      </c>
      <c r="I52" s="61">
        <v>308.49</v>
      </c>
      <c r="J52" s="61">
        <v>29.71</v>
      </c>
      <c r="K52" s="61" t="s">
        <v>2457</v>
      </c>
    </row>
    <row r="53" spans="1:11">
      <c r="A53" s="61">
        <v>50</v>
      </c>
      <c r="B53" s="203" t="s">
        <v>2407</v>
      </c>
      <c r="C53" s="61" t="s">
        <v>4458</v>
      </c>
      <c r="D53" s="61" t="s">
        <v>35</v>
      </c>
      <c r="E53" s="209">
        <v>775999</v>
      </c>
      <c r="F53" s="212">
        <f t="shared" si="0"/>
        <v>752719.03</v>
      </c>
      <c r="G53" s="206">
        <f t="shared" si="1"/>
        <v>729439.05999999994</v>
      </c>
      <c r="H53" s="61">
        <v>338.2</v>
      </c>
      <c r="I53" s="61">
        <v>308.49</v>
      </c>
      <c r="J53" s="61">
        <v>29.71</v>
      </c>
      <c r="K53" s="61" t="s">
        <v>2457</v>
      </c>
    </row>
    <row r="54" spans="1:11">
      <c r="A54" s="61">
        <v>51</v>
      </c>
      <c r="B54" s="203" t="s">
        <v>2408</v>
      </c>
      <c r="C54" s="61" t="s">
        <v>4458</v>
      </c>
      <c r="D54" s="61" t="s">
        <v>35</v>
      </c>
      <c r="E54" s="209">
        <v>775999</v>
      </c>
      <c r="F54" s="212">
        <f t="shared" si="0"/>
        <v>752719.03</v>
      </c>
      <c r="G54" s="206">
        <f t="shared" si="1"/>
        <v>729439.05999999994</v>
      </c>
      <c r="H54" s="61">
        <v>338.2</v>
      </c>
      <c r="I54" s="61">
        <v>308.49</v>
      </c>
      <c r="J54" s="61">
        <v>29.71</v>
      </c>
      <c r="K54" s="61" t="s">
        <v>2457</v>
      </c>
    </row>
    <row r="55" spans="1:11">
      <c r="A55" s="61">
        <v>52</v>
      </c>
      <c r="B55" s="203" t="s">
        <v>2409</v>
      </c>
      <c r="C55" s="61" t="s">
        <v>12</v>
      </c>
      <c r="D55" s="61" t="s">
        <v>35</v>
      </c>
      <c r="E55" s="209">
        <v>776999</v>
      </c>
      <c r="F55" s="212">
        <f t="shared" si="0"/>
        <v>753689.03</v>
      </c>
      <c r="G55" s="206">
        <f t="shared" si="1"/>
        <v>730379.05999999994</v>
      </c>
      <c r="H55" s="61">
        <v>336.26</v>
      </c>
      <c r="I55" s="61">
        <v>306.56</v>
      </c>
      <c r="J55" s="61">
        <v>29.71</v>
      </c>
      <c r="K55" s="61" t="s">
        <v>2457</v>
      </c>
    </row>
    <row r="56" spans="1:11">
      <c r="A56" s="61">
        <v>53</v>
      </c>
      <c r="B56" s="203" t="s">
        <v>4617</v>
      </c>
      <c r="C56" s="61" t="s">
        <v>4461</v>
      </c>
      <c r="D56" s="61" t="s">
        <v>35</v>
      </c>
      <c r="E56" s="209">
        <v>779999</v>
      </c>
      <c r="F56" s="212">
        <f t="shared" si="0"/>
        <v>756599.03</v>
      </c>
      <c r="G56" s="206">
        <f t="shared" si="1"/>
        <v>733199.05999999994</v>
      </c>
      <c r="H56" s="61">
        <v>336.26</v>
      </c>
      <c r="I56" s="61">
        <v>306.56</v>
      </c>
      <c r="J56" s="61">
        <v>29.71</v>
      </c>
      <c r="K56" s="61" t="s">
        <v>2457</v>
      </c>
    </row>
    <row r="57" spans="1:11">
      <c r="A57" s="61">
        <v>54</v>
      </c>
      <c r="B57" s="203" t="s">
        <v>2410</v>
      </c>
      <c r="C57" s="61" t="s">
        <v>32</v>
      </c>
      <c r="D57" s="61" t="s">
        <v>35</v>
      </c>
      <c r="E57" s="209">
        <v>779999</v>
      </c>
      <c r="F57" s="212">
        <f t="shared" si="0"/>
        <v>756599.03</v>
      </c>
      <c r="G57" s="206">
        <f t="shared" si="1"/>
        <v>733199.05999999994</v>
      </c>
      <c r="H57" s="61">
        <v>338.2</v>
      </c>
      <c r="I57" s="61">
        <v>308.49</v>
      </c>
      <c r="J57" s="61">
        <v>29.71</v>
      </c>
      <c r="K57" s="61" t="s">
        <v>2457</v>
      </c>
    </row>
    <row r="58" spans="1:11">
      <c r="A58" s="61">
        <v>55</v>
      </c>
      <c r="B58" s="203" t="s">
        <v>2411</v>
      </c>
      <c r="C58" s="61" t="s">
        <v>7</v>
      </c>
      <c r="D58" s="61" t="s">
        <v>35</v>
      </c>
      <c r="E58" s="209">
        <v>772999</v>
      </c>
      <c r="F58" s="212">
        <f t="shared" si="0"/>
        <v>749809.03</v>
      </c>
      <c r="G58" s="206">
        <f t="shared" si="1"/>
        <v>726619.05999999994</v>
      </c>
      <c r="H58" s="61">
        <v>338.2</v>
      </c>
      <c r="I58" s="61">
        <v>308.49</v>
      </c>
      <c r="J58" s="61">
        <v>29.71</v>
      </c>
      <c r="K58" s="61" t="s">
        <v>2457</v>
      </c>
    </row>
    <row r="59" spans="1:11">
      <c r="A59" s="61">
        <v>56</v>
      </c>
      <c r="B59" s="203" t="s">
        <v>2412</v>
      </c>
      <c r="C59" s="61" t="s">
        <v>7</v>
      </c>
      <c r="D59" s="61" t="s">
        <v>35</v>
      </c>
      <c r="E59" s="209">
        <v>772999</v>
      </c>
      <c r="F59" s="212">
        <f t="shared" si="0"/>
        <v>749809.03</v>
      </c>
      <c r="G59" s="206">
        <f t="shared" si="1"/>
        <v>726619.05999999994</v>
      </c>
      <c r="H59" s="61">
        <v>338.2</v>
      </c>
      <c r="I59" s="61">
        <v>308.49</v>
      </c>
      <c r="J59" s="61">
        <v>29.71</v>
      </c>
      <c r="K59" s="61" t="s">
        <v>2457</v>
      </c>
    </row>
    <row r="60" spans="1:11">
      <c r="A60" s="61">
        <v>57</v>
      </c>
      <c r="B60" s="203" t="s">
        <v>2413</v>
      </c>
      <c r="C60" s="61" t="s">
        <v>4459</v>
      </c>
      <c r="D60" s="61" t="s">
        <v>35</v>
      </c>
      <c r="E60" s="209">
        <v>778999</v>
      </c>
      <c r="F60" s="212">
        <f t="shared" si="0"/>
        <v>755629.03</v>
      </c>
      <c r="G60" s="206">
        <f t="shared" si="1"/>
        <v>732259.05999999994</v>
      </c>
      <c r="H60" s="61">
        <v>338.2</v>
      </c>
      <c r="I60" s="61">
        <v>308.49</v>
      </c>
      <c r="J60" s="61">
        <v>29.71</v>
      </c>
      <c r="K60" s="61" t="s">
        <v>2457</v>
      </c>
    </row>
    <row r="61" spans="1:11">
      <c r="A61" s="61">
        <v>58</v>
      </c>
      <c r="B61" s="203" t="s">
        <v>2414</v>
      </c>
      <c r="C61" s="61" t="s">
        <v>4459</v>
      </c>
      <c r="D61" s="61" t="s">
        <v>35</v>
      </c>
      <c r="E61" s="209">
        <v>778999</v>
      </c>
      <c r="F61" s="212">
        <f t="shared" si="0"/>
        <v>755629.03</v>
      </c>
      <c r="G61" s="206">
        <f t="shared" si="1"/>
        <v>732259.05999999994</v>
      </c>
      <c r="H61" s="61">
        <v>338.2</v>
      </c>
      <c r="I61" s="61">
        <v>308.49</v>
      </c>
      <c r="J61" s="61">
        <v>29.71</v>
      </c>
      <c r="K61" s="61" t="s">
        <v>2457</v>
      </c>
    </row>
    <row r="62" spans="1:11">
      <c r="A62" s="61">
        <v>59</v>
      </c>
      <c r="B62" s="203" t="s">
        <v>2415</v>
      </c>
      <c r="C62" s="61" t="s">
        <v>7</v>
      </c>
      <c r="D62" s="61" t="s">
        <v>35</v>
      </c>
      <c r="E62" s="209">
        <v>778999</v>
      </c>
      <c r="F62" s="212">
        <f t="shared" si="0"/>
        <v>755629.03</v>
      </c>
      <c r="G62" s="206">
        <f t="shared" si="1"/>
        <v>732259.05999999994</v>
      </c>
      <c r="H62" s="61">
        <v>337.45</v>
      </c>
      <c r="I62" s="61">
        <v>307.74</v>
      </c>
      <c r="J62" s="61">
        <v>29.71</v>
      </c>
      <c r="K62" s="61" t="s">
        <v>2456</v>
      </c>
    </row>
    <row r="63" spans="1:11">
      <c r="A63" s="61">
        <v>60</v>
      </c>
      <c r="B63" s="203" t="s">
        <v>2416</v>
      </c>
      <c r="C63" s="61" t="s">
        <v>4459</v>
      </c>
      <c r="D63" s="61" t="s">
        <v>35</v>
      </c>
      <c r="E63" s="209">
        <v>773999</v>
      </c>
      <c r="F63" s="212">
        <f t="shared" si="0"/>
        <v>750779.03</v>
      </c>
      <c r="G63" s="206">
        <f t="shared" si="1"/>
        <v>727559.05999999994</v>
      </c>
      <c r="H63" s="61">
        <v>336.26</v>
      </c>
      <c r="I63" s="61">
        <v>306.56</v>
      </c>
      <c r="J63" s="61">
        <v>29.71</v>
      </c>
      <c r="K63" s="61" t="s">
        <v>2457</v>
      </c>
    </row>
    <row r="64" spans="1:11">
      <c r="A64" s="61">
        <v>61</v>
      </c>
      <c r="B64" s="203" t="s">
        <v>2417</v>
      </c>
      <c r="C64" s="61" t="s">
        <v>8</v>
      </c>
      <c r="D64" s="61" t="s">
        <v>35</v>
      </c>
      <c r="E64" s="209">
        <v>771999</v>
      </c>
      <c r="F64" s="212">
        <f t="shared" si="0"/>
        <v>748839.03</v>
      </c>
      <c r="G64" s="206">
        <f t="shared" si="1"/>
        <v>725679.05999999994</v>
      </c>
      <c r="H64" s="61">
        <v>338.2</v>
      </c>
      <c r="I64" s="61">
        <v>308.49</v>
      </c>
      <c r="J64" s="61">
        <v>29.71</v>
      </c>
      <c r="K64" s="61" t="s">
        <v>2457</v>
      </c>
    </row>
    <row r="65" spans="1:11">
      <c r="A65" s="61">
        <v>62</v>
      </c>
      <c r="B65" s="203" t="s">
        <v>2418</v>
      </c>
      <c r="C65" s="61" t="s">
        <v>8</v>
      </c>
      <c r="D65" s="61" t="s">
        <v>35</v>
      </c>
      <c r="E65" s="209">
        <v>771999</v>
      </c>
      <c r="F65" s="212">
        <f t="shared" si="0"/>
        <v>748839.03</v>
      </c>
      <c r="G65" s="206">
        <f t="shared" si="1"/>
        <v>725679.05999999994</v>
      </c>
      <c r="H65" s="61">
        <v>338.2</v>
      </c>
      <c r="I65" s="61">
        <v>308.49</v>
      </c>
      <c r="J65" s="61">
        <v>29.71</v>
      </c>
      <c r="K65" s="61" t="s">
        <v>2457</v>
      </c>
    </row>
    <row r="66" spans="1:11">
      <c r="A66" s="61">
        <v>63</v>
      </c>
      <c r="B66" s="203" t="s">
        <v>2419</v>
      </c>
      <c r="C66" s="61" t="s">
        <v>8</v>
      </c>
      <c r="D66" s="61" t="s">
        <v>35</v>
      </c>
      <c r="E66" s="209">
        <v>777999</v>
      </c>
      <c r="F66" s="212">
        <f t="shared" si="0"/>
        <v>754659.03</v>
      </c>
      <c r="G66" s="206">
        <f t="shared" si="1"/>
        <v>731319.05999999994</v>
      </c>
      <c r="H66" s="61">
        <v>337.45</v>
      </c>
      <c r="I66" s="61">
        <v>307.85000000000002</v>
      </c>
      <c r="J66" s="61">
        <v>29.6</v>
      </c>
      <c r="K66" s="61" t="s">
        <v>2456</v>
      </c>
    </row>
    <row r="67" spans="1:11">
      <c r="A67" s="61">
        <v>64</v>
      </c>
      <c r="B67" s="203" t="s">
        <v>2420</v>
      </c>
      <c r="C67" s="61" t="s">
        <v>5</v>
      </c>
      <c r="D67" s="61" t="s">
        <v>35</v>
      </c>
      <c r="E67" s="209">
        <v>777999</v>
      </c>
      <c r="F67" s="212">
        <f t="shared" ref="F67:F101" si="2">E67*0.97</f>
        <v>754659.03</v>
      </c>
      <c r="G67" s="206">
        <f t="shared" ref="G67:G101" si="3">E67*0.94</f>
        <v>731319.05999999994</v>
      </c>
      <c r="H67" s="61">
        <v>338.2</v>
      </c>
      <c r="I67" s="61">
        <v>308.49</v>
      </c>
      <c r="J67" s="61">
        <v>29.71</v>
      </c>
      <c r="K67" s="61" t="s">
        <v>2457</v>
      </c>
    </row>
    <row r="68" spans="1:11">
      <c r="A68" s="61">
        <v>65</v>
      </c>
      <c r="B68" s="203" t="s">
        <v>2421</v>
      </c>
      <c r="C68" s="61" t="s">
        <v>5</v>
      </c>
      <c r="D68" s="61" t="s">
        <v>35</v>
      </c>
      <c r="E68" s="209">
        <v>777999</v>
      </c>
      <c r="F68" s="212">
        <f t="shared" si="2"/>
        <v>754659.03</v>
      </c>
      <c r="G68" s="206">
        <f t="shared" si="3"/>
        <v>731319.05999999994</v>
      </c>
      <c r="H68" s="61">
        <v>338.2</v>
      </c>
      <c r="I68" s="61">
        <v>308.49</v>
      </c>
      <c r="J68" s="61">
        <v>29.71</v>
      </c>
      <c r="K68" s="61" t="s">
        <v>2457</v>
      </c>
    </row>
    <row r="69" spans="1:11">
      <c r="A69" s="61">
        <v>66</v>
      </c>
      <c r="B69" s="203" t="s">
        <v>2422</v>
      </c>
      <c r="C69" s="61" t="s">
        <v>4</v>
      </c>
      <c r="D69" s="61" t="s">
        <v>35</v>
      </c>
      <c r="E69" s="209">
        <v>776999</v>
      </c>
      <c r="F69" s="212">
        <f t="shared" si="2"/>
        <v>753689.03</v>
      </c>
      <c r="G69" s="206">
        <f t="shared" si="3"/>
        <v>730379.05999999994</v>
      </c>
      <c r="H69" s="61">
        <v>338.2</v>
      </c>
      <c r="I69" s="61">
        <v>308.49</v>
      </c>
      <c r="J69" s="61">
        <v>29.71</v>
      </c>
      <c r="K69" s="61" t="s">
        <v>2457</v>
      </c>
    </row>
    <row r="70" spans="1:11">
      <c r="A70" s="61">
        <v>67</v>
      </c>
      <c r="B70" s="203" t="s">
        <v>2423</v>
      </c>
      <c r="C70" s="61" t="s">
        <v>4</v>
      </c>
      <c r="D70" s="61" t="s">
        <v>35</v>
      </c>
      <c r="E70" s="209">
        <v>776999</v>
      </c>
      <c r="F70" s="212">
        <f t="shared" si="2"/>
        <v>753689.03</v>
      </c>
      <c r="G70" s="206">
        <f t="shared" si="3"/>
        <v>730379.05999999994</v>
      </c>
      <c r="H70" s="61">
        <v>338.2</v>
      </c>
      <c r="I70" s="61">
        <v>308.49</v>
      </c>
      <c r="J70" s="61">
        <v>29.71</v>
      </c>
      <c r="K70" s="61" t="s">
        <v>2457</v>
      </c>
    </row>
    <row r="71" spans="1:11">
      <c r="A71" s="61">
        <v>68</v>
      </c>
      <c r="B71" s="203" t="s">
        <v>2424</v>
      </c>
      <c r="C71" s="61" t="s">
        <v>9</v>
      </c>
      <c r="D71" s="61" t="s">
        <v>35</v>
      </c>
      <c r="E71" s="209">
        <v>770999</v>
      </c>
      <c r="F71" s="212">
        <f t="shared" si="2"/>
        <v>747869.03</v>
      </c>
      <c r="G71" s="206">
        <f t="shared" si="3"/>
        <v>724739.05999999994</v>
      </c>
      <c r="H71" s="61">
        <v>338.2</v>
      </c>
      <c r="I71" s="61">
        <v>308.49</v>
      </c>
      <c r="J71" s="61">
        <v>29.71</v>
      </c>
      <c r="K71" s="61" t="s">
        <v>2457</v>
      </c>
    </row>
    <row r="72" spans="1:11">
      <c r="A72" s="61">
        <v>69</v>
      </c>
      <c r="B72" s="203" t="s">
        <v>2425</v>
      </c>
      <c r="C72" s="61" t="s">
        <v>9</v>
      </c>
      <c r="D72" s="61" t="s">
        <v>35</v>
      </c>
      <c r="E72" s="209">
        <v>770999</v>
      </c>
      <c r="F72" s="212">
        <f t="shared" si="2"/>
        <v>747869.03</v>
      </c>
      <c r="G72" s="206">
        <f t="shared" si="3"/>
        <v>724739.05999999994</v>
      </c>
      <c r="H72" s="61">
        <v>338.2</v>
      </c>
      <c r="I72" s="61">
        <v>308.49</v>
      </c>
      <c r="J72" s="61">
        <v>29.71</v>
      </c>
      <c r="K72" s="61" t="s">
        <v>2457</v>
      </c>
    </row>
    <row r="73" spans="1:11">
      <c r="A73" s="61">
        <v>70</v>
      </c>
      <c r="B73" s="203" t="s">
        <v>2426</v>
      </c>
      <c r="C73" s="61" t="s">
        <v>9</v>
      </c>
      <c r="D73" s="61" t="s">
        <v>35</v>
      </c>
      <c r="E73" s="209">
        <v>776999</v>
      </c>
      <c r="F73" s="212">
        <f t="shared" si="2"/>
        <v>753689.03</v>
      </c>
      <c r="G73" s="206">
        <f t="shared" si="3"/>
        <v>730379.05999999994</v>
      </c>
      <c r="H73" s="61">
        <v>337.45</v>
      </c>
      <c r="I73" s="61">
        <v>307.74</v>
      </c>
      <c r="J73" s="61">
        <v>29.71</v>
      </c>
      <c r="K73" s="61" t="s">
        <v>2456</v>
      </c>
    </row>
    <row r="74" spans="1:11">
      <c r="A74" s="61">
        <v>71</v>
      </c>
      <c r="B74" s="203" t="s">
        <v>2427</v>
      </c>
      <c r="C74" s="61" t="s">
        <v>3</v>
      </c>
      <c r="D74" s="61" t="s">
        <v>35</v>
      </c>
      <c r="E74" s="209">
        <v>775999</v>
      </c>
      <c r="F74" s="212">
        <f t="shared" si="2"/>
        <v>752719.03</v>
      </c>
      <c r="G74" s="206">
        <f t="shared" si="3"/>
        <v>729439.05999999994</v>
      </c>
      <c r="H74" s="61">
        <v>362.1</v>
      </c>
      <c r="I74" s="61">
        <v>308.49</v>
      </c>
      <c r="J74" s="61">
        <v>53.6</v>
      </c>
      <c r="K74" s="61" t="s">
        <v>2457</v>
      </c>
    </row>
    <row r="75" spans="1:11">
      <c r="A75" s="61">
        <v>72</v>
      </c>
      <c r="B75" s="203" t="s">
        <v>2428</v>
      </c>
      <c r="C75" s="61" t="s">
        <v>3</v>
      </c>
      <c r="D75" s="61" t="s">
        <v>35</v>
      </c>
      <c r="E75" s="209">
        <v>775999</v>
      </c>
      <c r="F75" s="212">
        <f t="shared" si="2"/>
        <v>752719.03</v>
      </c>
      <c r="G75" s="206">
        <f t="shared" si="3"/>
        <v>729439.05999999994</v>
      </c>
      <c r="H75" s="61">
        <v>362.1</v>
      </c>
      <c r="I75" s="61">
        <v>308.49</v>
      </c>
      <c r="J75" s="61">
        <v>53.6</v>
      </c>
      <c r="K75" s="61" t="s">
        <v>2457</v>
      </c>
    </row>
    <row r="76" spans="1:11">
      <c r="A76" s="61">
        <v>73</v>
      </c>
      <c r="B76" s="203" t="s">
        <v>2429</v>
      </c>
      <c r="C76" s="61" t="s">
        <v>3</v>
      </c>
      <c r="D76" s="61" t="s">
        <v>35</v>
      </c>
      <c r="E76" s="209">
        <v>775999</v>
      </c>
      <c r="F76" s="212">
        <f t="shared" si="2"/>
        <v>752719.03</v>
      </c>
      <c r="G76" s="206">
        <f t="shared" si="3"/>
        <v>729439.05999999994</v>
      </c>
      <c r="H76" s="61">
        <v>362.1</v>
      </c>
      <c r="I76" s="61">
        <v>308.49</v>
      </c>
      <c r="J76" s="61">
        <v>53.6</v>
      </c>
      <c r="K76" s="61" t="s">
        <v>2457</v>
      </c>
    </row>
    <row r="77" spans="1:11">
      <c r="A77" s="61">
        <v>74</v>
      </c>
      <c r="B77" s="203" t="s">
        <v>2430</v>
      </c>
      <c r="C77" s="61" t="s">
        <v>3</v>
      </c>
      <c r="D77" s="61" t="s">
        <v>35</v>
      </c>
      <c r="E77" s="209">
        <v>775999</v>
      </c>
      <c r="F77" s="212">
        <f t="shared" si="2"/>
        <v>752719.03</v>
      </c>
      <c r="G77" s="206">
        <f t="shared" si="3"/>
        <v>729439.05999999994</v>
      </c>
      <c r="H77" s="61">
        <v>362.1</v>
      </c>
      <c r="I77" s="61">
        <v>308.49</v>
      </c>
      <c r="J77" s="61">
        <v>53.6</v>
      </c>
      <c r="K77" s="61" t="s">
        <v>2457</v>
      </c>
    </row>
    <row r="78" spans="1:11">
      <c r="A78" s="61">
        <v>75</v>
      </c>
      <c r="B78" s="203" t="s">
        <v>2431</v>
      </c>
      <c r="C78" s="61" t="s">
        <v>3</v>
      </c>
      <c r="D78" s="61" t="s">
        <v>35</v>
      </c>
      <c r="E78" s="209">
        <v>775999</v>
      </c>
      <c r="F78" s="212">
        <f t="shared" si="2"/>
        <v>752719.03</v>
      </c>
      <c r="G78" s="206">
        <f t="shared" si="3"/>
        <v>729439.05999999994</v>
      </c>
      <c r="H78" s="61">
        <v>362.1</v>
      </c>
      <c r="I78" s="61">
        <v>308.49</v>
      </c>
      <c r="J78" s="61">
        <v>53.6</v>
      </c>
      <c r="K78" s="61" t="s">
        <v>2457</v>
      </c>
    </row>
    <row r="79" spans="1:11">
      <c r="A79" s="61">
        <v>76</v>
      </c>
      <c r="B79" s="203" t="s">
        <v>4509</v>
      </c>
      <c r="C79" s="61" t="s">
        <v>4</v>
      </c>
      <c r="D79" s="61" t="s">
        <v>35</v>
      </c>
      <c r="E79" s="209">
        <v>771999</v>
      </c>
      <c r="F79" s="212">
        <f t="shared" si="2"/>
        <v>748839.03</v>
      </c>
      <c r="G79" s="206">
        <f t="shared" si="3"/>
        <v>725679.05999999994</v>
      </c>
      <c r="H79" s="61">
        <v>336.26</v>
      </c>
      <c r="I79" s="61">
        <v>306.56</v>
      </c>
      <c r="J79" s="61">
        <v>29.71</v>
      </c>
      <c r="K79" s="61" t="s">
        <v>2457</v>
      </c>
    </row>
    <row r="80" spans="1:11">
      <c r="A80" s="61">
        <v>77</v>
      </c>
      <c r="B80" s="203" t="s">
        <v>2432</v>
      </c>
      <c r="C80" s="61" t="s">
        <v>4458</v>
      </c>
      <c r="D80" s="61" t="s">
        <v>35</v>
      </c>
      <c r="E80" s="209">
        <v>775999</v>
      </c>
      <c r="F80" s="212">
        <f t="shared" si="2"/>
        <v>752719.03</v>
      </c>
      <c r="G80" s="206">
        <f t="shared" si="3"/>
        <v>729439.05999999994</v>
      </c>
      <c r="H80" s="61">
        <v>338.2</v>
      </c>
      <c r="I80" s="61">
        <v>308.49</v>
      </c>
      <c r="J80" s="61">
        <v>29.71</v>
      </c>
      <c r="K80" s="61" t="s">
        <v>2457</v>
      </c>
    </row>
    <row r="81" spans="1:11">
      <c r="A81" s="61">
        <v>78</v>
      </c>
      <c r="B81" s="203" t="s">
        <v>2433</v>
      </c>
      <c r="C81" s="61" t="s">
        <v>4458</v>
      </c>
      <c r="D81" s="61" t="s">
        <v>35</v>
      </c>
      <c r="E81" s="209">
        <v>775999</v>
      </c>
      <c r="F81" s="212">
        <f t="shared" si="2"/>
        <v>752719.03</v>
      </c>
      <c r="G81" s="206">
        <f t="shared" si="3"/>
        <v>729439.05999999994</v>
      </c>
      <c r="H81" s="61">
        <v>338.2</v>
      </c>
      <c r="I81" s="61">
        <v>308.49</v>
      </c>
      <c r="J81" s="61">
        <v>29.71</v>
      </c>
      <c r="K81" s="61" t="s">
        <v>2457</v>
      </c>
    </row>
    <row r="82" spans="1:11">
      <c r="A82" s="61">
        <v>79</v>
      </c>
      <c r="B82" s="203" t="s">
        <v>2434</v>
      </c>
      <c r="C82" s="61" t="s">
        <v>10</v>
      </c>
      <c r="D82" s="61" t="s">
        <v>35</v>
      </c>
      <c r="E82" s="209">
        <v>775999</v>
      </c>
      <c r="F82" s="212">
        <f t="shared" si="2"/>
        <v>752719.03</v>
      </c>
      <c r="G82" s="206">
        <f t="shared" si="3"/>
        <v>729439.05999999994</v>
      </c>
      <c r="H82" s="61">
        <v>337.45</v>
      </c>
      <c r="I82" s="61">
        <v>307.74</v>
      </c>
      <c r="J82" s="61">
        <v>29.71</v>
      </c>
      <c r="K82" s="61" t="s">
        <v>2456</v>
      </c>
    </row>
    <row r="83" spans="1:11">
      <c r="A83" s="61">
        <v>80</v>
      </c>
      <c r="B83" s="203" t="s">
        <v>2435</v>
      </c>
      <c r="C83" s="61" t="s">
        <v>10</v>
      </c>
      <c r="D83" s="61" t="s">
        <v>35</v>
      </c>
      <c r="E83" s="209">
        <v>775999</v>
      </c>
      <c r="F83" s="212">
        <f t="shared" si="2"/>
        <v>752719.03</v>
      </c>
      <c r="G83" s="206">
        <f t="shared" si="3"/>
        <v>729439.05999999994</v>
      </c>
      <c r="H83" s="61">
        <v>337.45</v>
      </c>
      <c r="I83" s="61">
        <v>307.85000000000002</v>
      </c>
      <c r="J83" s="61">
        <v>29.6</v>
      </c>
      <c r="K83" s="61" t="s">
        <v>2456</v>
      </c>
    </row>
    <row r="84" spans="1:11">
      <c r="A84" s="61">
        <v>81</v>
      </c>
      <c r="B84" s="203" t="s">
        <v>2436</v>
      </c>
      <c r="C84" s="61" t="s">
        <v>5</v>
      </c>
      <c r="D84" s="61" t="s">
        <v>35</v>
      </c>
      <c r="E84" s="209">
        <v>772999</v>
      </c>
      <c r="F84" s="212">
        <f t="shared" si="2"/>
        <v>749809.03</v>
      </c>
      <c r="G84" s="206">
        <f t="shared" si="3"/>
        <v>726619.05999999994</v>
      </c>
      <c r="H84" s="61">
        <v>336.26</v>
      </c>
      <c r="I84" s="61">
        <v>306.56</v>
      </c>
      <c r="J84" s="61">
        <v>29.71</v>
      </c>
      <c r="K84" s="61" t="s">
        <v>2457</v>
      </c>
    </row>
    <row r="85" spans="1:11">
      <c r="A85" s="61">
        <v>82</v>
      </c>
      <c r="B85" s="203" t="s">
        <v>2437</v>
      </c>
      <c r="C85" s="61" t="s">
        <v>7</v>
      </c>
      <c r="D85" s="61" t="s">
        <v>35</v>
      </c>
      <c r="E85" s="209">
        <v>772999</v>
      </c>
      <c r="F85" s="212">
        <f t="shared" si="2"/>
        <v>749809.03</v>
      </c>
      <c r="G85" s="206">
        <f t="shared" si="3"/>
        <v>726619.05999999994</v>
      </c>
      <c r="H85" s="61">
        <v>338.2</v>
      </c>
      <c r="I85" s="61">
        <v>308.49</v>
      </c>
      <c r="J85" s="61">
        <v>29.71</v>
      </c>
      <c r="K85" s="61" t="s">
        <v>2457</v>
      </c>
    </row>
    <row r="86" spans="1:11">
      <c r="A86" s="61">
        <v>83</v>
      </c>
      <c r="B86" s="203" t="s">
        <v>2438</v>
      </c>
      <c r="C86" s="61" t="s">
        <v>7</v>
      </c>
      <c r="D86" s="61" t="s">
        <v>35</v>
      </c>
      <c r="E86" s="209">
        <v>772999</v>
      </c>
      <c r="F86" s="212">
        <f t="shared" si="2"/>
        <v>749809.03</v>
      </c>
      <c r="G86" s="206">
        <f t="shared" si="3"/>
        <v>726619.05999999994</v>
      </c>
      <c r="H86" s="61">
        <v>338.2</v>
      </c>
      <c r="I86" s="61">
        <v>308.49</v>
      </c>
      <c r="J86" s="61">
        <v>29.71</v>
      </c>
      <c r="K86" s="61" t="s">
        <v>2457</v>
      </c>
    </row>
    <row r="87" spans="1:11">
      <c r="A87" s="61">
        <v>84</v>
      </c>
      <c r="B87" s="203" t="s">
        <v>2439</v>
      </c>
      <c r="C87" s="61" t="s">
        <v>7</v>
      </c>
      <c r="D87" s="61" t="s">
        <v>35</v>
      </c>
      <c r="E87" s="209">
        <v>768999</v>
      </c>
      <c r="F87" s="212">
        <f t="shared" si="2"/>
        <v>745929.03</v>
      </c>
      <c r="G87" s="206">
        <f t="shared" si="3"/>
        <v>722859.05999999994</v>
      </c>
      <c r="H87" s="61">
        <v>336.26</v>
      </c>
      <c r="I87" s="61">
        <v>306.56</v>
      </c>
      <c r="J87" s="61">
        <v>29.71</v>
      </c>
      <c r="K87" s="61" t="s">
        <v>2457</v>
      </c>
    </row>
    <row r="88" spans="1:11">
      <c r="A88" s="61">
        <v>85</v>
      </c>
      <c r="B88" s="203" t="s">
        <v>2440</v>
      </c>
      <c r="C88" s="61" t="s">
        <v>8</v>
      </c>
      <c r="D88" s="61" t="s">
        <v>35</v>
      </c>
      <c r="E88" s="209">
        <v>771999</v>
      </c>
      <c r="F88" s="212">
        <f t="shared" si="2"/>
        <v>748839.03</v>
      </c>
      <c r="G88" s="206">
        <f t="shared" si="3"/>
        <v>725679.05999999994</v>
      </c>
      <c r="H88" s="61">
        <v>338.2</v>
      </c>
      <c r="I88" s="61">
        <v>308.49</v>
      </c>
      <c r="J88" s="61">
        <v>29.71</v>
      </c>
      <c r="K88" s="61" t="s">
        <v>2457</v>
      </c>
    </row>
    <row r="89" spans="1:11">
      <c r="A89" s="61">
        <v>86</v>
      </c>
      <c r="B89" s="203" t="s">
        <v>2441</v>
      </c>
      <c r="C89" s="61" t="s">
        <v>8</v>
      </c>
      <c r="D89" s="61" t="s">
        <v>35</v>
      </c>
      <c r="E89" s="209">
        <v>771999</v>
      </c>
      <c r="F89" s="212">
        <f t="shared" si="2"/>
        <v>748839.03</v>
      </c>
      <c r="G89" s="206">
        <f t="shared" si="3"/>
        <v>725679.05999999994</v>
      </c>
      <c r="H89" s="61">
        <v>338.2</v>
      </c>
      <c r="I89" s="61">
        <v>308.49</v>
      </c>
      <c r="J89" s="61">
        <v>29.71</v>
      </c>
      <c r="K89" s="61" t="s">
        <v>2457</v>
      </c>
    </row>
    <row r="90" spans="1:11">
      <c r="A90" s="61">
        <v>87</v>
      </c>
      <c r="B90" s="203" t="s">
        <v>2442</v>
      </c>
      <c r="C90" s="61" t="s">
        <v>3</v>
      </c>
      <c r="D90" s="61" t="s">
        <v>35</v>
      </c>
      <c r="E90" s="209">
        <v>771999</v>
      </c>
      <c r="F90" s="212">
        <f t="shared" si="2"/>
        <v>748839.03</v>
      </c>
      <c r="G90" s="206">
        <f t="shared" si="3"/>
        <v>725679.05999999994</v>
      </c>
      <c r="H90" s="61">
        <v>360.16</v>
      </c>
      <c r="I90" s="61">
        <v>306.56</v>
      </c>
      <c r="J90" s="61">
        <v>53.6</v>
      </c>
      <c r="K90" s="61" t="s">
        <v>2457</v>
      </c>
    </row>
    <row r="91" spans="1:11">
      <c r="A91" s="61">
        <v>88</v>
      </c>
      <c r="B91" s="203" t="s">
        <v>2443</v>
      </c>
      <c r="C91" s="61" t="s">
        <v>4458</v>
      </c>
      <c r="D91" s="61" t="s">
        <v>35</v>
      </c>
      <c r="E91" s="209">
        <v>770999</v>
      </c>
      <c r="F91" s="212">
        <f t="shared" si="2"/>
        <v>747869.03</v>
      </c>
      <c r="G91" s="206">
        <f t="shared" si="3"/>
        <v>724739.05999999994</v>
      </c>
      <c r="H91" s="61">
        <v>336.26</v>
      </c>
      <c r="I91" s="61">
        <v>306.56</v>
      </c>
      <c r="J91" s="61">
        <v>29.71</v>
      </c>
      <c r="K91" s="61" t="s">
        <v>2457</v>
      </c>
    </row>
    <row r="92" spans="1:11">
      <c r="A92" s="61">
        <v>89</v>
      </c>
      <c r="B92" s="203" t="s">
        <v>2444</v>
      </c>
      <c r="C92" s="61" t="s">
        <v>8</v>
      </c>
      <c r="D92" s="61" t="s">
        <v>35</v>
      </c>
      <c r="E92" s="209">
        <v>767999</v>
      </c>
      <c r="F92" s="212">
        <f t="shared" si="2"/>
        <v>744959.03</v>
      </c>
      <c r="G92" s="206">
        <f t="shared" si="3"/>
        <v>721919.05999999994</v>
      </c>
      <c r="H92" s="61">
        <v>336.26</v>
      </c>
      <c r="I92" s="61">
        <v>306.56</v>
      </c>
      <c r="J92" s="61">
        <v>29.71</v>
      </c>
      <c r="K92" s="61" t="s">
        <v>2457</v>
      </c>
    </row>
    <row r="93" spans="1:11">
      <c r="A93" s="61">
        <v>90</v>
      </c>
      <c r="B93" s="203" t="s">
        <v>2445</v>
      </c>
      <c r="C93" s="61" t="s">
        <v>9</v>
      </c>
      <c r="D93" s="61" t="s">
        <v>35</v>
      </c>
      <c r="E93" s="209">
        <v>770999</v>
      </c>
      <c r="F93" s="212">
        <f t="shared" si="2"/>
        <v>747869.03</v>
      </c>
      <c r="G93" s="206">
        <f t="shared" si="3"/>
        <v>724739.05999999994</v>
      </c>
      <c r="H93" s="61">
        <v>338.2</v>
      </c>
      <c r="I93" s="61">
        <v>308.49</v>
      </c>
      <c r="J93" s="61">
        <v>29.71</v>
      </c>
      <c r="K93" s="61" t="s">
        <v>2457</v>
      </c>
    </row>
    <row r="94" spans="1:11">
      <c r="A94" s="61">
        <v>91</v>
      </c>
      <c r="B94" s="203" t="s">
        <v>2446</v>
      </c>
      <c r="C94" s="61" t="s">
        <v>9</v>
      </c>
      <c r="D94" s="61" t="s">
        <v>35</v>
      </c>
      <c r="E94" s="209">
        <v>770999</v>
      </c>
      <c r="F94" s="212">
        <f t="shared" si="2"/>
        <v>747869.03</v>
      </c>
      <c r="G94" s="206">
        <f t="shared" si="3"/>
        <v>724739.05999999994</v>
      </c>
      <c r="H94" s="61">
        <v>338.2</v>
      </c>
      <c r="I94" s="61">
        <v>308.49</v>
      </c>
      <c r="J94" s="61">
        <v>29.71</v>
      </c>
      <c r="K94" s="61" t="s">
        <v>2457</v>
      </c>
    </row>
    <row r="95" spans="1:11">
      <c r="A95" s="61">
        <v>92</v>
      </c>
      <c r="B95" s="203" t="s">
        <v>2447</v>
      </c>
      <c r="C95" s="61" t="s">
        <v>10</v>
      </c>
      <c r="D95" s="61" t="s">
        <v>35</v>
      </c>
      <c r="E95" s="209">
        <v>769999</v>
      </c>
      <c r="F95" s="212">
        <f t="shared" si="2"/>
        <v>746899.03</v>
      </c>
      <c r="G95" s="206">
        <f t="shared" si="3"/>
        <v>723799.05999999994</v>
      </c>
      <c r="H95" s="61">
        <v>338.2</v>
      </c>
      <c r="I95" s="61">
        <v>308.49</v>
      </c>
      <c r="J95" s="61">
        <v>29.71</v>
      </c>
      <c r="K95" s="61" t="s">
        <v>2457</v>
      </c>
    </row>
    <row r="96" spans="1:11">
      <c r="A96" s="61">
        <v>93</v>
      </c>
      <c r="B96" s="203" t="s">
        <v>2448</v>
      </c>
      <c r="C96" s="61" t="s">
        <v>10</v>
      </c>
      <c r="D96" s="61" t="s">
        <v>35</v>
      </c>
      <c r="E96" s="209">
        <v>769999</v>
      </c>
      <c r="F96" s="212">
        <f t="shared" si="2"/>
        <v>746899.03</v>
      </c>
      <c r="G96" s="206">
        <f t="shared" si="3"/>
        <v>723799.05999999994</v>
      </c>
      <c r="H96" s="61">
        <v>338.2</v>
      </c>
      <c r="I96" s="61">
        <v>308.49</v>
      </c>
      <c r="J96" s="61">
        <v>29.71</v>
      </c>
      <c r="K96" s="61" t="s">
        <v>2457</v>
      </c>
    </row>
    <row r="97" spans="1:11">
      <c r="A97" s="61">
        <v>94</v>
      </c>
      <c r="B97" s="203" t="s">
        <v>2449</v>
      </c>
      <c r="C97" s="61" t="s">
        <v>10</v>
      </c>
      <c r="D97" s="61" t="s">
        <v>35</v>
      </c>
      <c r="E97" s="209">
        <v>769999</v>
      </c>
      <c r="F97" s="212">
        <f t="shared" si="2"/>
        <v>746899.03</v>
      </c>
      <c r="G97" s="206">
        <f t="shared" si="3"/>
        <v>723799.05999999994</v>
      </c>
      <c r="H97" s="61">
        <v>338.2</v>
      </c>
      <c r="I97" s="61">
        <v>308.49</v>
      </c>
      <c r="J97" s="61">
        <v>29.71</v>
      </c>
      <c r="K97" s="61" t="s">
        <v>2457</v>
      </c>
    </row>
    <row r="98" spans="1:11">
      <c r="A98" s="61">
        <v>95</v>
      </c>
      <c r="B98" s="203" t="s">
        <v>2450</v>
      </c>
      <c r="C98" s="61" t="s">
        <v>10</v>
      </c>
      <c r="D98" s="61" t="s">
        <v>35</v>
      </c>
      <c r="E98" s="209">
        <v>769999</v>
      </c>
      <c r="F98" s="212">
        <f t="shared" si="2"/>
        <v>746899.03</v>
      </c>
      <c r="G98" s="206">
        <f t="shared" si="3"/>
        <v>723799.05999999994</v>
      </c>
      <c r="H98" s="61">
        <v>338.2</v>
      </c>
      <c r="I98" s="61">
        <v>308.49</v>
      </c>
      <c r="J98" s="61">
        <v>29.71</v>
      </c>
      <c r="K98" s="61" t="s">
        <v>2457</v>
      </c>
    </row>
    <row r="99" spans="1:11">
      <c r="A99" s="61">
        <v>96</v>
      </c>
      <c r="B99" s="203" t="s">
        <v>2451</v>
      </c>
      <c r="C99" s="61" t="s">
        <v>7</v>
      </c>
      <c r="D99" s="61" t="s">
        <v>35</v>
      </c>
      <c r="E99" s="209">
        <v>768999</v>
      </c>
      <c r="F99" s="212">
        <f t="shared" si="2"/>
        <v>745929.03</v>
      </c>
      <c r="G99" s="206">
        <f t="shared" si="3"/>
        <v>722859.05999999994</v>
      </c>
      <c r="H99" s="61">
        <v>336.26</v>
      </c>
      <c r="I99" s="61">
        <v>306.56</v>
      </c>
      <c r="J99" s="61">
        <v>29.71</v>
      </c>
      <c r="K99" s="61" t="s">
        <v>2457</v>
      </c>
    </row>
    <row r="100" spans="1:11">
      <c r="A100" s="61">
        <v>97</v>
      </c>
      <c r="B100" s="203" t="s">
        <v>2452</v>
      </c>
      <c r="C100" s="61" t="s">
        <v>8</v>
      </c>
      <c r="D100" s="61" t="s">
        <v>35</v>
      </c>
      <c r="E100" s="209">
        <v>767999</v>
      </c>
      <c r="F100" s="212">
        <f t="shared" si="2"/>
        <v>744959.03</v>
      </c>
      <c r="G100" s="206">
        <f t="shared" si="3"/>
        <v>721919.05999999994</v>
      </c>
      <c r="H100" s="61">
        <v>336.26</v>
      </c>
      <c r="I100" s="61">
        <v>306.56</v>
      </c>
      <c r="J100" s="61">
        <v>29.71</v>
      </c>
      <c r="K100" s="61" t="s">
        <v>2457</v>
      </c>
    </row>
    <row r="101" spans="1:11">
      <c r="A101" s="61">
        <v>98</v>
      </c>
      <c r="B101" s="203" t="s">
        <v>2453</v>
      </c>
      <c r="C101" s="61" t="s">
        <v>9</v>
      </c>
      <c r="D101" s="61" t="s">
        <v>35</v>
      </c>
      <c r="E101" s="209">
        <v>765999</v>
      </c>
      <c r="F101" s="212">
        <f t="shared" si="2"/>
        <v>743019.03</v>
      </c>
      <c r="G101" s="206">
        <f t="shared" si="3"/>
        <v>720039.05999999994</v>
      </c>
      <c r="H101" s="61">
        <v>336.26</v>
      </c>
      <c r="I101" s="61">
        <v>306.56</v>
      </c>
      <c r="J101" s="61">
        <v>29.71</v>
      </c>
      <c r="K101" s="61" t="s">
        <v>2457</v>
      </c>
    </row>
  </sheetData>
  <mergeCells count="2">
    <mergeCell ref="A1:K1"/>
    <mergeCell ref="A2:K2"/>
  </mergeCells>
  <conditionalFormatting sqref="B1:B1048576">
    <cfRule type="duplicateValues" dxfId="10982" priority="1"/>
  </conditionalFormatting>
  <conditionalFormatting sqref="B1:B103">
    <cfRule type="duplicateValues" dxfId="10981" priority="252064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7EFA-AD70-4E56-9ABE-354346182231}">
  <dimension ref="A1:K356"/>
  <sheetViews>
    <sheetView zoomScale="85" zoomScaleNormal="85" workbookViewId="0">
      <selection sqref="A1:K1"/>
    </sheetView>
  </sheetViews>
  <sheetFormatPr defaultRowHeight="14.4"/>
  <cols>
    <col min="1" max="1" width="5" customWidth="1"/>
    <col min="2" max="2" width="14.33203125" customWidth="1"/>
    <col min="4" max="4" width="12.33203125" customWidth="1"/>
    <col min="5" max="5" width="12.5546875" customWidth="1"/>
    <col min="6" max="6" width="13.6640625" customWidth="1"/>
    <col min="7" max="7" width="13.33203125" customWidth="1"/>
    <col min="8" max="8" width="12" customWidth="1"/>
    <col min="9" max="9" width="11.33203125" customWidth="1"/>
    <col min="10" max="10" width="14" customWidth="1"/>
    <col min="11" max="11" width="78.6640625" bestFit="1" customWidth="1"/>
  </cols>
  <sheetData>
    <row r="1" spans="1:11" ht="26.4" thickBot="1">
      <c r="A1" s="321" t="s">
        <v>2458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>
      <c r="A2" s="324" t="s">
        <v>2459</v>
      </c>
      <c r="B2" s="325"/>
      <c r="C2" s="325"/>
      <c r="D2" s="325"/>
      <c r="E2" s="325"/>
      <c r="F2" s="325"/>
      <c r="G2" s="325"/>
      <c r="H2" s="325"/>
      <c r="I2" s="325"/>
      <c r="J2" s="325"/>
      <c r="K2" s="326"/>
    </row>
    <row r="3" spans="1:11" ht="15.6">
      <c r="A3" s="213" t="s">
        <v>22</v>
      </c>
      <c r="B3" s="213" t="s">
        <v>13</v>
      </c>
      <c r="C3" s="213" t="s">
        <v>26</v>
      </c>
      <c r="D3" s="213" t="s">
        <v>14</v>
      </c>
      <c r="E3" s="214" t="s">
        <v>28</v>
      </c>
      <c r="F3" s="214" t="s">
        <v>29</v>
      </c>
      <c r="G3" s="214" t="s">
        <v>31</v>
      </c>
      <c r="H3" s="213" t="s">
        <v>16</v>
      </c>
      <c r="I3" s="213" t="s">
        <v>672</v>
      </c>
      <c r="J3" s="213" t="s">
        <v>58</v>
      </c>
      <c r="K3" s="213" t="s">
        <v>19</v>
      </c>
    </row>
    <row r="4" spans="1:11">
      <c r="A4" s="61">
        <v>1</v>
      </c>
      <c r="B4" s="203" t="s">
        <v>2460</v>
      </c>
      <c r="C4" s="61" t="s">
        <v>5</v>
      </c>
      <c r="D4" s="61" t="s">
        <v>35</v>
      </c>
      <c r="E4" s="209">
        <v>1370000</v>
      </c>
      <c r="F4" s="212">
        <f>E4*0.97</f>
        <v>1328900</v>
      </c>
      <c r="G4" s="206">
        <f>E4*0.94</f>
        <v>1287800</v>
      </c>
      <c r="H4" s="61">
        <v>395.68</v>
      </c>
      <c r="I4" s="61">
        <v>292.45999999999998</v>
      </c>
      <c r="J4" s="61">
        <v>103.23</v>
      </c>
      <c r="K4" s="61" t="s">
        <v>2461</v>
      </c>
    </row>
    <row r="5" spans="1:11">
      <c r="A5" s="61">
        <v>2</v>
      </c>
      <c r="B5" s="203" t="s">
        <v>2462</v>
      </c>
      <c r="C5" s="61" t="s">
        <v>5</v>
      </c>
      <c r="D5" s="61" t="s">
        <v>35</v>
      </c>
      <c r="E5" s="209">
        <v>1371000</v>
      </c>
      <c r="F5" s="212">
        <f t="shared" ref="F5:F67" si="0">E5*0.97</f>
        <v>1329870</v>
      </c>
      <c r="G5" s="206">
        <f t="shared" ref="G5:G67" si="1">E5*0.94</f>
        <v>1288740</v>
      </c>
      <c r="H5" s="61">
        <v>401.82</v>
      </c>
      <c r="I5" s="61">
        <v>292.45999999999998</v>
      </c>
      <c r="J5" s="61">
        <v>109.36</v>
      </c>
      <c r="K5" s="61" t="s">
        <v>2461</v>
      </c>
    </row>
    <row r="6" spans="1:11">
      <c r="A6" s="61">
        <v>3</v>
      </c>
      <c r="B6" s="203" t="s">
        <v>4618</v>
      </c>
      <c r="C6" s="61" t="s">
        <v>5</v>
      </c>
      <c r="D6" s="61" t="s">
        <v>35</v>
      </c>
      <c r="E6" s="209">
        <v>1369000</v>
      </c>
      <c r="F6" s="212">
        <f t="shared" si="0"/>
        <v>1327930</v>
      </c>
      <c r="G6" s="206">
        <f t="shared" si="1"/>
        <v>1286860</v>
      </c>
      <c r="H6" s="61">
        <v>386.85</v>
      </c>
      <c r="I6" s="61">
        <v>292.45999999999998</v>
      </c>
      <c r="J6" s="61">
        <v>94.4</v>
      </c>
      <c r="K6" s="61" t="s">
        <v>2461</v>
      </c>
    </row>
    <row r="7" spans="1:11">
      <c r="A7" s="61">
        <v>4</v>
      </c>
      <c r="B7" s="203" t="s">
        <v>4360</v>
      </c>
      <c r="C7" s="61" t="s">
        <v>4</v>
      </c>
      <c r="D7" s="61" t="s">
        <v>24</v>
      </c>
      <c r="E7" s="209">
        <v>3234000</v>
      </c>
      <c r="F7" s="212">
        <f t="shared" si="0"/>
        <v>3136980</v>
      </c>
      <c r="G7" s="206">
        <f t="shared" si="1"/>
        <v>3039960</v>
      </c>
      <c r="H7" s="61">
        <v>980.16</v>
      </c>
      <c r="I7" s="61">
        <v>771.77</v>
      </c>
      <c r="J7" s="61">
        <v>208.39</v>
      </c>
      <c r="K7" s="61" t="s">
        <v>2781</v>
      </c>
    </row>
    <row r="8" spans="1:11">
      <c r="A8" s="61">
        <v>5</v>
      </c>
      <c r="B8" s="203" t="s">
        <v>2463</v>
      </c>
      <c r="C8" s="61" t="s">
        <v>4</v>
      </c>
      <c r="D8" s="61" t="s">
        <v>35</v>
      </c>
      <c r="E8" s="209">
        <v>1369000</v>
      </c>
      <c r="F8" s="212">
        <f t="shared" si="0"/>
        <v>1327930</v>
      </c>
      <c r="G8" s="206">
        <f t="shared" si="1"/>
        <v>1286860</v>
      </c>
      <c r="H8" s="61">
        <v>401.82</v>
      </c>
      <c r="I8" s="61">
        <v>292.45999999999998</v>
      </c>
      <c r="J8" s="61">
        <v>109.36</v>
      </c>
      <c r="K8" s="61" t="s">
        <v>2461</v>
      </c>
    </row>
    <row r="9" spans="1:11">
      <c r="A9" s="61">
        <v>6</v>
      </c>
      <c r="B9" s="203" t="s">
        <v>2464</v>
      </c>
      <c r="C9" s="61" t="s">
        <v>4</v>
      </c>
      <c r="D9" s="61" t="s">
        <v>35</v>
      </c>
      <c r="E9" s="209">
        <v>1367000</v>
      </c>
      <c r="F9" s="212">
        <f t="shared" si="0"/>
        <v>1325990</v>
      </c>
      <c r="G9" s="206">
        <f t="shared" si="1"/>
        <v>1284980</v>
      </c>
      <c r="H9" s="61">
        <v>395.68</v>
      </c>
      <c r="I9" s="61">
        <v>292.45999999999998</v>
      </c>
      <c r="J9" s="61">
        <v>103.23</v>
      </c>
      <c r="K9" s="61" t="s">
        <v>2461</v>
      </c>
    </row>
    <row r="10" spans="1:11">
      <c r="A10" s="61">
        <v>7</v>
      </c>
      <c r="B10" s="203" t="s">
        <v>4510</v>
      </c>
      <c r="C10" s="61" t="s">
        <v>4</v>
      </c>
      <c r="D10" s="61" t="s">
        <v>35</v>
      </c>
      <c r="E10" s="209">
        <v>1363000</v>
      </c>
      <c r="F10" s="212">
        <f t="shared" si="0"/>
        <v>1322110</v>
      </c>
      <c r="G10" s="206">
        <f t="shared" si="1"/>
        <v>1281220</v>
      </c>
      <c r="H10" s="61">
        <v>375.34</v>
      </c>
      <c r="I10" s="61">
        <v>292.45999999999998</v>
      </c>
      <c r="J10" s="61">
        <v>82.88</v>
      </c>
      <c r="K10" s="61" t="s">
        <v>2461</v>
      </c>
    </row>
    <row r="11" spans="1:11">
      <c r="A11" s="61">
        <v>8</v>
      </c>
      <c r="B11" s="203" t="s">
        <v>2465</v>
      </c>
      <c r="C11" s="61" t="s">
        <v>4</v>
      </c>
      <c r="D11" s="61" t="s">
        <v>24</v>
      </c>
      <c r="E11" s="209">
        <v>3281000</v>
      </c>
      <c r="F11" s="212">
        <f t="shared" si="0"/>
        <v>3182570</v>
      </c>
      <c r="G11" s="206">
        <f t="shared" si="1"/>
        <v>3084140</v>
      </c>
      <c r="H11" s="61">
        <v>980.16</v>
      </c>
      <c r="I11" s="61">
        <v>771.77</v>
      </c>
      <c r="J11" s="61">
        <v>208.39</v>
      </c>
      <c r="K11" s="61" t="s">
        <v>2780</v>
      </c>
    </row>
    <row r="12" spans="1:11">
      <c r="A12" s="61">
        <v>9</v>
      </c>
      <c r="B12" s="203" t="s">
        <v>2466</v>
      </c>
      <c r="C12" s="61" t="s">
        <v>4458</v>
      </c>
      <c r="D12" s="61" t="s">
        <v>35</v>
      </c>
      <c r="E12" s="209">
        <v>1365000</v>
      </c>
      <c r="F12" s="212">
        <f t="shared" si="0"/>
        <v>1324050</v>
      </c>
      <c r="G12" s="206">
        <f t="shared" si="1"/>
        <v>1283100</v>
      </c>
      <c r="H12" s="61">
        <v>395.68</v>
      </c>
      <c r="I12" s="61">
        <v>292.45999999999998</v>
      </c>
      <c r="J12" s="61">
        <v>103.23</v>
      </c>
      <c r="K12" s="61" t="s">
        <v>2461</v>
      </c>
    </row>
    <row r="13" spans="1:11">
      <c r="A13" s="61">
        <v>10</v>
      </c>
      <c r="B13" s="203" t="s">
        <v>2467</v>
      </c>
      <c r="C13" s="61" t="s">
        <v>4458</v>
      </c>
      <c r="D13" s="61" t="s">
        <v>35</v>
      </c>
      <c r="E13" s="209">
        <v>1366000</v>
      </c>
      <c r="F13" s="212">
        <f t="shared" si="0"/>
        <v>1325020</v>
      </c>
      <c r="G13" s="206">
        <f t="shared" si="1"/>
        <v>1284040</v>
      </c>
      <c r="H13" s="61">
        <v>401.82</v>
      </c>
      <c r="I13" s="61">
        <v>292.45999999999998</v>
      </c>
      <c r="J13" s="61">
        <v>109.36</v>
      </c>
      <c r="K13" s="61" t="s">
        <v>2461</v>
      </c>
    </row>
    <row r="14" spans="1:11">
      <c r="A14" s="61">
        <v>11</v>
      </c>
      <c r="B14" s="203" t="s">
        <v>2468</v>
      </c>
      <c r="C14" s="61" t="s">
        <v>4458</v>
      </c>
      <c r="D14" s="61" t="s">
        <v>24</v>
      </c>
      <c r="E14" s="209">
        <v>3275000</v>
      </c>
      <c r="F14" s="212">
        <f t="shared" si="0"/>
        <v>3176750</v>
      </c>
      <c r="G14" s="206">
        <f t="shared" si="1"/>
        <v>3078500</v>
      </c>
      <c r="H14" s="61">
        <v>980.16</v>
      </c>
      <c r="I14" s="61">
        <v>771.77</v>
      </c>
      <c r="J14" s="61">
        <v>208.39</v>
      </c>
      <c r="K14" s="61" t="s">
        <v>2780</v>
      </c>
    </row>
    <row r="15" spans="1:11">
      <c r="A15" s="61">
        <v>12</v>
      </c>
      <c r="B15" s="203" t="s">
        <v>4361</v>
      </c>
      <c r="C15" s="61" t="s">
        <v>6</v>
      </c>
      <c r="D15" s="61" t="s">
        <v>35</v>
      </c>
      <c r="E15" s="209">
        <v>1361000</v>
      </c>
      <c r="F15" s="212">
        <f t="shared" si="0"/>
        <v>1320170</v>
      </c>
      <c r="G15" s="206">
        <f t="shared" si="1"/>
        <v>1279340</v>
      </c>
      <c r="H15" s="61">
        <v>386.85</v>
      </c>
      <c r="I15" s="61">
        <v>292.45999999999998</v>
      </c>
      <c r="J15" s="61">
        <v>94.4</v>
      </c>
      <c r="K15" s="61" t="s">
        <v>2461</v>
      </c>
    </row>
    <row r="16" spans="1:11">
      <c r="A16" s="61">
        <v>13</v>
      </c>
      <c r="B16" s="203" t="s">
        <v>4652</v>
      </c>
      <c r="C16" s="61" t="s">
        <v>7</v>
      </c>
      <c r="D16" s="61" t="s">
        <v>36</v>
      </c>
      <c r="E16" s="209">
        <v>2400000</v>
      </c>
      <c r="F16" s="212">
        <f t="shared" si="0"/>
        <v>2328000</v>
      </c>
      <c r="G16" s="206">
        <f t="shared" si="1"/>
        <v>2256000</v>
      </c>
      <c r="H16" s="61">
        <v>617.30999999999995</v>
      </c>
      <c r="I16" s="61">
        <v>549.82000000000005</v>
      </c>
      <c r="J16" s="61">
        <v>67.489999999999995</v>
      </c>
      <c r="K16" s="61" t="s">
        <v>2781</v>
      </c>
    </row>
    <row r="17" spans="1:11">
      <c r="A17" s="61">
        <v>14</v>
      </c>
      <c r="B17" s="203" t="s">
        <v>2469</v>
      </c>
      <c r="C17" s="61" t="s">
        <v>7</v>
      </c>
      <c r="D17" s="61" t="s">
        <v>24</v>
      </c>
      <c r="E17" s="209">
        <v>3215000</v>
      </c>
      <c r="F17" s="212">
        <f t="shared" si="0"/>
        <v>3118550</v>
      </c>
      <c r="G17" s="206">
        <f t="shared" si="1"/>
        <v>3022100</v>
      </c>
      <c r="H17" s="61">
        <v>980.16</v>
      </c>
      <c r="I17" s="61">
        <v>771.77</v>
      </c>
      <c r="J17" s="61">
        <v>208.39</v>
      </c>
      <c r="K17" s="61" t="s">
        <v>2781</v>
      </c>
    </row>
    <row r="18" spans="1:11">
      <c r="A18" s="61">
        <v>15</v>
      </c>
      <c r="B18" s="203" t="s">
        <v>2470</v>
      </c>
      <c r="C18" s="61" t="s">
        <v>7</v>
      </c>
      <c r="D18" s="61" t="s">
        <v>35</v>
      </c>
      <c r="E18" s="209">
        <v>1358000</v>
      </c>
      <c r="F18" s="212">
        <f t="shared" si="0"/>
        <v>1317260</v>
      </c>
      <c r="G18" s="206">
        <f t="shared" si="1"/>
        <v>1276520</v>
      </c>
      <c r="H18" s="61">
        <v>386.85</v>
      </c>
      <c r="I18" s="61">
        <v>292.45999999999998</v>
      </c>
      <c r="J18" s="61">
        <v>94.4</v>
      </c>
      <c r="K18" s="61" t="s">
        <v>2461</v>
      </c>
    </row>
    <row r="19" spans="1:11">
      <c r="A19" s="61">
        <v>16</v>
      </c>
      <c r="B19" s="203" t="s">
        <v>2471</v>
      </c>
      <c r="C19" s="61" t="s">
        <v>7</v>
      </c>
      <c r="D19" s="61" t="s">
        <v>35</v>
      </c>
      <c r="E19" s="209">
        <v>1361000</v>
      </c>
      <c r="F19" s="212">
        <f t="shared" si="0"/>
        <v>1320170</v>
      </c>
      <c r="G19" s="206">
        <f t="shared" si="1"/>
        <v>1279340</v>
      </c>
      <c r="H19" s="61">
        <v>401.82</v>
      </c>
      <c r="I19" s="61">
        <v>292.45999999999998</v>
      </c>
      <c r="J19" s="61">
        <v>109.36</v>
      </c>
      <c r="K19" s="61" t="s">
        <v>2461</v>
      </c>
    </row>
    <row r="20" spans="1:11">
      <c r="A20" s="61">
        <v>17</v>
      </c>
      <c r="B20" s="203" t="s">
        <v>2472</v>
      </c>
      <c r="C20" s="61" t="s">
        <v>7</v>
      </c>
      <c r="D20" s="61" t="s">
        <v>35</v>
      </c>
      <c r="E20" s="209">
        <v>1359000</v>
      </c>
      <c r="F20" s="212">
        <f t="shared" si="0"/>
        <v>1318230</v>
      </c>
      <c r="G20" s="206">
        <f t="shared" si="1"/>
        <v>1277460</v>
      </c>
      <c r="H20" s="61">
        <v>395.68</v>
      </c>
      <c r="I20" s="61">
        <v>292.45999999999998</v>
      </c>
      <c r="J20" s="61">
        <v>103.23</v>
      </c>
      <c r="K20" s="61" t="s">
        <v>2461</v>
      </c>
    </row>
    <row r="21" spans="1:11">
      <c r="A21" s="61">
        <v>18</v>
      </c>
      <c r="B21" s="203" t="s">
        <v>2473</v>
      </c>
      <c r="C21" s="61" t="s">
        <v>7</v>
      </c>
      <c r="D21" s="61" t="s">
        <v>35</v>
      </c>
      <c r="E21" s="209">
        <v>1364000</v>
      </c>
      <c r="F21" s="212">
        <f t="shared" si="0"/>
        <v>1323080</v>
      </c>
      <c r="G21" s="206">
        <f t="shared" si="1"/>
        <v>1282160</v>
      </c>
      <c r="H21" s="61">
        <v>361.13</v>
      </c>
      <c r="I21" s="61">
        <v>292.45999999999998</v>
      </c>
      <c r="J21" s="61">
        <v>68.67</v>
      </c>
      <c r="K21" s="61" t="s">
        <v>2461</v>
      </c>
    </row>
    <row r="22" spans="1:11">
      <c r="A22" s="61">
        <v>19</v>
      </c>
      <c r="B22" s="203" t="s">
        <v>2474</v>
      </c>
      <c r="C22" s="61" t="s">
        <v>7</v>
      </c>
      <c r="D22" s="61" t="s">
        <v>24</v>
      </c>
      <c r="E22" s="209">
        <v>3262000</v>
      </c>
      <c r="F22" s="212">
        <f t="shared" si="0"/>
        <v>3164140</v>
      </c>
      <c r="G22" s="206">
        <f t="shared" si="1"/>
        <v>3066280</v>
      </c>
      <c r="H22" s="61">
        <v>980.16</v>
      </c>
      <c r="I22" s="61">
        <v>771.77</v>
      </c>
      <c r="J22" s="61">
        <v>208.39</v>
      </c>
      <c r="K22" s="61" t="s">
        <v>2780</v>
      </c>
    </row>
    <row r="23" spans="1:11">
      <c r="A23" s="61">
        <v>20</v>
      </c>
      <c r="B23" s="203" t="s">
        <v>4619</v>
      </c>
      <c r="C23" s="61" t="s">
        <v>7</v>
      </c>
      <c r="D23" s="61" t="s">
        <v>35</v>
      </c>
      <c r="E23" s="209">
        <v>1359000</v>
      </c>
      <c r="F23" s="212">
        <f t="shared" si="0"/>
        <v>1318230</v>
      </c>
      <c r="G23" s="206">
        <f t="shared" si="1"/>
        <v>1277460</v>
      </c>
      <c r="H23" s="61">
        <v>395.68</v>
      </c>
      <c r="I23" s="61">
        <v>292.45999999999998</v>
      </c>
      <c r="J23" s="61">
        <v>103.23</v>
      </c>
      <c r="K23" s="61" t="s">
        <v>2782</v>
      </c>
    </row>
    <row r="24" spans="1:11">
      <c r="A24" s="61">
        <v>21</v>
      </c>
      <c r="B24" s="203" t="s">
        <v>4620</v>
      </c>
      <c r="C24" s="61" t="s">
        <v>7</v>
      </c>
      <c r="D24" s="61" t="s">
        <v>24</v>
      </c>
      <c r="E24" s="209">
        <v>3215000</v>
      </c>
      <c r="F24" s="212">
        <f t="shared" si="0"/>
        <v>3118550</v>
      </c>
      <c r="G24" s="206">
        <f t="shared" si="1"/>
        <v>3022100</v>
      </c>
      <c r="H24" s="61">
        <v>980.16</v>
      </c>
      <c r="I24" s="61">
        <v>771.77</v>
      </c>
      <c r="J24" s="61">
        <v>208.39</v>
      </c>
      <c r="K24" s="61" t="s">
        <v>2781</v>
      </c>
    </row>
    <row r="25" spans="1:11">
      <c r="A25" s="61">
        <v>22</v>
      </c>
      <c r="B25" s="203" t="s">
        <v>4653</v>
      </c>
      <c r="C25" s="61" t="s">
        <v>8</v>
      </c>
      <c r="D25" s="61" t="s">
        <v>36</v>
      </c>
      <c r="E25" s="209">
        <v>2305000</v>
      </c>
      <c r="F25" s="212">
        <f t="shared" si="0"/>
        <v>2235850</v>
      </c>
      <c r="G25" s="206">
        <f t="shared" si="1"/>
        <v>2166700</v>
      </c>
      <c r="H25" s="61">
        <v>617.30999999999995</v>
      </c>
      <c r="I25" s="61">
        <v>549.82000000000005</v>
      </c>
      <c r="J25" s="61">
        <v>67.489999999999995</v>
      </c>
      <c r="K25" s="61" t="s">
        <v>2781</v>
      </c>
    </row>
    <row r="26" spans="1:11">
      <c r="A26" s="61">
        <v>23</v>
      </c>
      <c r="B26" s="203" t="s">
        <v>2475</v>
      </c>
      <c r="C26" s="61" t="s">
        <v>8</v>
      </c>
      <c r="D26" s="61" t="s">
        <v>24</v>
      </c>
      <c r="E26" s="209">
        <v>3209000</v>
      </c>
      <c r="F26" s="212">
        <f t="shared" si="0"/>
        <v>3112730</v>
      </c>
      <c r="G26" s="206">
        <f t="shared" si="1"/>
        <v>3016460</v>
      </c>
      <c r="H26" s="61">
        <v>980.16</v>
      </c>
      <c r="I26" s="61">
        <v>771.77</v>
      </c>
      <c r="J26" s="61">
        <v>208.39</v>
      </c>
      <c r="K26" s="61" t="s">
        <v>2781</v>
      </c>
    </row>
    <row r="27" spans="1:11">
      <c r="A27" s="61">
        <v>24</v>
      </c>
      <c r="B27" s="203" t="s">
        <v>2476</v>
      </c>
      <c r="C27" s="61" t="s">
        <v>8</v>
      </c>
      <c r="D27" s="61" t="s">
        <v>35</v>
      </c>
      <c r="E27" s="209">
        <v>1362000</v>
      </c>
      <c r="F27" s="212">
        <f t="shared" si="0"/>
        <v>1321140</v>
      </c>
      <c r="G27" s="206">
        <f t="shared" si="1"/>
        <v>1280280</v>
      </c>
      <c r="H27" s="61">
        <v>361.13</v>
      </c>
      <c r="I27" s="61">
        <v>292.45999999999998</v>
      </c>
      <c r="J27" s="61">
        <v>68.67</v>
      </c>
      <c r="K27" s="61" t="s">
        <v>2461</v>
      </c>
    </row>
    <row r="28" spans="1:11">
      <c r="A28" s="61">
        <v>25</v>
      </c>
      <c r="B28" s="203" t="s">
        <v>2477</v>
      </c>
      <c r="C28" s="61" t="s">
        <v>8</v>
      </c>
      <c r="D28" s="61" t="s">
        <v>35</v>
      </c>
      <c r="E28" s="209">
        <v>1353000</v>
      </c>
      <c r="F28" s="212">
        <f t="shared" si="0"/>
        <v>1312410</v>
      </c>
      <c r="G28" s="206">
        <f t="shared" si="1"/>
        <v>1271820</v>
      </c>
      <c r="H28" s="61">
        <v>375.34</v>
      </c>
      <c r="I28" s="61">
        <v>292.45999999999998</v>
      </c>
      <c r="J28" s="61">
        <v>82.88</v>
      </c>
      <c r="K28" s="61" t="s">
        <v>2461</v>
      </c>
    </row>
    <row r="29" spans="1:11">
      <c r="A29" s="61">
        <v>26</v>
      </c>
      <c r="B29" s="203" t="s">
        <v>2478</v>
      </c>
      <c r="C29" s="61" t="s">
        <v>8</v>
      </c>
      <c r="D29" s="61" t="s">
        <v>35</v>
      </c>
      <c r="E29" s="209">
        <v>1357000</v>
      </c>
      <c r="F29" s="212">
        <f t="shared" si="0"/>
        <v>1316290</v>
      </c>
      <c r="G29" s="206">
        <f t="shared" si="1"/>
        <v>1275580</v>
      </c>
      <c r="H29" s="61">
        <v>395.68</v>
      </c>
      <c r="I29" s="61">
        <v>292.45999999999998</v>
      </c>
      <c r="J29" s="61">
        <v>103.23</v>
      </c>
      <c r="K29" s="61" t="s">
        <v>2461</v>
      </c>
    </row>
    <row r="30" spans="1:11">
      <c r="A30" s="61">
        <v>27</v>
      </c>
      <c r="B30" s="203" t="s">
        <v>2479</v>
      </c>
      <c r="C30" s="61" t="s">
        <v>8</v>
      </c>
      <c r="D30" s="61" t="s">
        <v>35</v>
      </c>
      <c r="E30" s="209">
        <v>1358000</v>
      </c>
      <c r="F30" s="212">
        <f t="shared" si="0"/>
        <v>1317260</v>
      </c>
      <c r="G30" s="206">
        <f t="shared" si="1"/>
        <v>1276520</v>
      </c>
      <c r="H30" s="61">
        <v>401.82</v>
      </c>
      <c r="I30" s="61">
        <v>292.45999999999998</v>
      </c>
      <c r="J30" s="61">
        <v>109.36</v>
      </c>
      <c r="K30" s="61" t="s">
        <v>2461</v>
      </c>
    </row>
    <row r="31" spans="1:11">
      <c r="A31" s="61">
        <v>28</v>
      </c>
      <c r="B31" s="203" t="s">
        <v>2480</v>
      </c>
      <c r="C31" s="61" t="s">
        <v>8</v>
      </c>
      <c r="D31" s="61" t="s">
        <v>35</v>
      </c>
      <c r="E31" s="209">
        <v>1357000</v>
      </c>
      <c r="F31" s="212">
        <f t="shared" si="0"/>
        <v>1316290</v>
      </c>
      <c r="G31" s="206">
        <f t="shared" si="1"/>
        <v>1275580</v>
      </c>
      <c r="H31" s="61">
        <v>395.68</v>
      </c>
      <c r="I31" s="61">
        <v>292.45999999999998</v>
      </c>
      <c r="J31" s="61">
        <v>103.23</v>
      </c>
      <c r="K31" s="61" t="s">
        <v>2461</v>
      </c>
    </row>
    <row r="32" spans="1:11">
      <c r="A32" s="61">
        <v>29</v>
      </c>
      <c r="B32" s="203" t="s">
        <v>4511</v>
      </c>
      <c r="C32" s="61" t="s">
        <v>8</v>
      </c>
      <c r="D32" s="61" t="s">
        <v>24</v>
      </c>
      <c r="E32" s="209">
        <v>3256000</v>
      </c>
      <c r="F32" s="212">
        <f t="shared" si="0"/>
        <v>3158320</v>
      </c>
      <c r="G32" s="206">
        <f t="shared" si="1"/>
        <v>3060640</v>
      </c>
      <c r="H32" s="61">
        <v>980.16</v>
      </c>
      <c r="I32" s="61">
        <v>771.77</v>
      </c>
      <c r="J32" s="61">
        <v>208.39</v>
      </c>
      <c r="K32" s="61" t="s">
        <v>2780</v>
      </c>
    </row>
    <row r="33" spans="1:11">
      <c r="A33" s="61">
        <v>30</v>
      </c>
      <c r="B33" s="203" t="s">
        <v>2481</v>
      </c>
      <c r="C33" s="61" t="s">
        <v>8</v>
      </c>
      <c r="D33" s="61" t="s">
        <v>24</v>
      </c>
      <c r="E33" s="209">
        <v>3209000</v>
      </c>
      <c r="F33" s="212">
        <f t="shared" si="0"/>
        <v>3112730</v>
      </c>
      <c r="G33" s="206">
        <f t="shared" si="1"/>
        <v>3016460</v>
      </c>
      <c r="H33" s="61">
        <v>980.16</v>
      </c>
      <c r="I33" s="61">
        <v>771.77</v>
      </c>
      <c r="J33" s="61">
        <v>208.39</v>
      </c>
      <c r="K33" s="61" t="s">
        <v>2781</v>
      </c>
    </row>
    <row r="34" spans="1:11">
      <c r="A34" s="61">
        <v>31</v>
      </c>
      <c r="B34" s="203" t="s">
        <v>2482</v>
      </c>
      <c r="C34" s="61" t="s">
        <v>4476</v>
      </c>
      <c r="D34" s="61" t="s">
        <v>48</v>
      </c>
      <c r="E34" s="209">
        <v>5670000</v>
      </c>
      <c r="F34" s="212">
        <f t="shared" si="0"/>
        <v>5499900</v>
      </c>
      <c r="G34" s="206">
        <f t="shared" si="1"/>
        <v>5329800</v>
      </c>
      <c r="H34" s="61">
        <v>1528.48</v>
      </c>
      <c r="I34" s="61">
        <v>1179.4000000000001</v>
      </c>
      <c r="J34" s="61">
        <v>349.07</v>
      </c>
      <c r="K34" s="61" t="s">
        <v>2783</v>
      </c>
    </row>
    <row r="35" spans="1:11">
      <c r="A35" s="61">
        <v>32</v>
      </c>
      <c r="B35" s="203" t="s">
        <v>2483</v>
      </c>
      <c r="C35" s="61" t="s">
        <v>4476</v>
      </c>
      <c r="D35" s="61" t="s">
        <v>48</v>
      </c>
      <c r="E35" s="209">
        <v>5408000</v>
      </c>
      <c r="F35" s="212">
        <f t="shared" si="0"/>
        <v>5245760</v>
      </c>
      <c r="G35" s="206">
        <f t="shared" si="1"/>
        <v>5083520</v>
      </c>
      <c r="H35" s="61">
        <v>1284.3499999999999</v>
      </c>
      <c r="I35" s="61">
        <v>1149.48</v>
      </c>
      <c r="J35" s="61">
        <v>134.87</v>
      </c>
      <c r="K35" s="61" t="s">
        <v>2780</v>
      </c>
    </row>
    <row r="36" spans="1:11">
      <c r="A36" s="61">
        <v>33</v>
      </c>
      <c r="B36" s="203" t="s">
        <v>2484</v>
      </c>
      <c r="C36" s="61" t="s">
        <v>4476</v>
      </c>
      <c r="D36" s="61" t="s">
        <v>48</v>
      </c>
      <c r="E36" s="209">
        <v>5525000</v>
      </c>
      <c r="F36" s="212">
        <f t="shared" si="0"/>
        <v>5359250</v>
      </c>
      <c r="G36" s="206">
        <f t="shared" si="1"/>
        <v>5193500</v>
      </c>
      <c r="H36" s="61">
        <v>1528.48</v>
      </c>
      <c r="I36" s="61">
        <v>1179.4000000000001</v>
      </c>
      <c r="J36" s="61">
        <v>349.07</v>
      </c>
      <c r="K36" s="61" t="s">
        <v>2784</v>
      </c>
    </row>
    <row r="37" spans="1:11">
      <c r="A37" s="61">
        <v>34</v>
      </c>
      <c r="B37" s="203" t="s">
        <v>2485</v>
      </c>
      <c r="C37" s="61" t="s">
        <v>4476</v>
      </c>
      <c r="D37" s="61" t="s">
        <v>48</v>
      </c>
      <c r="E37" s="209">
        <v>5525000</v>
      </c>
      <c r="F37" s="212">
        <f t="shared" si="0"/>
        <v>5359250</v>
      </c>
      <c r="G37" s="206">
        <f t="shared" si="1"/>
        <v>5193500</v>
      </c>
      <c r="H37" s="61">
        <v>1528.48</v>
      </c>
      <c r="I37" s="61">
        <v>1179.4000000000001</v>
      </c>
      <c r="J37" s="61">
        <v>349.07</v>
      </c>
      <c r="K37" s="61" t="s">
        <v>2784</v>
      </c>
    </row>
    <row r="38" spans="1:11">
      <c r="A38" s="61">
        <v>35</v>
      </c>
      <c r="B38" s="203" t="s">
        <v>2486</v>
      </c>
      <c r="C38" s="61" t="s">
        <v>4475</v>
      </c>
      <c r="D38" s="61" t="s">
        <v>48</v>
      </c>
      <c r="E38" s="209">
        <v>5398000</v>
      </c>
      <c r="F38" s="212">
        <f t="shared" si="0"/>
        <v>5236060</v>
      </c>
      <c r="G38" s="206">
        <f t="shared" si="1"/>
        <v>5074120</v>
      </c>
      <c r="H38" s="61">
        <v>1284.3499999999999</v>
      </c>
      <c r="I38" s="61">
        <v>1149.48</v>
      </c>
      <c r="J38" s="61">
        <v>134.87</v>
      </c>
      <c r="K38" s="61" t="s">
        <v>2780</v>
      </c>
    </row>
    <row r="39" spans="1:11">
      <c r="A39" s="61">
        <v>36</v>
      </c>
      <c r="B39" s="203" t="s">
        <v>2487</v>
      </c>
      <c r="C39" s="61" t="s">
        <v>4475</v>
      </c>
      <c r="D39" s="61" t="s">
        <v>48</v>
      </c>
      <c r="E39" s="209">
        <v>5033000</v>
      </c>
      <c r="F39" s="212">
        <f t="shared" si="0"/>
        <v>4882010</v>
      </c>
      <c r="G39" s="206">
        <f t="shared" si="1"/>
        <v>4731020</v>
      </c>
      <c r="H39" s="61">
        <v>1332.9</v>
      </c>
      <c r="I39" s="61">
        <v>1077.47</v>
      </c>
      <c r="J39" s="61">
        <v>255.43</v>
      </c>
      <c r="K39" s="61" t="s">
        <v>2784</v>
      </c>
    </row>
    <row r="40" spans="1:11">
      <c r="A40" s="61">
        <v>37</v>
      </c>
      <c r="B40" s="203" t="s">
        <v>2488</v>
      </c>
      <c r="C40" s="61" t="s">
        <v>4475</v>
      </c>
      <c r="D40" s="61" t="s">
        <v>48</v>
      </c>
      <c r="E40" s="209">
        <v>5515000</v>
      </c>
      <c r="F40" s="212">
        <f t="shared" si="0"/>
        <v>5349550</v>
      </c>
      <c r="G40" s="206">
        <f t="shared" si="1"/>
        <v>5184100</v>
      </c>
      <c r="H40" s="61">
        <v>1528.48</v>
      </c>
      <c r="I40" s="61">
        <v>1179.4000000000001</v>
      </c>
      <c r="J40" s="61">
        <v>349.07</v>
      </c>
      <c r="K40" s="61" t="s">
        <v>2784</v>
      </c>
    </row>
    <row r="41" spans="1:11">
      <c r="A41" s="61">
        <v>38</v>
      </c>
      <c r="B41" s="203" t="s">
        <v>2489</v>
      </c>
      <c r="C41" s="61" t="s">
        <v>4475</v>
      </c>
      <c r="D41" s="61" t="s">
        <v>48</v>
      </c>
      <c r="E41" s="209">
        <v>5515000</v>
      </c>
      <c r="F41" s="212">
        <f t="shared" si="0"/>
        <v>5349550</v>
      </c>
      <c r="G41" s="206">
        <f t="shared" si="1"/>
        <v>5184100</v>
      </c>
      <c r="H41" s="61">
        <v>1528.48</v>
      </c>
      <c r="I41" s="61">
        <v>1179.4000000000001</v>
      </c>
      <c r="J41" s="61">
        <v>349.07</v>
      </c>
      <c r="K41" s="61" t="s">
        <v>2784</v>
      </c>
    </row>
    <row r="42" spans="1:11">
      <c r="A42" s="61">
        <v>39</v>
      </c>
      <c r="B42" s="203" t="s">
        <v>2490</v>
      </c>
      <c r="C42" s="61" t="s">
        <v>9</v>
      </c>
      <c r="D42" s="61" t="s">
        <v>35</v>
      </c>
      <c r="E42" s="209">
        <v>1351000</v>
      </c>
      <c r="F42" s="212">
        <f t="shared" si="0"/>
        <v>1310470</v>
      </c>
      <c r="G42" s="206">
        <f t="shared" si="1"/>
        <v>1269940</v>
      </c>
      <c r="H42" s="61">
        <v>341.11</v>
      </c>
      <c r="I42" s="61">
        <v>293.95999999999998</v>
      </c>
      <c r="J42" s="61">
        <v>47.15</v>
      </c>
      <c r="K42" s="61" t="s">
        <v>2461</v>
      </c>
    </row>
    <row r="43" spans="1:11">
      <c r="A43" s="61">
        <v>40</v>
      </c>
      <c r="B43" s="203" t="s">
        <v>2491</v>
      </c>
      <c r="C43" s="61" t="s">
        <v>9</v>
      </c>
      <c r="D43" s="61" t="s">
        <v>35</v>
      </c>
      <c r="E43" s="209">
        <v>1353000</v>
      </c>
      <c r="F43" s="212">
        <f t="shared" si="0"/>
        <v>1312410</v>
      </c>
      <c r="G43" s="206">
        <f t="shared" si="1"/>
        <v>1271820</v>
      </c>
      <c r="H43" s="61">
        <v>386.85</v>
      </c>
      <c r="I43" s="61">
        <v>292.45999999999998</v>
      </c>
      <c r="J43" s="61">
        <v>94.4</v>
      </c>
      <c r="K43" s="61" t="s">
        <v>2461</v>
      </c>
    </row>
    <row r="44" spans="1:11">
      <c r="A44" s="61">
        <v>41</v>
      </c>
      <c r="B44" s="203" t="s">
        <v>2492</v>
      </c>
      <c r="C44" s="61" t="s">
        <v>9</v>
      </c>
      <c r="D44" s="61" t="s">
        <v>35</v>
      </c>
      <c r="E44" s="209">
        <v>1354000</v>
      </c>
      <c r="F44" s="212">
        <f t="shared" si="0"/>
        <v>1313380</v>
      </c>
      <c r="G44" s="206">
        <f t="shared" si="1"/>
        <v>1272760</v>
      </c>
      <c r="H44" s="61">
        <v>395.68</v>
      </c>
      <c r="I44" s="61">
        <v>292.45999999999998</v>
      </c>
      <c r="J44" s="61">
        <v>103.23</v>
      </c>
      <c r="K44" s="61" t="s">
        <v>2461</v>
      </c>
    </row>
    <row r="45" spans="1:11">
      <c r="A45" s="61">
        <v>42</v>
      </c>
      <c r="B45" s="203" t="s">
        <v>2493</v>
      </c>
      <c r="C45" s="61" t="s">
        <v>9</v>
      </c>
      <c r="D45" s="61" t="s">
        <v>35</v>
      </c>
      <c r="E45" s="209">
        <v>1356000</v>
      </c>
      <c r="F45" s="212">
        <f t="shared" si="0"/>
        <v>1315320</v>
      </c>
      <c r="G45" s="206">
        <f t="shared" si="1"/>
        <v>1274640</v>
      </c>
      <c r="H45" s="61">
        <v>401.82</v>
      </c>
      <c r="I45" s="61">
        <v>292.45999999999998</v>
      </c>
      <c r="J45" s="61">
        <v>109.36</v>
      </c>
      <c r="K45" s="61" t="s">
        <v>2461</v>
      </c>
    </row>
    <row r="46" spans="1:11">
      <c r="A46" s="61">
        <v>43</v>
      </c>
      <c r="B46" s="203" t="s">
        <v>2494</v>
      </c>
      <c r="C46" s="61" t="s">
        <v>9</v>
      </c>
      <c r="D46" s="61" t="s">
        <v>35</v>
      </c>
      <c r="E46" s="209">
        <v>1354000</v>
      </c>
      <c r="F46" s="212">
        <f t="shared" si="0"/>
        <v>1313380</v>
      </c>
      <c r="G46" s="206">
        <f t="shared" si="1"/>
        <v>1272760</v>
      </c>
      <c r="H46" s="61">
        <v>395.68</v>
      </c>
      <c r="I46" s="61">
        <v>292.45999999999998</v>
      </c>
      <c r="J46" s="61">
        <v>103.23</v>
      </c>
      <c r="K46" s="61" t="s">
        <v>2461</v>
      </c>
    </row>
    <row r="47" spans="1:11">
      <c r="A47" s="61">
        <v>44</v>
      </c>
      <c r="B47" s="203" t="s">
        <v>2495</v>
      </c>
      <c r="C47" s="61" t="s">
        <v>9</v>
      </c>
      <c r="D47" s="61" t="s">
        <v>35</v>
      </c>
      <c r="E47" s="209">
        <v>1353000</v>
      </c>
      <c r="F47" s="212">
        <f t="shared" si="0"/>
        <v>1312410</v>
      </c>
      <c r="G47" s="206">
        <f t="shared" si="1"/>
        <v>1271820</v>
      </c>
      <c r="H47" s="61">
        <v>386.85</v>
      </c>
      <c r="I47" s="61">
        <v>292.45999999999998</v>
      </c>
      <c r="J47" s="61">
        <v>94.4</v>
      </c>
      <c r="K47" s="61" t="s">
        <v>2461</v>
      </c>
    </row>
    <row r="48" spans="1:11">
      <c r="A48" s="61">
        <v>45</v>
      </c>
      <c r="B48" s="203" t="s">
        <v>2496</v>
      </c>
      <c r="C48" s="61" t="s">
        <v>4474</v>
      </c>
      <c r="D48" s="61" t="s">
        <v>48</v>
      </c>
      <c r="E48" s="209">
        <v>5388000</v>
      </c>
      <c r="F48" s="212">
        <f t="shared" si="0"/>
        <v>5226360</v>
      </c>
      <c r="G48" s="206">
        <f t="shared" si="1"/>
        <v>5064720</v>
      </c>
      <c r="H48" s="61">
        <v>1284.3499999999999</v>
      </c>
      <c r="I48" s="61">
        <v>1149.48</v>
      </c>
      <c r="J48" s="61">
        <v>134.87</v>
      </c>
      <c r="K48" s="61" t="s">
        <v>2780</v>
      </c>
    </row>
    <row r="49" spans="1:11">
      <c r="A49" s="61">
        <v>46</v>
      </c>
      <c r="B49" s="203" t="s">
        <v>2497</v>
      </c>
      <c r="C49" s="61" t="s">
        <v>4474</v>
      </c>
      <c r="D49" s="61" t="s">
        <v>48</v>
      </c>
      <c r="E49" s="209">
        <v>5025000</v>
      </c>
      <c r="F49" s="212">
        <f t="shared" si="0"/>
        <v>4874250</v>
      </c>
      <c r="G49" s="206">
        <f t="shared" si="1"/>
        <v>4723500</v>
      </c>
      <c r="H49" s="61">
        <v>1332.9</v>
      </c>
      <c r="I49" s="61">
        <v>1077.47</v>
      </c>
      <c r="J49" s="61">
        <v>255.43</v>
      </c>
      <c r="K49" s="61" t="s">
        <v>2784</v>
      </c>
    </row>
    <row r="50" spans="1:11">
      <c r="A50" s="61">
        <v>47</v>
      </c>
      <c r="B50" s="203" t="s">
        <v>2498</v>
      </c>
      <c r="C50" s="61" t="s">
        <v>4474</v>
      </c>
      <c r="D50" s="61" t="s">
        <v>48</v>
      </c>
      <c r="E50" s="209">
        <v>5505000</v>
      </c>
      <c r="F50" s="212">
        <f t="shared" si="0"/>
        <v>5339850</v>
      </c>
      <c r="G50" s="206">
        <f t="shared" si="1"/>
        <v>5174700</v>
      </c>
      <c r="H50" s="61">
        <v>1528.48</v>
      </c>
      <c r="I50" s="61">
        <v>1179.4000000000001</v>
      </c>
      <c r="J50" s="61">
        <v>349.07</v>
      </c>
      <c r="K50" s="61" t="s">
        <v>2784</v>
      </c>
    </row>
    <row r="51" spans="1:11">
      <c r="A51" s="61">
        <v>48</v>
      </c>
      <c r="B51" s="203" t="s">
        <v>2499</v>
      </c>
      <c r="C51" s="61" t="s">
        <v>4474</v>
      </c>
      <c r="D51" s="61" t="s">
        <v>48</v>
      </c>
      <c r="E51" s="209">
        <v>5505000</v>
      </c>
      <c r="F51" s="212">
        <f t="shared" si="0"/>
        <v>5339850</v>
      </c>
      <c r="G51" s="206">
        <f t="shared" si="1"/>
        <v>5174700</v>
      </c>
      <c r="H51" s="61">
        <v>1528.48</v>
      </c>
      <c r="I51" s="61">
        <v>1179.4000000000001</v>
      </c>
      <c r="J51" s="61">
        <v>349.07</v>
      </c>
      <c r="K51" s="61" t="s">
        <v>2784</v>
      </c>
    </row>
    <row r="52" spans="1:11">
      <c r="A52" s="61">
        <v>49</v>
      </c>
      <c r="B52" s="203" t="s">
        <v>2500</v>
      </c>
      <c r="C52" s="61" t="s">
        <v>9</v>
      </c>
      <c r="D52" s="61" t="s">
        <v>35</v>
      </c>
      <c r="E52" s="209">
        <v>1351000</v>
      </c>
      <c r="F52" s="212">
        <f t="shared" si="0"/>
        <v>1310470</v>
      </c>
      <c r="G52" s="206">
        <f t="shared" si="1"/>
        <v>1269940</v>
      </c>
      <c r="H52" s="61">
        <v>341.11</v>
      </c>
      <c r="I52" s="61">
        <v>293.95999999999998</v>
      </c>
      <c r="J52" s="61">
        <v>47.15</v>
      </c>
      <c r="K52" s="61" t="s">
        <v>2461</v>
      </c>
    </row>
    <row r="53" spans="1:11">
      <c r="A53" s="61">
        <v>50</v>
      </c>
      <c r="B53" s="203" t="s">
        <v>2501</v>
      </c>
      <c r="C53" s="61" t="s">
        <v>9</v>
      </c>
      <c r="D53" s="61" t="s">
        <v>24</v>
      </c>
      <c r="E53" s="209">
        <v>3250000</v>
      </c>
      <c r="F53" s="212">
        <f t="shared" si="0"/>
        <v>3152500</v>
      </c>
      <c r="G53" s="206">
        <f t="shared" si="1"/>
        <v>3055000</v>
      </c>
      <c r="H53" s="61">
        <v>980.16</v>
      </c>
      <c r="I53" s="61">
        <v>771.77</v>
      </c>
      <c r="J53" s="61">
        <v>208.39</v>
      </c>
      <c r="K53" s="61" t="s">
        <v>2780</v>
      </c>
    </row>
    <row r="54" spans="1:11">
      <c r="A54" s="61">
        <v>51</v>
      </c>
      <c r="B54" s="203" t="s">
        <v>2502</v>
      </c>
      <c r="C54" s="61" t="s">
        <v>4469</v>
      </c>
      <c r="D54" s="61" t="s">
        <v>24</v>
      </c>
      <c r="E54" s="209">
        <v>3400000</v>
      </c>
      <c r="F54" s="212">
        <f t="shared" si="0"/>
        <v>3298000</v>
      </c>
      <c r="G54" s="206">
        <f t="shared" si="1"/>
        <v>3196000</v>
      </c>
      <c r="H54" s="61">
        <v>980.16</v>
      </c>
      <c r="I54" s="61">
        <v>771.77</v>
      </c>
      <c r="J54" s="61">
        <v>208.39</v>
      </c>
      <c r="K54" s="61" t="s">
        <v>2780</v>
      </c>
    </row>
    <row r="55" spans="1:11">
      <c r="A55" s="61">
        <v>52</v>
      </c>
      <c r="B55" s="203" t="s">
        <v>2503</v>
      </c>
      <c r="C55" s="61" t="s">
        <v>4468</v>
      </c>
      <c r="D55" s="61" t="s">
        <v>24</v>
      </c>
      <c r="E55" s="209">
        <v>3394000</v>
      </c>
      <c r="F55" s="212">
        <f t="shared" si="0"/>
        <v>3292180</v>
      </c>
      <c r="G55" s="206">
        <f t="shared" si="1"/>
        <v>3190360</v>
      </c>
      <c r="H55" s="61">
        <v>980.16</v>
      </c>
      <c r="I55" s="61">
        <v>771.77</v>
      </c>
      <c r="J55" s="61">
        <v>208.39</v>
      </c>
      <c r="K55" s="61" t="s">
        <v>2780</v>
      </c>
    </row>
    <row r="56" spans="1:11">
      <c r="A56" s="61">
        <v>53</v>
      </c>
      <c r="B56" s="203" t="s">
        <v>2504</v>
      </c>
      <c r="C56" s="61" t="s">
        <v>4465</v>
      </c>
      <c r="D56" s="61" t="s">
        <v>24</v>
      </c>
      <c r="E56" s="209">
        <v>3328000</v>
      </c>
      <c r="F56" s="212">
        <f t="shared" si="0"/>
        <v>3228160</v>
      </c>
      <c r="G56" s="206">
        <f t="shared" si="1"/>
        <v>3128320</v>
      </c>
      <c r="H56" s="61">
        <v>980.16</v>
      </c>
      <c r="I56" s="61">
        <v>771.77</v>
      </c>
      <c r="J56" s="61">
        <v>208.39</v>
      </c>
      <c r="K56" s="61" t="s">
        <v>2781</v>
      </c>
    </row>
    <row r="57" spans="1:11">
      <c r="A57" s="61">
        <v>54</v>
      </c>
      <c r="B57" s="203" t="s">
        <v>2505</v>
      </c>
      <c r="C57" s="61" t="s">
        <v>4465</v>
      </c>
      <c r="D57" s="61" t="s">
        <v>24</v>
      </c>
      <c r="E57" s="209">
        <v>3375000</v>
      </c>
      <c r="F57" s="212">
        <f t="shared" si="0"/>
        <v>3273750</v>
      </c>
      <c r="G57" s="206">
        <f t="shared" si="1"/>
        <v>3172500</v>
      </c>
      <c r="H57" s="61">
        <v>980.16</v>
      </c>
      <c r="I57" s="61">
        <v>771.77</v>
      </c>
      <c r="J57" s="61">
        <v>208.39</v>
      </c>
      <c r="K57" s="61" t="s">
        <v>2780</v>
      </c>
    </row>
    <row r="58" spans="1:11">
      <c r="A58" s="61">
        <v>55</v>
      </c>
      <c r="B58" s="203" t="s">
        <v>2506</v>
      </c>
      <c r="C58" s="61" t="s">
        <v>10</v>
      </c>
      <c r="D58" s="61" t="s">
        <v>24</v>
      </c>
      <c r="E58" s="209">
        <v>3200000</v>
      </c>
      <c r="F58" s="212">
        <f t="shared" si="0"/>
        <v>3104000</v>
      </c>
      <c r="G58" s="206">
        <f t="shared" si="1"/>
        <v>3008000</v>
      </c>
      <c r="H58" s="61">
        <v>980.16</v>
      </c>
      <c r="I58" s="61">
        <v>771.77</v>
      </c>
      <c r="J58" s="61">
        <v>208.39</v>
      </c>
      <c r="K58" s="61" t="s">
        <v>2781</v>
      </c>
    </row>
    <row r="59" spans="1:11">
      <c r="A59" s="61">
        <v>56</v>
      </c>
      <c r="B59" s="203" t="s">
        <v>2507</v>
      </c>
      <c r="C59" s="61" t="s">
        <v>10</v>
      </c>
      <c r="D59" s="61" t="s">
        <v>35</v>
      </c>
      <c r="E59" s="209">
        <v>1350000</v>
      </c>
      <c r="F59" s="212">
        <f t="shared" si="0"/>
        <v>1309500</v>
      </c>
      <c r="G59" s="206">
        <f t="shared" si="1"/>
        <v>1269000</v>
      </c>
      <c r="H59" s="61">
        <v>375.34</v>
      </c>
      <c r="I59" s="61">
        <v>292.45999999999998</v>
      </c>
      <c r="J59" s="61">
        <v>82.88</v>
      </c>
      <c r="K59" s="61" t="s">
        <v>2461</v>
      </c>
    </row>
    <row r="60" spans="1:11">
      <c r="A60" s="61">
        <v>57</v>
      </c>
      <c r="B60" s="203" t="s">
        <v>2508</v>
      </c>
      <c r="C60" s="61" t="s">
        <v>10</v>
      </c>
      <c r="D60" s="61" t="s">
        <v>35</v>
      </c>
      <c r="E60" s="209">
        <v>1351000</v>
      </c>
      <c r="F60" s="212">
        <f t="shared" si="0"/>
        <v>1310470</v>
      </c>
      <c r="G60" s="206">
        <f t="shared" si="1"/>
        <v>1269940</v>
      </c>
      <c r="H60" s="61">
        <v>395.68</v>
      </c>
      <c r="I60" s="61">
        <v>292.45999999999998</v>
      </c>
      <c r="J60" s="61">
        <v>103.23</v>
      </c>
      <c r="K60" s="61" t="s">
        <v>2461</v>
      </c>
    </row>
    <row r="61" spans="1:11">
      <c r="A61" s="61">
        <v>58</v>
      </c>
      <c r="B61" s="203" t="s">
        <v>2509</v>
      </c>
      <c r="C61" s="61" t="s">
        <v>10</v>
      </c>
      <c r="D61" s="61" t="s">
        <v>35</v>
      </c>
      <c r="E61" s="209">
        <v>1353000</v>
      </c>
      <c r="F61" s="212">
        <f t="shared" si="0"/>
        <v>1312410</v>
      </c>
      <c r="G61" s="206">
        <f t="shared" si="1"/>
        <v>1271820</v>
      </c>
      <c r="H61" s="61">
        <v>401.82</v>
      </c>
      <c r="I61" s="61">
        <v>292.45999999999998</v>
      </c>
      <c r="J61" s="61">
        <v>109.36</v>
      </c>
      <c r="K61" s="61" t="s">
        <v>2461</v>
      </c>
    </row>
    <row r="62" spans="1:11">
      <c r="A62" s="61">
        <v>59</v>
      </c>
      <c r="B62" s="203" t="s">
        <v>2510</v>
      </c>
      <c r="C62" s="61" t="s">
        <v>10</v>
      </c>
      <c r="D62" s="61" t="s">
        <v>35</v>
      </c>
      <c r="E62" s="209">
        <v>1351000</v>
      </c>
      <c r="F62" s="212">
        <f t="shared" si="0"/>
        <v>1310470</v>
      </c>
      <c r="G62" s="206">
        <f t="shared" si="1"/>
        <v>1269940</v>
      </c>
      <c r="H62" s="61">
        <v>395.68</v>
      </c>
      <c r="I62" s="61">
        <v>292.45999999999998</v>
      </c>
      <c r="J62" s="61">
        <v>103.23</v>
      </c>
      <c r="K62" s="61" t="s">
        <v>2461</v>
      </c>
    </row>
    <row r="63" spans="1:11">
      <c r="A63" s="61">
        <v>60</v>
      </c>
      <c r="B63" s="203" t="s">
        <v>4962</v>
      </c>
      <c r="C63" s="61" t="s">
        <v>4464</v>
      </c>
      <c r="D63" s="61" t="s">
        <v>24</v>
      </c>
      <c r="E63" s="209">
        <v>3369000</v>
      </c>
      <c r="F63" s="212">
        <f t="shared" si="0"/>
        <v>3267930</v>
      </c>
      <c r="G63" s="206">
        <f t="shared" si="1"/>
        <v>3166860</v>
      </c>
      <c r="H63" s="61">
        <v>980.16</v>
      </c>
      <c r="I63" s="61">
        <v>771.77</v>
      </c>
      <c r="J63" s="61">
        <v>208.39</v>
      </c>
      <c r="K63" s="61" t="s">
        <v>2780</v>
      </c>
    </row>
    <row r="64" spans="1:11">
      <c r="A64" s="61">
        <v>61</v>
      </c>
      <c r="B64" s="203" t="s">
        <v>2511</v>
      </c>
      <c r="C64" s="61" t="s">
        <v>10</v>
      </c>
      <c r="D64" s="61" t="s">
        <v>35</v>
      </c>
      <c r="E64" s="209">
        <v>1356000</v>
      </c>
      <c r="F64" s="212">
        <f t="shared" si="0"/>
        <v>1315320</v>
      </c>
      <c r="G64" s="206">
        <f t="shared" si="1"/>
        <v>1274640</v>
      </c>
      <c r="H64" s="61">
        <v>361.13</v>
      </c>
      <c r="I64" s="61">
        <v>292.45999999999998</v>
      </c>
      <c r="J64" s="61">
        <v>68.67</v>
      </c>
      <c r="K64" s="61" t="s">
        <v>2461</v>
      </c>
    </row>
    <row r="65" spans="1:11">
      <c r="A65" s="61">
        <v>62</v>
      </c>
      <c r="B65" s="203" t="s">
        <v>2512</v>
      </c>
      <c r="C65" s="61" t="s">
        <v>4463</v>
      </c>
      <c r="D65" s="61" t="s">
        <v>24</v>
      </c>
      <c r="E65" s="209">
        <v>3316000</v>
      </c>
      <c r="F65" s="212">
        <f t="shared" si="0"/>
        <v>3216520</v>
      </c>
      <c r="G65" s="206">
        <f t="shared" si="1"/>
        <v>3117040</v>
      </c>
      <c r="H65" s="61">
        <v>980.16</v>
      </c>
      <c r="I65" s="61">
        <v>771.77</v>
      </c>
      <c r="J65" s="61">
        <v>208.39</v>
      </c>
      <c r="K65" s="61" t="s">
        <v>2781</v>
      </c>
    </row>
    <row r="66" spans="1:11">
      <c r="A66" s="61">
        <v>63</v>
      </c>
      <c r="B66" s="203" t="s">
        <v>2513</v>
      </c>
      <c r="C66" s="61" t="s">
        <v>10</v>
      </c>
      <c r="D66" s="61" t="s">
        <v>35</v>
      </c>
      <c r="E66" s="209">
        <v>1350000</v>
      </c>
      <c r="F66" s="212">
        <f t="shared" si="0"/>
        <v>1309500</v>
      </c>
      <c r="G66" s="206">
        <f t="shared" si="1"/>
        <v>1269000</v>
      </c>
      <c r="H66" s="61">
        <v>375.34</v>
      </c>
      <c r="I66" s="61">
        <v>292.45999999999998</v>
      </c>
      <c r="J66" s="61">
        <v>82.88</v>
      </c>
      <c r="K66" s="61" t="s">
        <v>2782</v>
      </c>
    </row>
    <row r="67" spans="1:11">
      <c r="A67" s="61">
        <v>64</v>
      </c>
      <c r="B67" s="203" t="s">
        <v>2514</v>
      </c>
      <c r="C67" s="61" t="s">
        <v>4463</v>
      </c>
      <c r="D67" s="61" t="s">
        <v>24</v>
      </c>
      <c r="E67" s="209">
        <v>3363000</v>
      </c>
      <c r="F67" s="212">
        <f t="shared" si="0"/>
        <v>3262110</v>
      </c>
      <c r="G67" s="206">
        <f t="shared" si="1"/>
        <v>3161220</v>
      </c>
      <c r="H67" s="61">
        <v>980.16</v>
      </c>
      <c r="I67" s="61">
        <v>771.77</v>
      </c>
      <c r="J67" s="61">
        <v>208.39</v>
      </c>
      <c r="K67" s="61" t="s">
        <v>2780</v>
      </c>
    </row>
    <row r="68" spans="1:11">
      <c r="A68" s="61">
        <v>65</v>
      </c>
      <c r="B68" s="203" t="s">
        <v>2515</v>
      </c>
      <c r="C68" s="61" t="s">
        <v>4462</v>
      </c>
      <c r="D68" s="61" t="s">
        <v>24</v>
      </c>
      <c r="E68" s="209">
        <v>3309000</v>
      </c>
      <c r="F68" s="212">
        <f t="shared" ref="F68:F130" si="2">E68*0.97</f>
        <v>3209730</v>
      </c>
      <c r="G68" s="206">
        <f t="shared" ref="G68:G130" si="3">E68*0.94</f>
        <v>3110460</v>
      </c>
      <c r="H68" s="61">
        <v>980.16</v>
      </c>
      <c r="I68" s="61">
        <v>771.77</v>
      </c>
      <c r="J68" s="61">
        <v>208.39</v>
      </c>
      <c r="K68" s="61" t="s">
        <v>2781</v>
      </c>
    </row>
    <row r="69" spans="1:11">
      <c r="A69" s="61">
        <v>66</v>
      </c>
      <c r="B69" s="203" t="s">
        <v>2516</v>
      </c>
      <c r="C69" s="61" t="s">
        <v>10</v>
      </c>
      <c r="D69" s="61" t="s">
        <v>24</v>
      </c>
      <c r="E69" s="209">
        <v>3200000</v>
      </c>
      <c r="F69" s="212">
        <f t="shared" si="2"/>
        <v>3104000</v>
      </c>
      <c r="G69" s="206">
        <f t="shared" si="3"/>
        <v>3008000</v>
      </c>
      <c r="H69" s="61">
        <v>980.16</v>
      </c>
      <c r="I69" s="61">
        <v>771.77</v>
      </c>
      <c r="J69" s="61">
        <v>208.39</v>
      </c>
      <c r="K69" s="61" t="s">
        <v>2781</v>
      </c>
    </row>
    <row r="70" spans="1:11">
      <c r="A70" s="61">
        <v>67</v>
      </c>
      <c r="B70" s="203" t="s">
        <v>4963</v>
      </c>
      <c r="C70" s="61" t="s">
        <v>4462</v>
      </c>
      <c r="D70" s="61" t="s">
        <v>24</v>
      </c>
      <c r="E70" s="209">
        <v>3356000</v>
      </c>
      <c r="F70" s="212">
        <f t="shared" si="2"/>
        <v>3255320</v>
      </c>
      <c r="G70" s="206">
        <f t="shared" si="3"/>
        <v>3154640</v>
      </c>
      <c r="H70" s="61">
        <v>980.16</v>
      </c>
      <c r="I70" s="61">
        <v>771.77</v>
      </c>
      <c r="J70" s="61">
        <v>208.39</v>
      </c>
      <c r="K70" s="61" t="s">
        <v>2780</v>
      </c>
    </row>
    <row r="71" spans="1:11">
      <c r="A71" s="61">
        <v>68</v>
      </c>
      <c r="B71" s="203" t="s">
        <v>2517</v>
      </c>
      <c r="C71" s="61" t="s">
        <v>4495</v>
      </c>
      <c r="D71" s="61" t="s">
        <v>24</v>
      </c>
      <c r="E71" s="209">
        <v>3303000</v>
      </c>
      <c r="F71" s="212">
        <f t="shared" si="2"/>
        <v>3203910</v>
      </c>
      <c r="G71" s="206">
        <f t="shared" si="3"/>
        <v>3104820</v>
      </c>
      <c r="H71" s="61">
        <v>980.16</v>
      </c>
      <c r="I71" s="61">
        <v>771.77</v>
      </c>
      <c r="J71" s="61">
        <v>208.39</v>
      </c>
      <c r="K71" s="61" t="s">
        <v>2781</v>
      </c>
    </row>
    <row r="72" spans="1:11">
      <c r="A72" s="61">
        <v>69</v>
      </c>
      <c r="B72" s="203" t="s">
        <v>4621</v>
      </c>
      <c r="C72" s="61" t="s">
        <v>4495</v>
      </c>
      <c r="D72" s="61" t="s">
        <v>35</v>
      </c>
      <c r="E72" s="209">
        <v>1395000</v>
      </c>
      <c r="F72" s="212">
        <f t="shared" si="2"/>
        <v>1353150</v>
      </c>
      <c r="G72" s="206">
        <f t="shared" si="3"/>
        <v>1311300</v>
      </c>
      <c r="H72" s="61">
        <v>386.85</v>
      </c>
      <c r="I72" s="61">
        <v>292.45999999999998</v>
      </c>
      <c r="J72" s="61">
        <v>94.4</v>
      </c>
      <c r="K72" s="61" t="s">
        <v>2461</v>
      </c>
    </row>
    <row r="73" spans="1:11">
      <c r="A73" s="61">
        <v>70</v>
      </c>
      <c r="B73" s="203" t="s">
        <v>4634</v>
      </c>
      <c r="C73" s="61" t="s">
        <v>4495</v>
      </c>
      <c r="D73" s="61" t="s">
        <v>35</v>
      </c>
      <c r="E73" s="209">
        <v>1396000</v>
      </c>
      <c r="F73" s="212">
        <f t="shared" si="2"/>
        <v>1354120</v>
      </c>
      <c r="G73" s="206">
        <f t="shared" si="3"/>
        <v>1312240</v>
      </c>
      <c r="H73" s="61">
        <v>395.68</v>
      </c>
      <c r="I73" s="61">
        <v>292.45999999999998</v>
      </c>
      <c r="J73" s="61">
        <v>103.23</v>
      </c>
      <c r="K73" s="61" t="s">
        <v>2461</v>
      </c>
    </row>
    <row r="74" spans="1:11">
      <c r="A74" s="61">
        <v>71</v>
      </c>
      <c r="B74" s="203" t="s">
        <v>2518</v>
      </c>
      <c r="C74" s="61" t="s">
        <v>4494</v>
      </c>
      <c r="D74" s="61" t="s">
        <v>24</v>
      </c>
      <c r="E74" s="209">
        <v>3297000</v>
      </c>
      <c r="F74" s="212">
        <f t="shared" si="2"/>
        <v>3198090</v>
      </c>
      <c r="G74" s="206">
        <f t="shared" si="3"/>
        <v>3099180</v>
      </c>
      <c r="H74" s="61">
        <v>980.16</v>
      </c>
      <c r="I74" s="61">
        <v>771.77</v>
      </c>
      <c r="J74" s="61">
        <v>208.39</v>
      </c>
      <c r="K74" s="61" t="s">
        <v>2781</v>
      </c>
    </row>
    <row r="75" spans="1:11">
      <c r="A75" s="61">
        <v>72</v>
      </c>
      <c r="B75" s="203" t="s">
        <v>2519</v>
      </c>
      <c r="C75" s="61" t="s">
        <v>33</v>
      </c>
      <c r="D75" s="61" t="s">
        <v>35</v>
      </c>
      <c r="E75" s="209">
        <v>1387000</v>
      </c>
      <c r="F75" s="212">
        <f t="shared" si="2"/>
        <v>1345390</v>
      </c>
      <c r="G75" s="206">
        <f t="shared" si="3"/>
        <v>1303780</v>
      </c>
      <c r="H75" s="61">
        <v>375.34</v>
      </c>
      <c r="I75" s="61">
        <v>292.45999999999998</v>
      </c>
      <c r="J75" s="61">
        <v>82.88</v>
      </c>
      <c r="K75" s="61" t="s">
        <v>2461</v>
      </c>
    </row>
    <row r="76" spans="1:11">
      <c r="A76" s="61">
        <v>73</v>
      </c>
      <c r="B76" s="203" t="s">
        <v>2520</v>
      </c>
      <c r="C76" s="61" t="s">
        <v>33</v>
      </c>
      <c r="D76" s="61" t="s">
        <v>24</v>
      </c>
      <c r="E76" s="209">
        <v>3338000</v>
      </c>
      <c r="F76" s="212">
        <f t="shared" si="2"/>
        <v>3237860</v>
      </c>
      <c r="G76" s="206">
        <f t="shared" si="3"/>
        <v>3137720</v>
      </c>
      <c r="H76" s="61">
        <v>980.16</v>
      </c>
      <c r="I76" s="61">
        <v>771.77</v>
      </c>
      <c r="J76" s="61">
        <v>208.39</v>
      </c>
      <c r="K76" s="61" t="s">
        <v>2780</v>
      </c>
    </row>
    <row r="77" spans="1:11">
      <c r="A77" s="61">
        <v>74</v>
      </c>
      <c r="B77" s="203" t="s">
        <v>2521</v>
      </c>
      <c r="C77" s="61" t="s">
        <v>34</v>
      </c>
      <c r="D77" s="61" t="s">
        <v>24</v>
      </c>
      <c r="E77" s="209">
        <v>3284000</v>
      </c>
      <c r="F77" s="212">
        <f t="shared" si="2"/>
        <v>3185480</v>
      </c>
      <c r="G77" s="206">
        <f t="shared" si="3"/>
        <v>3086960</v>
      </c>
      <c r="H77" s="61">
        <v>980.16</v>
      </c>
      <c r="I77" s="61">
        <v>771.77</v>
      </c>
      <c r="J77" s="61">
        <v>208.39</v>
      </c>
      <c r="K77" s="61" t="s">
        <v>2781</v>
      </c>
    </row>
    <row r="78" spans="1:11">
      <c r="A78" s="61">
        <v>75</v>
      </c>
      <c r="B78" s="203" t="s">
        <v>4654</v>
      </c>
      <c r="C78" s="61" t="s">
        <v>34</v>
      </c>
      <c r="D78" s="61" t="s">
        <v>35</v>
      </c>
      <c r="E78" s="209">
        <v>1388000</v>
      </c>
      <c r="F78" s="212">
        <f t="shared" si="2"/>
        <v>1346360</v>
      </c>
      <c r="G78" s="206">
        <f t="shared" si="3"/>
        <v>1304720</v>
      </c>
      <c r="H78" s="61">
        <v>395.68</v>
      </c>
      <c r="I78" s="61">
        <v>292.45999999999998</v>
      </c>
      <c r="J78" s="61">
        <v>103.23</v>
      </c>
      <c r="K78" s="61" t="s">
        <v>2461</v>
      </c>
    </row>
    <row r="79" spans="1:11">
      <c r="A79" s="61">
        <v>76</v>
      </c>
      <c r="B79" s="203" t="s">
        <v>2522</v>
      </c>
      <c r="C79" s="61" t="s">
        <v>34</v>
      </c>
      <c r="D79" s="61" t="s">
        <v>24</v>
      </c>
      <c r="E79" s="209">
        <v>3331000</v>
      </c>
      <c r="F79" s="212">
        <f t="shared" si="2"/>
        <v>3231070</v>
      </c>
      <c r="G79" s="206">
        <f t="shared" si="3"/>
        <v>3131140</v>
      </c>
      <c r="H79" s="61">
        <v>980.16</v>
      </c>
      <c r="I79" s="61">
        <v>771.77</v>
      </c>
      <c r="J79" s="61">
        <v>208.39</v>
      </c>
      <c r="K79" s="61" t="s">
        <v>2780</v>
      </c>
    </row>
    <row r="80" spans="1:11">
      <c r="A80" s="61">
        <v>77</v>
      </c>
      <c r="B80" s="203" t="s">
        <v>2523</v>
      </c>
      <c r="C80" s="61" t="s">
        <v>4461</v>
      </c>
      <c r="D80" s="61" t="s">
        <v>24</v>
      </c>
      <c r="E80" s="209">
        <v>3278000</v>
      </c>
      <c r="F80" s="212">
        <f t="shared" si="2"/>
        <v>3179660</v>
      </c>
      <c r="G80" s="206">
        <f t="shared" si="3"/>
        <v>3081320</v>
      </c>
      <c r="H80" s="61">
        <v>980.16</v>
      </c>
      <c r="I80" s="61">
        <v>771.77</v>
      </c>
      <c r="J80" s="61">
        <v>208.39</v>
      </c>
      <c r="K80" s="61" t="s">
        <v>2781</v>
      </c>
    </row>
    <row r="81" spans="1:11">
      <c r="A81" s="61">
        <v>78</v>
      </c>
      <c r="B81" s="203" t="s">
        <v>2524</v>
      </c>
      <c r="C81" s="61" t="s">
        <v>4461</v>
      </c>
      <c r="D81" s="61" t="s">
        <v>35</v>
      </c>
      <c r="E81" s="209">
        <v>1385000</v>
      </c>
      <c r="F81" s="212">
        <f t="shared" si="2"/>
        <v>1343450</v>
      </c>
      <c r="G81" s="206">
        <f t="shared" si="3"/>
        <v>1301900</v>
      </c>
      <c r="H81" s="61">
        <v>395.68</v>
      </c>
      <c r="I81" s="61">
        <v>292.45999999999998</v>
      </c>
      <c r="J81" s="61">
        <v>103.23</v>
      </c>
      <c r="K81" s="61" t="s">
        <v>2461</v>
      </c>
    </row>
    <row r="82" spans="1:11">
      <c r="A82" s="61">
        <v>79</v>
      </c>
      <c r="B82" s="203" t="s">
        <v>2525</v>
      </c>
      <c r="C82" s="61" t="s">
        <v>4461</v>
      </c>
      <c r="D82" s="61" t="s">
        <v>24</v>
      </c>
      <c r="E82" s="209">
        <v>3325000</v>
      </c>
      <c r="F82" s="212">
        <f t="shared" si="2"/>
        <v>3225250</v>
      </c>
      <c r="G82" s="206">
        <f t="shared" si="3"/>
        <v>3125500</v>
      </c>
      <c r="H82" s="61">
        <v>980.16</v>
      </c>
      <c r="I82" s="61">
        <v>771.77</v>
      </c>
      <c r="J82" s="61">
        <v>208.39</v>
      </c>
      <c r="K82" s="61" t="s">
        <v>2780</v>
      </c>
    </row>
    <row r="83" spans="1:11">
      <c r="A83" s="61">
        <v>80</v>
      </c>
      <c r="B83" s="203" t="s">
        <v>2526</v>
      </c>
      <c r="C83" s="61" t="s">
        <v>4460</v>
      </c>
      <c r="D83" s="61" t="s">
        <v>24</v>
      </c>
      <c r="E83" s="209">
        <v>3272000</v>
      </c>
      <c r="F83" s="212">
        <f t="shared" si="2"/>
        <v>3173840</v>
      </c>
      <c r="G83" s="206">
        <f t="shared" si="3"/>
        <v>3075680</v>
      </c>
      <c r="H83" s="61">
        <v>980.16</v>
      </c>
      <c r="I83" s="61">
        <v>771.77</v>
      </c>
      <c r="J83" s="61">
        <v>208.39</v>
      </c>
      <c r="K83" s="61" t="s">
        <v>2781</v>
      </c>
    </row>
    <row r="84" spans="1:11">
      <c r="A84" s="61">
        <v>81</v>
      </c>
      <c r="B84" s="203" t="s">
        <v>2527</v>
      </c>
      <c r="C84" s="61" t="s">
        <v>4460</v>
      </c>
      <c r="D84" s="61" t="s">
        <v>35</v>
      </c>
      <c r="E84" s="209">
        <v>1385000</v>
      </c>
      <c r="F84" s="212">
        <f t="shared" si="2"/>
        <v>1343450</v>
      </c>
      <c r="G84" s="206">
        <f t="shared" si="3"/>
        <v>1301900</v>
      </c>
      <c r="H84" s="61">
        <v>401.82</v>
      </c>
      <c r="I84" s="61">
        <v>292.45999999999998</v>
      </c>
      <c r="J84" s="61">
        <v>109.36</v>
      </c>
      <c r="K84" s="61" t="s">
        <v>2461</v>
      </c>
    </row>
    <row r="85" spans="1:11">
      <c r="A85" s="61">
        <v>82</v>
      </c>
      <c r="B85" s="203" t="s">
        <v>2528</v>
      </c>
      <c r="C85" s="61" t="s">
        <v>4460</v>
      </c>
      <c r="D85" s="61" t="s">
        <v>35</v>
      </c>
      <c r="E85" s="209">
        <v>1382000</v>
      </c>
      <c r="F85" s="212">
        <f t="shared" si="2"/>
        <v>1340540</v>
      </c>
      <c r="G85" s="206">
        <f t="shared" si="3"/>
        <v>1299080</v>
      </c>
      <c r="H85" s="61">
        <v>386.85</v>
      </c>
      <c r="I85" s="61">
        <v>292.45999999999998</v>
      </c>
      <c r="J85" s="61">
        <v>94.4</v>
      </c>
      <c r="K85" s="61" t="s">
        <v>2461</v>
      </c>
    </row>
    <row r="86" spans="1:11">
      <c r="A86" s="61">
        <v>83</v>
      </c>
      <c r="B86" s="203" t="s">
        <v>2529</v>
      </c>
      <c r="C86" s="61" t="s">
        <v>4460</v>
      </c>
      <c r="D86" s="61" t="s">
        <v>24</v>
      </c>
      <c r="E86" s="209">
        <v>3319000</v>
      </c>
      <c r="F86" s="212">
        <f t="shared" si="2"/>
        <v>3219430</v>
      </c>
      <c r="G86" s="206">
        <f t="shared" si="3"/>
        <v>3119860</v>
      </c>
      <c r="H86" s="61">
        <v>980.16</v>
      </c>
      <c r="I86" s="61">
        <v>771.77</v>
      </c>
      <c r="J86" s="61">
        <v>208.39</v>
      </c>
      <c r="K86" s="61" t="s">
        <v>2780</v>
      </c>
    </row>
    <row r="87" spans="1:11">
      <c r="A87" s="61">
        <v>84</v>
      </c>
      <c r="B87" s="203" t="s">
        <v>2530</v>
      </c>
      <c r="C87" s="61" t="s">
        <v>11</v>
      </c>
      <c r="D87" s="61" t="s">
        <v>24</v>
      </c>
      <c r="E87" s="209">
        <v>3265000</v>
      </c>
      <c r="F87" s="212">
        <f t="shared" si="2"/>
        <v>3167050</v>
      </c>
      <c r="G87" s="206">
        <f t="shared" si="3"/>
        <v>3069100</v>
      </c>
      <c r="H87" s="61">
        <v>980.16</v>
      </c>
      <c r="I87" s="61">
        <v>771.77</v>
      </c>
      <c r="J87" s="61">
        <v>208.39</v>
      </c>
      <c r="K87" s="61" t="s">
        <v>2781</v>
      </c>
    </row>
    <row r="88" spans="1:11">
      <c r="A88" s="61">
        <v>85</v>
      </c>
      <c r="B88" s="203" t="s">
        <v>2531</v>
      </c>
      <c r="C88" s="61" t="s">
        <v>11</v>
      </c>
      <c r="D88" s="61" t="s">
        <v>35</v>
      </c>
      <c r="E88" s="209">
        <v>1380000</v>
      </c>
      <c r="F88" s="212">
        <f t="shared" si="2"/>
        <v>1338600</v>
      </c>
      <c r="G88" s="206">
        <f t="shared" si="3"/>
        <v>1297200</v>
      </c>
      <c r="H88" s="61">
        <v>395.68</v>
      </c>
      <c r="I88" s="61">
        <v>292.45999999999998</v>
      </c>
      <c r="J88" s="61">
        <v>103.23</v>
      </c>
      <c r="K88" s="61" t="s">
        <v>2461</v>
      </c>
    </row>
    <row r="89" spans="1:11">
      <c r="A89" s="61">
        <v>86</v>
      </c>
      <c r="B89" s="203" t="s">
        <v>2532</v>
      </c>
      <c r="C89" s="61" t="s">
        <v>11</v>
      </c>
      <c r="D89" s="61" t="s">
        <v>24</v>
      </c>
      <c r="E89" s="209">
        <v>3313000</v>
      </c>
      <c r="F89" s="212">
        <f t="shared" si="2"/>
        <v>3213610</v>
      </c>
      <c r="G89" s="206">
        <f t="shared" si="3"/>
        <v>3114220</v>
      </c>
      <c r="H89" s="61">
        <v>980.16</v>
      </c>
      <c r="I89" s="61">
        <v>771.77</v>
      </c>
      <c r="J89" s="61">
        <v>208.39</v>
      </c>
      <c r="K89" s="61" t="s">
        <v>2780</v>
      </c>
    </row>
    <row r="90" spans="1:11">
      <c r="A90" s="61">
        <v>87</v>
      </c>
      <c r="B90" s="203" t="s">
        <v>2533</v>
      </c>
      <c r="C90" s="61" t="s">
        <v>12</v>
      </c>
      <c r="D90" s="61" t="s">
        <v>24</v>
      </c>
      <c r="E90" s="209">
        <v>3259000</v>
      </c>
      <c r="F90" s="212">
        <f t="shared" si="2"/>
        <v>3161230</v>
      </c>
      <c r="G90" s="206">
        <f t="shared" si="3"/>
        <v>3063460</v>
      </c>
      <c r="H90" s="61">
        <v>980.16</v>
      </c>
      <c r="I90" s="61">
        <v>771.77</v>
      </c>
      <c r="J90" s="61">
        <v>208.39</v>
      </c>
      <c r="K90" s="61" t="s">
        <v>2781</v>
      </c>
    </row>
    <row r="91" spans="1:11">
      <c r="A91" s="61">
        <v>88</v>
      </c>
      <c r="B91" s="203" t="s">
        <v>2534</v>
      </c>
      <c r="C91" s="61" t="s">
        <v>12</v>
      </c>
      <c r="D91" s="61" t="s">
        <v>35</v>
      </c>
      <c r="E91" s="209">
        <v>1377000</v>
      </c>
      <c r="F91" s="212">
        <f t="shared" si="2"/>
        <v>1335690</v>
      </c>
      <c r="G91" s="206">
        <f t="shared" si="3"/>
        <v>1294380</v>
      </c>
      <c r="H91" s="61">
        <v>386.85</v>
      </c>
      <c r="I91" s="61">
        <v>292.45999999999998</v>
      </c>
      <c r="J91" s="61">
        <v>94.4</v>
      </c>
      <c r="K91" s="61" t="s">
        <v>2461</v>
      </c>
    </row>
    <row r="92" spans="1:11">
      <c r="A92" s="61">
        <v>89</v>
      </c>
      <c r="B92" s="203" t="s">
        <v>2535</v>
      </c>
      <c r="C92" s="61" t="s">
        <v>12</v>
      </c>
      <c r="D92" s="61" t="s">
        <v>24</v>
      </c>
      <c r="E92" s="209">
        <v>3306000</v>
      </c>
      <c r="F92" s="212">
        <f t="shared" si="2"/>
        <v>3206820</v>
      </c>
      <c r="G92" s="206">
        <f t="shared" si="3"/>
        <v>3107640</v>
      </c>
      <c r="H92" s="61">
        <v>980.16</v>
      </c>
      <c r="I92" s="61">
        <v>771.77</v>
      </c>
      <c r="J92" s="61">
        <v>208.39</v>
      </c>
      <c r="K92" s="61" t="s">
        <v>2780</v>
      </c>
    </row>
    <row r="93" spans="1:11">
      <c r="A93" s="61">
        <v>90</v>
      </c>
      <c r="B93" s="203" t="s">
        <v>2536</v>
      </c>
      <c r="C93" s="61" t="s">
        <v>32</v>
      </c>
      <c r="D93" s="61" t="s">
        <v>24</v>
      </c>
      <c r="E93" s="209">
        <v>3300000</v>
      </c>
      <c r="F93" s="212">
        <f t="shared" si="2"/>
        <v>3201000</v>
      </c>
      <c r="G93" s="206">
        <f t="shared" si="3"/>
        <v>3102000</v>
      </c>
      <c r="H93" s="61">
        <v>980.16</v>
      </c>
      <c r="I93" s="61">
        <v>771.77</v>
      </c>
      <c r="J93" s="61">
        <v>208.39</v>
      </c>
      <c r="K93" s="61" t="s">
        <v>2780</v>
      </c>
    </row>
    <row r="94" spans="1:11">
      <c r="A94" s="61">
        <v>91</v>
      </c>
      <c r="B94" s="203" t="s">
        <v>2537</v>
      </c>
      <c r="C94" s="61" t="s">
        <v>4459</v>
      </c>
      <c r="D94" s="61" t="s">
        <v>35</v>
      </c>
      <c r="E94" s="209">
        <v>1372000</v>
      </c>
      <c r="F94" s="212">
        <f t="shared" si="2"/>
        <v>1330840</v>
      </c>
      <c r="G94" s="206">
        <f t="shared" si="3"/>
        <v>1289680</v>
      </c>
      <c r="H94" s="61">
        <v>395.68</v>
      </c>
      <c r="I94" s="61">
        <v>292.45999999999998</v>
      </c>
      <c r="J94" s="61">
        <v>103.23</v>
      </c>
      <c r="K94" s="61" t="s">
        <v>2461</v>
      </c>
    </row>
    <row r="95" spans="1:11">
      <c r="A95" s="61">
        <v>92</v>
      </c>
      <c r="B95" s="203" t="s">
        <v>2538</v>
      </c>
      <c r="C95" s="61" t="s">
        <v>4459</v>
      </c>
      <c r="D95" s="61" t="s">
        <v>35</v>
      </c>
      <c r="E95" s="209">
        <v>1368000</v>
      </c>
      <c r="F95" s="212">
        <f t="shared" si="2"/>
        <v>1326960</v>
      </c>
      <c r="G95" s="206">
        <f t="shared" si="3"/>
        <v>1285920</v>
      </c>
      <c r="H95" s="61">
        <v>375.34</v>
      </c>
      <c r="I95" s="61">
        <v>292.45999999999998</v>
      </c>
      <c r="J95" s="61">
        <v>82.88</v>
      </c>
      <c r="K95" s="61" t="s">
        <v>2461</v>
      </c>
    </row>
    <row r="96" spans="1:11">
      <c r="A96" s="61">
        <v>93</v>
      </c>
      <c r="B96" s="203" t="s">
        <v>2539</v>
      </c>
      <c r="C96" s="61" t="s">
        <v>4459</v>
      </c>
      <c r="D96" s="61" t="s">
        <v>35</v>
      </c>
      <c r="E96" s="209">
        <v>1369000</v>
      </c>
      <c r="F96" s="212">
        <f t="shared" si="2"/>
        <v>1327930</v>
      </c>
      <c r="G96" s="206">
        <f t="shared" si="3"/>
        <v>1286860</v>
      </c>
      <c r="H96" s="61">
        <v>341.11</v>
      </c>
      <c r="I96" s="61">
        <v>293.95999999999998</v>
      </c>
      <c r="J96" s="61">
        <v>47.15</v>
      </c>
      <c r="K96" s="61" t="s">
        <v>2461</v>
      </c>
    </row>
    <row r="97" spans="1:11">
      <c r="A97" s="61">
        <v>94</v>
      </c>
      <c r="B97" s="203" t="s">
        <v>4655</v>
      </c>
      <c r="C97" s="61" t="s">
        <v>5</v>
      </c>
      <c r="D97" s="61" t="s">
        <v>36</v>
      </c>
      <c r="E97" s="209">
        <v>2328000</v>
      </c>
      <c r="F97" s="212">
        <f t="shared" si="2"/>
        <v>2258160</v>
      </c>
      <c r="G97" s="206">
        <f t="shared" si="3"/>
        <v>2188320</v>
      </c>
      <c r="H97" s="61">
        <v>617.30999999999995</v>
      </c>
      <c r="I97" s="61">
        <v>549.82000000000005</v>
      </c>
      <c r="J97" s="61">
        <v>67.489999999999995</v>
      </c>
      <c r="K97" s="61" t="s">
        <v>2785</v>
      </c>
    </row>
    <row r="98" spans="1:11">
      <c r="A98" s="61">
        <v>95</v>
      </c>
      <c r="B98" s="203" t="s">
        <v>2540</v>
      </c>
      <c r="C98" s="61" t="s">
        <v>5</v>
      </c>
      <c r="D98" s="61" t="s">
        <v>24</v>
      </c>
      <c r="E98" s="209">
        <v>3244000</v>
      </c>
      <c r="F98" s="212">
        <f t="shared" si="2"/>
        <v>3146680</v>
      </c>
      <c r="G98" s="206">
        <f t="shared" si="3"/>
        <v>3049360</v>
      </c>
      <c r="H98" s="61">
        <v>980.16</v>
      </c>
      <c r="I98" s="61">
        <v>771.77</v>
      </c>
      <c r="J98" s="61">
        <v>208.39</v>
      </c>
      <c r="K98" s="61" t="s">
        <v>2785</v>
      </c>
    </row>
    <row r="99" spans="1:11">
      <c r="A99" s="61">
        <v>96</v>
      </c>
      <c r="B99" s="203" t="s">
        <v>2541</v>
      </c>
      <c r="C99" s="61" t="s">
        <v>5</v>
      </c>
      <c r="D99" s="61" t="s">
        <v>35</v>
      </c>
      <c r="E99" s="209">
        <v>1375000</v>
      </c>
      <c r="F99" s="212">
        <f t="shared" si="2"/>
        <v>1333750</v>
      </c>
      <c r="G99" s="206">
        <f t="shared" si="3"/>
        <v>1292500</v>
      </c>
      <c r="H99" s="61">
        <v>361.13</v>
      </c>
      <c r="I99" s="61">
        <v>292.45999999999998</v>
      </c>
      <c r="J99" s="61">
        <v>68.67</v>
      </c>
      <c r="K99" s="61" t="s">
        <v>2786</v>
      </c>
    </row>
    <row r="100" spans="1:11">
      <c r="A100" s="61">
        <v>97</v>
      </c>
      <c r="B100" s="203" t="s">
        <v>2542</v>
      </c>
      <c r="C100" s="61" t="s">
        <v>5</v>
      </c>
      <c r="D100" s="61" t="s">
        <v>24</v>
      </c>
      <c r="E100" s="209">
        <v>3291000</v>
      </c>
      <c r="F100" s="212">
        <f t="shared" si="2"/>
        <v>3192270</v>
      </c>
      <c r="G100" s="206">
        <f t="shared" si="3"/>
        <v>3093540</v>
      </c>
      <c r="H100" s="61">
        <v>980.16</v>
      </c>
      <c r="I100" s="61">
        <v>771.77</v>
      </c>
      <c r="J100" s="61">
        <v>208.39</v>
      </c>
      <c r="K100" s="61" t="s">
        <v>2780</v>
      </c>
    </row>
    <row r="101" spans="1:11">
      <c r="A101" s="61">
        <v>98</v>
      </c>
      <c r="B101" s="203" t="s">
        <v>2543</v>
      </c>
      <c r="C101" s="61" t="s">
        <v>5</v>
      </c>
      <c r="D101" s="61" t="s">
        <v>35</v>
      </c>
      <c r="E101" s="209">
        <v>1370000</v>
      </c>
      <c r="F101" s="212">
        <f t="shared" si="2"/>
        <v>1328900</v>
      </c>
      <c r="G101" s="206">
        <f t="shared" si="3"/>
        <v>1287800</v>
      </c>
      <c r="H101" s="61">
        <v>395.68</v>
      </c>
      <c r="I101" s="61">
        <v>292.45999999999998</v>
      </c>
      <c r="J101" s="61">
        <v>103.23</v>
      </c>
      <c r="K101" s="61" t="s">
        <v>2787</v>
      </c>
    </row>
    <row r="102" spans="1:11">
      <c r="A102" s="61">
        <v>99</v>
      </c>
      <c r="B102" s="203" t="s">
        <v>2544</v>
      </c>
      <c r="C102" s="61" t="s">
        <v>5</v>
      </c>
      <c r="D102" s="61" t="s">
        <v>35</v>
      </c>
      <c r="E102" s="209">
        <v>1370000</v>
      </c>
      <c r="F102" s="212">
        <f t="shared" si="2"/>
        <v>1328900</v>
      </c>
      <c r="G102" s="206">
        <f t="shared" si="3"/>
        <v>1287800</v>
      </c>
      <c r="H102" s="61">
        <v>395.68</v>
      </c>
      <c r="I102" s="61">
        <v>292.45999999999998</v>
      </c>
      <c r="J102" s="61">
        <v>103.23</v>
      </c>
      <c r="K102" s="61" t="s">
        <v>2787</v>
      </c>
    </row>
    <row r="103" spans="1:11">
      <c r="A103" s="61">
        <v>100</v>
      </c>
      <c r="B103" s="203" t="s">
        <v>2545</v>
      </c>
      <c r="C103" s="61" t="s">
        <v>5</v>
      </c>
      <c r="D103" s="61" t="s">
        <v>35</v>
      </c>
      <c r="E103" s="209">
        <v>1369000</v>
      </c>
      <c r="F103" s="212">
        <f t="shared" si="2"/>
        <v>1327930</v>
      </c>
      <c r="G103" s="206">
        <f t="shared" si="3"/>
        <v>1286860</v>
      </c>
      <c r="H103" s="61">
        <v>386.85</v>
      </c>
      <c r="I103" s="61">
        <v>292.45999999999998</v>
      </c>
      <c r="J103" s="61">
        <v>94.4</v>
      </c>
      <c r="K103" s="61" t="s">
        <v>2787</v>
      </c>
    </row>
    <row r="104" spans="1:11">
      <c r="A104" s="61">
        <v>101</v>
      </c>
      <c r="B104" s="203" t="s">
        <v>2546</v>
      </c>
      <c r="C104" s="61" t="s">
        <v>4</v>
      </c>
      <c r="D104" s="61" t="s">
        <v>35</v>
      </c>
      <c r="E104" s="209">
        <v>1366000</v>
      </c>
      <c r="F104" s="212">
        <f t="shared" si="2"/>
        <v>1325020</v>
      </c>
      <c r="G104" s="206">
        <f t="shared" si="3"/>
        <v>1284040</v>
      </c>
      <c r="H104" s="61">
        <v>386.85</v>
      </c>
      <c r="I104" s="61">
        <v>292.45999999999998</v>
      </c>
      <c r="J104" s="61">
        <v>94.4</v>
      </c>
      <c r="K104" s="61" t="s">
        <v>2786</v>
      </c>
    </row>
    <row r="105" spans="1:11">
      <c r="A105" s="61">
        <v>102</v>
      </c>
      <c r="B105" s="203" t="s">
        <v>2547</v>
      </c>
      <c r="C105" s="61" t="s">
        <v>4</v>
      </c>
      <c r="D105" s="61" t="s">
        <v>35</v>
      </c>
      <c r="E105" s="209">
        <v>1369000</v>
      </c>
      <c r="F105" s="212">
        <f t="shared" si="2"/>
        <v>1327930</v>
      </c>
      <c r="G105" s="206">
        <f t="shared" si="3"/>
        <v>1286860</v>
      </c>
      <c r="H105" s="61">
        <v>401.82</v>
      </c>
      <c r="I105" s="61">
        <v>292.45999999999998</v>
      </c>
      <c r="J105" s="61">
        <v>109.36</v>
      </c>
      <c r="K105" s="61" t="s">
        <v>2786</v>
      </c>
    </row>
    <row r="106" spans="1:11">
      <c r="A106" s="61">
        <v>103</v>
      </c>
      <c r="B106" s="203" t="s">
        <v>2548</v>
      </c>
      <c r="C106" s="61" t="s">
        <v>4</v>
      </c>
      <c r="D106" s="61" t="s">
        <v>35</v>
      </c>
      <c r="E106" s="209">
        <v>1363000</v>
      </c>
      <c r="F106" s="212">
        <f t="shared" si="2"/>
        <v>1322110</v>
      </c>
      <c r="G106" s="206">
        <f t="shared" si="3"/>
        <v>1281220</v>
      </c>
      <c r="H106" s="61">
        <v>375.34</v>
      </c>
      <c r="I106" s="61">
        <v>292.45999999999998</v>
      </c>
      <c r="J106" s="61">
        <v>82.88</v>
      </c>
      <c r="K106" s="61" t="s">
        <v>2786</v>
      </c>
    </row>
    <row r="107" spans="1:11">
      <c r="A107" s="61">
        <v>104</v>
      </c>
      <c r="B107" s="203" t="s">
        <v>2549</v>
      </c>
      <c r="C107" s="61" t="s">
        <v>4</v>
      </c>
      <c r="D107" s="61" t="s">
        <v>24</v>
      </c>
      <c r="E107" s="209">
        <v>3285000</v>
      </c>
      <c r="F107" s="212">
        <f t="shared" si="2"/>
        <v>3186450</v>
      </c>
      <c r="G107" s="206">
        <f t="shared" si="3"/>
        <v>3087900</v>
      </c>
      <c r="H107" s="61">
        <v>980.16</v>
      </c>
      <c r="I107" s="61">
        <v>771.77</v>
      </c>
      <c r="J107" s="61">
        <v>208.39</v>
      </c>
      <c r="K107" s="61" t="s">
        <v>2780</v>
      </c>
    </row>
    <row r="108" spans="1:11">
      <c r="A108" s="61">
        <v>105</v>
      </c>
      <c r="B108" s="203" t="s">
        <v>2550</v>
      </c>
      <c r="C108" s="61" t="s">
        <v>4</v>
      </c>
      <c r="D108" s="61" t="s">
        <v>24</v>
      </c>
      <c r="E108" s="209">
        <v>3285000</v>
      </c>
      <c r="F108" s="212">
        <f t="shared" si="2"/>
        <v>3186450</v>
      </c>
      <c r="G108" s="206">
        <f t="shared" si="3"/>
        <v>3087900</v>
      </c>
      <c r="H108" s="61">
        <v>980.16</v>
      </c>
      <c r="I108" s="61">
        <v>771.77</v>
      </c>
      <c r="J108" s="61">
        <v>208.39</v>
      </c>
      <c r="K108" s="61" t="s">
        <v>2780</v>
      </c>
    </row>
    <row r="109" spans="1:11">
      <c r="A109" s="61">
        <v>106</v>
      </c>
      <c r="B109" s="203" t="s">
        <v>2551</v>
      </c>
      <c r="C109" s="61" t="s">
        <v>4</v>
      </c>
      <c r="D109" s="61" t="s">
        <v>35</v>
      </c>
      <c r="E109" s="209">
        <v>1364000</v>
      </c>
      <c r="F109" s="212">
        <f t="shared" si="2"/>
        <v>1323080</v>
      </c>
      <c r="G109" s="206">
        <f t="shared" si="3"/>
        <v>1282160</v>
      </c>
      <c r="H109" s="61">
        <v>341.11</v>
      </c>
      <c r="I109" s="61">
        <v>293.95999999999998</v>
      </c>
      <c r="J109" s="61">
        <v>47.15</v>
      </c>
      <c r="K109" s="61" t="s">
        <v>2787</v>
      </c>
    </row>
    <row r="110" spans="1:11">
      <c r="A110" s="61">
        <v>107</v>
      </c>
      <c r="B110" s="203" t="s">
        <v>2552</v>
      </c>
      <c r="C110" s="61" t="s">
        <v>4</v>
      </c>
      <c r="D110" s="61" t="s">
        <v>35</v>
      </c>
      <c r="E110" s="209">
        <v>1372000</v>
      </c>
      <c r="F110" s="212">
        <f t="shared" si="2"/>
        <v>1330840</v>
      </c>
      <c r="G110" s="206">
        <f t="shared" si="3"/>
        <v>1289680</v>
      </c>
      <c r="H110" s="61">
        <v>361.13</v>
      </c>
      <c r="I110" s="61">
        <v>292.45999999999998</v>
      </c>
      <c r="J110" s="61">
        <v>68.67</v>
      </c>
      <c r="K110" s="61" t="s">
        <v>2787</v>
      </c>
    </row>
    <row r="111" spans="1:11">
      <c r="A111" s="61">
        <v>108</v>
      </c>
      <c r="B111" s="203" t="s">
        <v>2553</v>
      </c>
      <c r="C111" s="61" t="s">
        <v>4</v>
      </c>
      <c r="D111" s="61" t="s">
        <v>35</v>
      </c>
      <c r="E111" s="209">
        <v>1369000</v>
      </c>
      <c r="F111" s="212">
        <f t="shared" si="2"/>
        <v>1327930</v>
      </c>
      <c r="G111" s="206">
        <f t="shared" si="3"/>
        <v>1286860</v>
      </c>
      <c r="H111" s="61">
        <v>401.82</v>
      </c>
      <c r="I111" s="61">
        <v>292.45999999999998</v>
      </c>
      <c r="J111" s="61">
        <v>109.36</v>
      </c>
      <c r="K111" s="61" t="s">
        <v>2787</v>
      </c>
    </row>
    <row r="112" spans="1:11">
      <c r="A112" s="61">
        <v>109</v>
      </c>
      <c r="B112" s="203" t="s">
        <v>2554</v>
      </c>
      <c r="C112" s="61" t="s">
        <v>4</v>
      </c>
      <c r="D112" s="61" t="s">
        <v>35</v>
      </c>
      <c r="E112" s="209">
        <v>1367000</v>
      </c>
      <c r="F112" s="212">
        <f t="shared" si="2"/>
        <v>1325990</v>
      </c>
      <c r="G112" s="206">
        <f t="shared" si="3"/>
        <v>1284980</v>
      </c>
      <c r="H112" s="61">
        <v>395.68</v>
      </c>
      <c r="I112" s="61">
        <v>292.45999999999998</v>
      </c>
      <c r="J112" s="61">
        <v>103.23</v>
      </c>
      <c r="K112" s="61" t="s">
        <v>2787</v>
      </c>
    </row>
    <row r="113" spans="1:11">
      <c r="A113" s="61">
        <v>110</v>
      </c>
      <c r="B113" s="203" t="s">
        <v>2555</v>
      </c>
      <c r="C113" s="61" t="s">
        <v>4</v>
      </c>
      <c r="D113" s="61" t="s">
        <v>35</v>
      </c>
      <c r="E113" s="209">
        <v>1363000</v>
      </c>
      <c r="F113" s="212">
        <f t="shared" si="2"/>
        <v>1322110</v>
      </c>
      <c r="G113" s="206">
        <f t="shared" si="3"/>
        <v>1281220</v>
      </c>
      <c r="H113" s="61">
        <v>375.34</v>
      </c>
      <c r="I113" s="61">
        <v>292.45999999999998</v>
      </c>
      <c r="J113" s="61">
        <v>82.88</v>
      </c>
      <c r="K113" s="61" t="s">
        <v>2787</v>
      </c>
    </row>
    <row r="114" spans="1:11">
      <c r="A114" s="61">
        <v>111</v>
      </c>
      <c r="B114" s="203" t="s">
        <v>2556</v>
      </c>
      <c r="C114" s="61" t="s">
        <v>4</v>
      </c>
      <c r="D114" s="61" t="s">
        <v>24</v>
      </c>
      <c r="E114" s="209">
        <v>3238000</v>
      </c>
      <c r="F114" s="212">
        <f t="shared" si="2"/>
        <v>3140860</v>
      </c>
      <c r="G114" s="206">
        <f t="shared" si="3"/>
        <v>3043720</v>
      </c>
      <c r="H114" s="61">
        <v>980.16</v>
      </c>
      <c r="I114" s="61">
        <v>771.77</v>
      </c>
      <c r="J114" s="61">
        <v>208.39</v>
      </c>
      <c r="K114" s="61" t="s">
        <v>2785</v>
      </c>
    </row>
    <row r="115" spans="1:11">
      <c r="A115" s="61">
        <v>112</v>
      </c>
      <c r="B115" s="203" t="s">
        <v>4656</v>
      </c>
      <c r="C115" s="61" t="s">
        <v>4458</v>
      </c>
      <c r="D115" s="61" t="s">
        <v>36</v>
      </c>
      <c r="E115" s="209">
        <v>2319000</v>
      </c>
      <c r="F115" s="212">
        <f t="shared" si="2"/>
        <v>2249430</v>
      </c>
      <c r="G115" s="206">
        <f t="shared" si="3"/>
        <v>2179860</v>
      </c>
      <c r="H115" s="61">
        <v>617.30999999999995</v>
      </c>
      <c r="I115" s="61">
        <v>549.82000000000005</v>
      </c>
      <c r="J115" s="61">
        <v>67.489999999999995</v>
      </c>
      <c r="K115" s="61" t="s">
        <v>2785</v>
      </c>
    </row>
    <row r="116" spans="1:11">
      <c r="A116" s="61">
        <v>113</v>
      </c>
      <c r="B116" s="203" t="s">
        <v>2557</v>
      </c>
      <c r="C116" s="61" t="s">
        <v>4458</v>
      </c>
      <c r="D116" s="61" t="s">
        <v>35</v>
      </c>
      <c r="E116" s="209">
        <v>1361000</v>
      </c>
      <c r="F116" s="212">
        <f t="shared" si="2"/>
        <v>1320170</v>
      </c>
      <c r="G116" s="206">
        <f t="shared" si="3"/>
        <v>1279340</v>
      </c>
      <c r="H116" s="61">
        <v>375.34</v>
      </c>
      <c r="I116" s="61">
        <v>292.45999999999998</v>
      </c>
      <c r="J116" s="61">
        <v>82.88</v>
      </c>
      <c r="K116" s="61" t="s">
        <v>2786</v>
      </c>
    </row>
    <row r="117" spans="1:11">
      <c r="A117" s="61">
        <v>114</v>
      </c>
      <c r="B117" s="203" t="s">
        <v>2558</v>
      </c>
      <c r="C117" s="61" t="s">
        <v>4458</v>
      </c>
      <c r="D117" s="61" t="s">
        <v>35</v>
      </c>
      <c r="E117" s="209">
        <v>1364000</v>
      </c>
      <c r="F117" s="212">
        <f t="shared" si="2"/>
        <v>1323080</v>
      </c>
      <c r="G117" s="206">
        <f t="shared" si="3"/>
        <v>1282160</v>
      </c>
      <c r="H117" s="61">
        <v>386.85</v>
      </c>
      <c r="I117" s="61">
        <v>292.45999999999998</v>
      </c>
      <c r="J117" s="61">
        <v>94.4</v>
      </c>
      <c r="K117" s="61" t="s">
        <v>2786</v>
      </c>
    </row>
    <row r="118" spans="1:11">
      <c r="A118" s="61">
        <v>115</v>
      </c>
      <c r="B118" s="203" t="s">
        <v>2559</v>
      </c>
      <c r="C118" s="61" t="s">
        <v>4458</v>
      </c>
      <c r="D118" s="61" t="s">
        <v>35</v>
      </c>
      <c r="E118" s="209">
        <v>1366000</v>
      </c>
      <c r="F118" s="212">
        <f t="shared" si="2"/>
        <v>1325020</v>
      </c>
      <c r="G118" s="206">
        <f t="shared" si="3"/>
        <v>1284040</v>
      </c>
      <c r="H118" s="61">
        <v>401.82</v>
      </c>
      <c r="I118" s="61">
        <v>292.45999999999998</v>
      </c>
      <c r="J118" s="61">
        <v>109.36</v>
      </c>
      <c r="K118" s="61" t="s">
        <v>2786</v>
      </c>
    </row>
    <row r="119" spans="1:11">
      <c r="A119" s="61">
        <v>116</v>
      </c>
      <c r="B119" s="203" t="s">
        <v>2560</v>
      </c>
      <c r="C119" s="61" t="s">
        <v>4458</v>
      </c>
      <c r="D119" s="61" t="s">
        <v>35</v>
      </c>
      <c r="E119" s="209">
        <v>1366000</v>
      </c>
      <c r="F119" s="212">
        <f t="shared" si="2"/>
        <v>1325020</v>
      </c>
      <c r="G119" s="206">
        <f t="shared" si="3"/>
        <v>1284040</v>
      </c>
      <c r="H119" s="61">
        <v>401.82</v>
      </c>
      <c r="I119" s="61">
        <v>292.45999999999998</v>
      </c>
      <c r="J119" s="61">
        <v>109.36</v>
      </c>
      <c r="K119" s="61" t="s">
        <v>2786</v>
      </c>
    </row>
    <row r="120" spans="1:11">
      <c r="A120" s="61">
        <v>117</v>
      </c>
      <c r="B120" s="203" t="s">
        <v>2561</v>
      </c>
      <c r="C120" s="61" t="s">
        <v>4458</v>
      </c>
      <c r="D120" s="61" t="s">
        <v>35</v>
      </c>
      <c r="E120" s="209">
        <v>1364000</v>
      </c>
      <c r="F120" s="212">
        <f t="shared" si="2"/>
        <v>1323080</v>
      </c>
      <c r="G120" s="206">
        <f t="shared" si="3"/>
        <v>1282160</v>
      </c>
      <c r="H120" s="61">
        <v>386.85</v>
      </c>
      <c r="I120" s="61">
        <v>292.45999999999998</v>
      </c>
      <c r="J120" s="61">
        <v>94.4</v>
      </c>
      <c r="K120" s="61" t="s">
        <v>2786</v>
      </c>
    </row>
    <row r="121" spans="1:11">
      <c r="A121" s="61">
        <v>118</v>
      </c>
      <c r="B121" s="203" t="s">
        <v>2562</v>
      </c>
      <c r="C121" s="61" t="s">
        <v>4458</v>
      </c>
      <c r="D121" s="61" t="s">
        <v>24</v>
      </c>
      <c r="E121" s="209">
        <v>3279000</v>
      </c>
      <c r="F121" s="212">
        <f t="shared" si="2"/>
        <v>3180630</v>
      </c>
      <c r="G121" s="206">
        <f t="shared" si="3"/>
        <v>3082260</v>
      </c>
      <c r="H121" s="61">
        <v>980.16</v>
      </c>
      <c r="I121" s="61">
        <v>771.77</v>
      </c>
      <c r="J121" s="61">
        <v>208.39</v>
      </c>
      <c r="K121" s="61" t="s">
        <v>2780</v>
      </c>
    </row>
    <row r="122" spans="1:11">
      <c r="A122" s="61">
        <v>119</v>
      </c>
      <c r="B122" s="203" t="s">
        <v>2563</v>
      </c>
      <c r="C122" s="61" t="s">
        <v>4458</v>
      </c>
      <c r="D122" s="61" t="s">
        <v>24</v>
      </c>
      <c r="E122" s="209">
        <v>3279000</v>
      </c>
      <c r="F122" s="212">
        <f t="shared" si="2"/>
        <v>3180630</v>
      </c>
      <c r="G122" s="206">
        <f t="shared" si="3"/>
        <v>3082260</v>
      </c>
      <c r="H122" s="61">
        <v>980.16</v>
      </c>
      <c r="I122" s="61">
        <v>771.77</v>
      </c>
      <c r="J122" s="61">
        <v>208.39</v>
      </c>
      <c r="K122" s="61" t="s">
        <v>2780</v>
      </c>
    </row>
    <row r="123" spans="1:11">
      <c r="A123" s="61">
        <v>120</v>
      </c>
      <c r="B123" s="203" t="s">
        <v>2564</v>
      </c>
      <c r="C123" s="61" t="s">
        <v>4458</v>
      </c>
      <c r="D123" s="61" t="s">
        <v>35</v>
      </c>
      <c r="E123" s="209">
        <v>1364000</v>
      </c>
      <c r="F123" s="212">
        <f t="shared" si="2"/>
        <v>1323080</v>
      </c>
      <c r="G123" s="206">
        <f t="shared" si="3"/>
        <v>1282160</v>
      </c>
      <c r="H123" s="61">
        <v>386.85</v>
      </c>
      <c r="I123" s="61">
        <v>292.45999999999998</v>
      </c>
      <c r="J123" s="61">
        <v>94.4</v>
      </c>
      <c r="K123" s="61" t="s">
        <v>2787</v>
      </c>
    </row>
    <row r="124" spans="1:11">
      <c r="A124" s="61">
        <v>121</v>
      </c>
      <c r="B124" s="203" t="s">
        <v>2565</v>
      </c>
      <c r="C124" s="61" t="s">
        <v>4458</v>
      </c>
      <c r="D124" s="61" t="s">
        <v>24</v>
      </c>
      <c r="E124" s="209">
        <v>3232000</v>
      </c>
      <c r="F124" s="212">
        <f t="shared" si="2"/>
        <v>3135040</v>
      </c>
      <c r="G124" s="206">
        <f t="shared" si="3"/>
        <v>3038080</v>
      </c>
      <c r="H124" s="61">
        <v>980.16</v>
      </c>
      <c r="I124" s="61">
        <v>771.77</v>
      </c>
      <c r="J124" s="61">
        <v>208.39</v>
      </c>
      <c r="K124" s="61" t="s">
        <v>2785</v>
      </c>
    </row>
    <row r="125" spans="1:11">
      <c r="A125" s="61">
        <v>122</v>
      </c>
      <c r="B125" s="203" t="s">
        <v>4657</v>
      </c>
      <c r="C125" s="61" t="s">
        <v>6</v>
      </c>
      <c r="D125" s="61" t="s">
        <v>36</v>
      </c>
      <c r="E125" s="209">
        <v>2314000</v>
      </c>
      <c r="F125" s="212">
        <f t="shared" si="2"/>
        <v>2244580</v>
      </c>
      <c r="G125" s="206">
        <f t="shared" si="3"/>
        <v>2175160</v>
      </c>
      <c r="H125" s="61">
        <v>617.30999999999995</v>
      </c>
      <c r="I125" s="61">
        <v>549.82000000000005</v>
      </c>
      <c r="J125" s="61">
        <v>67.489999999999995</v>
      </c>
      <c r="K125" s="61" t="s">
        <v>2785</v>
      </c>
    </row>
    <row r="126" spans="1:11">
      <c r="A126" s="61">
        <v>123</v>
      </c>
      <c r="B126" s="203" t="s">
        <v>2566</v>
      </c>
      <c r="C126" s="61" t="s">
        <v>6</v>
      </c>
      <c r="D126" s="61" t="s">
        <v>24</v>
      </c>
      <c r="E126" s="209">
        <v>3225000</v>
      </c>
      <c r="F126" s="212">
        <f t="shared" si="2"/>
        <v>3128250</v>
      </c>
      <c r="G126" s="206">
        <f t="shared" si="3"/>
        <v>3031500</v>
      </c>
      <c r="H126" s="61">
        <v>980.16</v>
      </c>
      <c r="I126" s="61">
        <v>771.77</v>
      </c>
      <c r="J126" s="61">
        <v>208.39</v>
      </c>
      <c r="K126" s="61" t="s">
        <v>2785</v>
      </c>
    </row>
    <row r="127" spans="1:11">
      <c r="A127" s="61">
        <v>124</v>
      </c>
      <c r="B127" s="203" t="s">
        <v>2567</v>
      </c>
      <c r="C127" s="61" t="s">
        <v>6</v>
      </c>
      <c r="D127" s="61" t="s">
        <v>35</v>
      </c>
      <c r="E127" s="209">
        <v>1358000</v>
      </c>
      <c r="F127" s="212">
        <f t="shared" si="2"/>
        <v>1317260</v>
      </c>
      <c r="G127" s="206">
        <f t="shared" si="3"/>
        <v>1276520</v>
      </c>
      <c r="H127" s="61">
        <v>375.34</v>
      </c>
      <c r="I127" s="61">
        <v>292.45999999999998</v>
      </c>
      <c r="J127" s="61">
        <v>82.88</v>
      </c>
      <c r="K127" s="61" t="s">
        <v>2786</v>
      </c>
    </row>
    <row r="128" spans="1:11">
      <c r="A128" s="61">
        <v>125</v>
      </c>
      <c r="B128" s="203" t="s">
        <v>2568</v>
      </c>
      <c r="C128" s="61" t="s">
        <v>6</v>
      </c>
      <c r="D128" s="61" t="s">
        <v>35</v>
      </c>
      <c r="E128" s="209">
        <v>1358000</v>
      </c>
      <c r="F128" s="212">
        <f t="shared" si="2"/>
        <v>1317260</v>
      </c>
      <c r="G128" s="206">
        <f t="shared" si="3"/>
        <v>1276520</v>
      </c>
      <c r="H128" s="61">
        <v>341.11</v>
      </c>
      <c r="I128" s="61">
        <v>293.95999999999998</v>
      </c>
      <c r="J128" s="61">
        <v>47.15</v>
      </c>
      <c r="K128" s="61" t="s">
        <v>2786</v>
      </c>
    </row>
    <row r="129" spans="1:11">
      <c r="A129" s="61">
        <v>126</v>
      </c>
      <c r="B129" s="203" t="s">
        <v>2569</v>
      </c>
      <c r="C129" s="61" t="s">
        <v>6</v>
      </c>
      <c r="D129" s="61" t="s">
        <v>24</v>
      </c>
      <c r="E129" s="209">
        <v>3273000</v>
      </c>
      <c r="F129" s="212">
        <f t="shared" si="2"/>
        <v>3174810</v>
      </c>
      <c r="G129" s="206">
        <f t="shared" si="3"/>
        <v>3076620</v>
      </c>
      <c r="H129" s="61">
        <v>980.16</v>
      </c>
      <c r="I129" s="61">
        <v>771.77</v>
      </c>
      <c r="J129" s="61">
        <v>208.39</v>
      </c>
      <c r="K129" s="61" t="s">
        <v>2780</v>
      </c>
    </row>
    <row r="130" spans="1:11">
      <c r="A130" s="61">
        <v>127</v>
      </c>
      <c r="B130" s="203" t="s">
        <v>2570</v>
      </c>
      <c r="C130" s="61" t="s">
        <v>6</v>
      </c>
      <c r="D130" s="61" t="s">
        <v>35</v>
      </c>
      <c r="E130" s="209">
        <v>1367000</v>
      </c>
      <c r="F130" s="212">
        <f t="shared" si="2"/>
        <v>1325990</v>
      </c>
      <c r="G130" s="206">
        <f t="shared" si="3"/>
        <v>1284980</v>
      </c>
      <c r="H130" s="61">
        <v>361.13</v>
      </c>
      <c r="I130" s="61">
        <v>292.45999999999998</v>
      </c>
      <c r="J130" s="61">
        <v>68.67</v>
      </c>
      <c r="K130" s="61" t="s">
        <v>2787</v>
      </c>
    </row>
    <row r="131" spans="1:11">
      <c r="A131" s="61">
        <v>128</v>
      </c>
      <c r="B131" s="203" t="s">
        <v>2571</v>
      </c>
      <c r="C131" s="61" t="s">
        <v>6</v>
      </c>
      <c r="D131" s="61" t="s">
        <v>35</v>
      </c>
      <c r="E131" s="209">
        <v>1362000</v>
      </c>
      <c r="F131" s="212">
        <f t="shared" ref="F131:F194" si="4">E131*0.97</f>
        <v>1321140</v>
      </c>
      <c r="G131" s="206">
        <f t="shared" ref="G131:G194" si="5">E131*0.94</f>
        <v>1280280</v>
      </c>
      <c r="H131" s="61">
        <v>395.68</v>
      </c>
      <c r="I131" s="61">
        <v>292.45999999999998</v>
      </c>
      <c r="J131" s="61">
        <v>103.23</v>
      </c>
      <c r="K131" s="61" t="s">
        <v>2787</v>
      </c>
    </row>
    <row r="132" spans="1:11">
      <c r="A132" s="61">
        <v>129</v>
      </c>
      <c r="B132" s="203" t="s">
        <v>2572</v>
      </c>
      <c r="C132" s="61" t="s">
        <v>6</v>
      </c>
      <c r="D132" s="61" t="s">
        <v>35</v>
      </c>
      <c r="E132" s="209">
        <v>1364000</v>
      </c>
      <c r="F132" s="212">
        <f t="shared" si="4"/>
        <v>1323080</v>
      </c>
      <c r="G132" s="206">
        <f t="shared" si="5"/>
        <v>1282160</v>
      </c>
      <c r="H132" s="61">
        <v>401.82</v>
      </c>
      <c r="I132" s="61">
        <v>292.45999999999998</v>
      </c>
      <c r="J132" s="61">
        <v>109.36</v>
      </c>
      <c r="K132" s="61" t="s">
        <v>2787</v>
      </c>
    </row>
    <row r="133" spans="1:11">
      <c r="A133" s="61">
        <v>130</v>
      </c>
      <c r="B133" s="203" t="s">
        <v>2573</v>
      </c>
      <c r="C133" s="61" t="s">
        <v>6</v>
      </c>
      <c r="D133" s="61" t="s">
        <v>35</v>
      </c>
      <c r="E133" s="209">
        <v>1361000</v>
      </c>
      <c r="F133" s="212">
        <f t="shared" si="4"/>
        <v>1320170</v>
      </c>
      <c r="G133" s="206">
        <f t="shared" si="5"/>
        <v>1279340</v>
      </c>
      <c r="H133" s="61">
        <v>386.85</v>
      </c>
      <c r="I133" s="61">
        <v>292.45999999999998</v>
      </c>
      <c r="J133" s="61">
        <v>94.4</v>
      </c>
      <c r="K133" s="61" t="s">
        <v>2787</v>
      </c>
    </row>
    <row r="134" spans="1:11">
      <c r="A134" s="61">
        <v>131</v>
      </c>
      <c r="B134" s="203" t="s">
        <v>4546</v>
      </c>
      <c r="C134" s="61" t="s">
        <v>6</v>
      </c>
      <c r="D134" s="61" t="s">
        <v>35</v>
      </c>
      <c r="E134" s="209">
        <v>1358000</v>
      </c>
      <c r="F134" s="212">
        <f t="shared" si="4"/>
        <v>1317260</v>
      </c>
      <c r="G134" s="206">
        <f t="shared" si="5"/>
        <v>1276520</v>
      </c>
      <c r="H134" s="61">
        <v>375.34</v>
      </c>
      <c r="I134" s="61">
        <v>292.45999999999998</v>
      </c>
      <c r="J134" s="61">
        <v>82.88</v>
      </c>
      <c r="K134" s="61" t="s">
        <v>2787</v>
      </c>
    </row>
    <row r="135" spans="1:11">
      <c r="A135" s="61">
        <v>132</v>
      </c>
      <c r="B135" s="203" t="s">
        <v>2574</v>
      </c>
      <c r="C135" s="61" t="s">
        <v>6</v>
      </c>
      <c r="D135" s="61" t="s">
        <v>24</v>
      </c>
      <c r="E135" s="209">
        <v>3225000</v>
      </c>
      <c r="F135" s="212">
        <f t="shared" si="4"/>
        <v>3128250</v>
      </c>
      <c r="G135" s="206">
        <f t="shared" si="5"/>
        <v>3031500</v>
      </c>
      <c r="H135" s="61">
        <v>980.16</v>
      </c>
      <c r="I135" s="61">
        <v>771.77</v>
      </c>
      <c r="J135" s="61">
        <v>208.39</v>
      </c>
      <c r="K135" s="61" t="s">
        <v>2785</v>
      </c>
    </row>
    <row r="136" spans="1:11">
      <c r="A136" s="61">
        <v>133</v>
      </c>
      <c r="B136" s="203" t="s">
        <v>4658</v>
      </c>
      <c r="C136" s="61" t="s">
        <v>7</v>
      </c>
      <c r="D136" s="61" t="s">
        <v>36</v>
      </c>
      <c r="E136" s="209">
        <v>2310000</v>
      </c>
      <c r="F136" s="212">
        <f t="shared" si="4"/>
        <v>2240700</v>
      </c>
      <c r="G136" s="206">
        <f t="shared" si="5"/>
        <v>2171400</v>
      </c>
      <c r="H136" s="61">
        <v>617.30999999999995</v>
      </c>
      <c r="I136" s="61">
        <v>549.82000000000005</v>
      </c>
      <c r="J136" s="61">
        <v>67.489999999999995</v>
      </c>
      <c r="K136" s="61" t="s">
        <v>2785</v>
      </c>
    </row>
    <row r="137" spans="1:11">
      <c r="A137" s="61">
        <v>134</v>
      </c>
      <c r="B137" s="203" t="s">
        <v>2575</v>
      </c>
      <c r="C137" s="61" t="s">
        <v>7</v>
      </c>
      <c r="D137" s="61" t="s">
        <v>35</v>
      </c>
      <c r="E137" s="209">
        <v>1364000</v>
      </c>
      <c r="F137" s="212">
        <f t="shared" si="4"/>
        <v>1323080</v>
      </c>
      <c r="G137" s="206">
        <f t="shared" si="5"/>
        <v>1282160</v>
      </c>
      <c r="H137" s="61">
        <v>361.13</v>
      </c>
      <c r="I137" s="61">
        <v>292.45999999999998</v>
      </c>
      <c r="J137" s="61">
        <v>68.67</v>
      </c>
      <c r="K137" s="61" t="s">
        <v>2786</v>
      </c>
    </row>
    <row r="138" spans="1:11">
      <c r="A138" s="61">
        <v>135</v>
      </c>
      <c r="B138" s="203" t="s">
        <v>2576</v>
      </c>
      <c r="C138" s="61" t="s">
        <v>7</v>
      </c>
      <c r="D138" s="61" t="s">
        <v>35</v>
      </c>
      <c r="E138" s="209">
        <v>1361000</v>
      </c>
      <c r="F138" s="212">
        <f t="shared" si="4"/>
        <v>1320170</v>
      </c>
      <c r="G138" s="206">
        <f t="shared" si="5"/>
        <v>1279340</v>
      </c>
      <c r="H138" s="61">
        <v>401.82</v>
      </c>
      <c r="I138" s="61">
        <v>292.45999999999998</v>
      </c>
      <c r="J138" s="61">
        <v>109.36</v>
      </c>
      <c r="K138" s="61" t="s">
        <v>2786</v>
      </c>
    </row>
    <row r="139" spans="1:11">
      <c r="A139" s="61">
        <v>136</v>
      </c>
      <c r="B139" s="203" t="s">
        <v>2577</v>
      </c>
      <c r="C139" s="61" t="s">
        <v>7</v>
      </c>
      <c r="D139" s="61" t="s">
        <v>35</v>
      </c>
      <c r="E139" s="209">
        <v>1355000</v>
      </c>
      <c r="F139" s="212">
        <f t="shared" si="4"/>
        <v>1314350</v>
      </c>
      <c r="G139" s="206">
        <f t="shared" si="5"/>
        <v>1273700</v>
      </c>
      <c r="H139" s="61">
        <v>375.34</v>
      </c>
      <c r="I139" s="61">
        <v>292.45999999999998</v>
      </c>
      <c r="J139" s="61">
        <v>82.88</v>
      </c>
      <c r="K139" s="61" t="s">
        <v>2786</v>
      </c>
    </row>
    <row r="140" spans="1:11">
      <c r="A140" s="61">
        <v>137</v>
      </c>
      <c r="B140" s="203" t="s">
        <v>2578</v>
      </c>
      <c r="C140" s="61" t="s">
        <v>7</v>
      </c>
      <c r="D140" s="61" t="s">
        <v>35</v>
      </c>
      <c r="E140" s="209">
        <v>1364000</v>
      </c>
      <c r="F140" s="212">
        <f t="shared" si="4"/>
        <v>1323080</v>
      </c>
      <c r="G140" s="206">
        <f t="shared" si="5"/>
        <v>1282160</v>
      </c>
      <c r="H140" s="61">
        <v>361.13</v>
      </c>
      <c r="I140" s="61">
        <v>292.45999999999998</v>
      </c>
      <c r="J140" s="61">
        <v>68.67</v>
      </c>
      <c r="K140" s="61" t="s">
        <v>2786</v>
      </c>
    </row>
    <row r="141" spans="1:11">
      <c r="A141" s="61">
        <v>138</v>
      </c>
      <c r="B141" s="203" t="s">
        <v>2579</v>
      </c>
      <c r="C141" s="61" t="s">
        <v>7</v>
      </c>
      <c r="D141" s="61" t="s">
        <v>24</v>
      </c>
      <c r="E141" s="209">
        <v>3266000</v>
      </c>
      <c r="F141" s="212">
        <f t="shared" si="4"/>
        <v>3168020</v>
      </c>
      <c r="G141" s="206">
        <f t="shared" si="5"/>
        <v>3070040</v>
      </c>
      <c r="H141" s="61">
        <v>980.16</v>
      </c>
      <c r="I141" s="61">
        <v>771.77</v>
      </c>
      <c r="J141" s="61">
        <v>208.39</v>
      </c>
      <c r="K141" s="61" t="s">
        <v>2780</v>
      </c>
    </row>
    <row r="142" spans="1:11">
      <c r="A142" s="61">
        <v>139</v>
      </c>
      <c r="B142" s="203" t="s">
        <v>2580</v>
      </c>
      <c r="C142" s="61" t="s">
        <v>7</v>
      </c>
      <c r="D142" s="61" t="s">
        <v>24</v>
      </c>
      <c r="E142" s="209">
        <v>3266000</v>
      </c>
      <c r="F142" s="212">
        <f t="shared" si="4"/>
        <v>3168020</v>
      </c>
      <c r="G142" s="206">
        <f t="shared" si="5"/>
        <v>3070040</v>
      </c>
      <c r="H142" s="61">
        <v>980.16</v>
      </c>
      <c r="I142" s="61">
        <v>771.77</v>
      </c>
      <c r="J142" s="61">
        <v>208.39</v>
      </c>
      <c r="K142" s="61" t="s">
        <v>2780</v>
      </c>
    </row>
    <row r="143" spans="1:11">
      <c r="A143" s="61">
        <v>140</v>
      </c>
      <c r="B143" s="203" t="s">
        <v>2581</v>
      </c>
      <c r="C143" s="61" t="s">
        <v>7</v>
      </c>
      <c r="D143" s="61" t="s">
        <v>35</v>
      </c>
      <c r="E143" s="209">
        <v>1359000</v>
      </c>
      <c r="F143" s="212">
        <f t="shared" si="4"/>
        <v>1318230</v>
      </c>
      <c r="G143" s="206">
        <f t="shared" si="5"/>
        <v>1277460</v>
      </c>
      <c r="H143" s="61">
        <v>395.68</v>
      </c>
      <c r="I143" s="61">
        <v>292.45999999999998</v>
      </c>
      <c r="J143" s="61">
        <v>103.23</v>
      </c>
      <c r="K143" s="61" t="s">
        <v>2787</v>
      </c>
    </row>
    <row r="144" spans="1:11">
      <c r="A144" s="61">
        <v>141</v>
      </c>
      <c r="B144" s="203" t="s">
        <v>2582</v>
      </c>
      <c r="C144" s="61" t="s">
        <v>7</v>
      </c>
      <c r="D144" s="61" t="s">
        <v>35</v>
      </c>
      <c r="E144" s="209">
        <v>1358000</v>
      </c>
      <c r="F144" s="212">
        <f t="shared" si="4"/>
        <v>1317260</v>
      </c>
      <c r="G144" s="206">
        <f t="shared" si="5"/>
        <v>1276520</v>
      </c>
      <c r="H144" s="61">
        <v>386.85</v>
      </c>
      <c r="I144" s="61">
        <v>292.45999999999998</v>
      </c>
      <c r="J144" s="61">
        <v>94.4</v>
      </c>
      <c r="K144" s="61" t="s">
        <v>2787</v>
      </c>
    </row>
    <row r="145" spans="1:11">
      <c r="A145" s="61">
        <v>142</v>
      </c>
      <c r="B145" s="203" t="s">
        <v>2583</v>
      </c>
      <c r="C145" s="61" t="s">
        <v>7</v>
      </c>
      <c r="D145" s="61" t="s">
        <v>24</v>
      </c>
      <c r="E145" s="209">
        <v>3219000</v>
      </c>
      <c r="F145" s="212">
        <f t="shared" si="4"/>
        <v>3122430</v>
      </c>
      <c r="G145" s="206">
        <f t="shared" si="5"/>
        <v>3025860</v>
      </c>
      <c r="H145" s="61">
        <v>980.16</v>
      </c>
      <c r="I145" s="61">
        <v>771.77</v>
      </c>
      <c r="J145" s="61">
        <v>208.39</v>
      </c>
      <c r="K145" s="61" t="s">
        <v>2785</v>
      </c>
    </row>
    <row r="146" spans="1:11">
      <c r="A146" s="61">
        <v>143</v>
      </c>
      <c r="B146" s="203" t="s">
        <v>4659</v>
      </c>
      <c r="C146" s="61" t="s">
        <v>8</v>
      </c>
      <c r="D146" s="61" t="s">
        <v>36</v>
      </c>
      <c r="E146" s="209">
        <v>2305000</v>
      </c>
      <c r="F146" s="212">
        <f t="shared" si="4"/>
        <v>2235850</v>
      </c>
      <c r="G146" s="206">
        <f t="shared" si="5"/>
        <v>2166700</v>
      </c>
      <c r="H146" s="61">
        <v>617.30999999999995</v>
      </c>
      <c r="I146" s="61">
        <v>549.82000000000005</v>
      </c>
      <c r="J146" s="61">
        <v>67.489999999999995</v>
      </c>
      <c r="K146" s="61" t="s">
        <v>2785</v>
      </c>
    </row>
    <row r="147" spans="1:11">
      <c r="A147" s="61">
        <v>144</v>
      </c>
      <c r="B147" s="203" t="s">
        <v>2584</v>
      </c>
      <c r="C147" s="61" t="s">
        <v>8</v>
      </c>
      <c r="D147" s="61" t="s">
        <v>24</v>
      </c>
      <c r="E147" s="209">
        <v>3213000</v>
      </c>
      <c r="F147" s="212">
        <f t="shared" si="4"/>
        <v>3116610</v>
      </c>
      <c r="G147" s="206">
        <f t="shared" si="5"/>
        <v>3020220</v>
      </c>
      <c r="H147" s="61">
        <v>980.16</v>
      </c>
      <c r="I147" s="61">
        <v>771.77</v>
      </c>
      <c r="J147" s="61">
        <v>208.39</v>
      </c>
      <c r="K147" s="61" t="s">
        <v>2785</v>
      </c>
    </row>
    <row r="148" spans="1:11">
      <c r="A148" s="61">
        <v>145</v>
      </c>
      <c r="B148" s="203" t="s">
        <v>2585</v>
      </c>
      <c r="C148" s="61" t="s">
        <v>8</v>
      </c>
      <c r="D148" s="61" t="s">
        <v>35</v>
      </c>
      <c r="E148" s="209">
        <v>1353000</v>
      </c>
      <c r="F148" s="212">
        <f t="shared" si="4"/>
        <v>1312410</v>
      </c>
      <c r="G148" s="206">
        <f t="shared" si="5"/>
        <v>1271820</v>
      </c>
      <c r="H148" s="61">
        <v>375.34</v>
      </c>
      <c r="I148" s="61">
        <v>292.45999999999998</v>
      </c>
      <c r="J148" s="61">
        <v>82.88</v>
      </c>
      <c r="K148" s="61" t="s">
        <v>2786</v>
      </c>
    </row>
    <row r="149" spans="1:11">
      <c r="A149" s="61">
        <v>146</v>
      </c>
      <c r="B149" s="203" t="s">
        <v>2586</v>
      </c>
      <c r="C149" s="61" t="s">
        <v>8</v>
      </c>
      <c r="D149" s="61" t="s">
        <v>35</v>
      </c>
      <c r="E149" s="209">
        <v>1356000</v>
      </c>
      <c r="F149" s="212">
        <f t="shared" si="4"/>
        <v>1315320</v>
      </c>
      <c r="G149" s="206">
        <f t="shared" si="5"/>
        <v>1274640</v>
      </c>
      <c r="H149" s="61">
        <v>386.85</v>
      </c>
      <c r="I149" s="61">
        <v>292.45999999999998</v>
      </c>
      <c r="J149" s="61">
        <v>94.4</v>
      </c>
      <c r="K149" s="61" t="s">
        <v>2786</v>
      </c>
    </row>
    <row r="150" spans="1:11">
      <c r="A150" s="61">
        <v>147</v>
      </c>
      <c r="B150" s="203" t="s">
        <v>2587</v>
      </c>
      <c r="C150" s="61" t="s">
        <v>8</v>
      </c>
      <c r="D150" s="61" t="s">
        <v>35</v>
      </c>
      <c r="E150" s="209">
        <v>1357000</v>
      </c>
      <c r="F150" s="212">
        <f t="shared" si="4"/>
        <v>1316290</v>
      </c>
      <c r="G150" s="206">
        <f t="shared" si="5"/>
        <v>1275580</v>
      </c>
      <c r="H150" s="61">
        <v>395.68</v>
      </c>
      <c r="I150" s="61">
        <v>292.45999999999998</v>
      </c>
      <c r="J150" s="61">
        <v>103.23</v>
      </c>
      <c r="K150" s="61" t="s">
        <v>2786</v>
      </c>
    </row>
    <row r="151" spans="1:11">
      <c r="A151" s="61">
        <v>148</v>
      </c>
      <c r="B151" s="203" t="s">
        <v>2588</v>
      </c>
      <c r="C151" s="61" t="s">
        <v>8</v>
      </c>
      <c r="D151" s="61" t="s">
        <v>35</v>
      </c>
      <c r="E151" s="209">
        <v>1358000</v>
      </c>
      <c r="F151" s="212">
        <f t="shared" si="4"/>
        <v>1317260</v>
      </c>
      <c r="G151" s="206">
        <f t="shared" si="5"/>
        <v>1276520</v>
      </c>
      <c r="H151" s="61">
        <v>401.82</v>
      </c>
      <c r="I151" s="61">
        <v>292.45999999999998</v>
      </c>
      <c r="J151" s="61">
        <v>109.36</v>
      </c>
      <c r="K151" s="61" t="s">
        <v>2786</v>
      </c>
    </row>
    <row r="152" spans="1:11">
      <c r="A152" s="61">
        <v>149</v>
      </c>
      <c r="B152" s="203" t="s">
        <v>2589</v>
      </c>
      <c r="C152" s="61" t="s">
        <v>8</v>
      </c>
      <c r="D152" s="61" t="s">
        <v>35</v>
      </c>
      <c r="E152" s="209">
        <v>1357000</v>
      </c>
      <c r="F152" s="212">
        <f t="shared" si="4"/>
        <v>1316290</v>
      </c>
      <c r="G152" s="206">
        <f t="shared" si="5"/>
        <v>1275580</v>
      </c>
      <c r="H152" s="61">
        <v>395.68</v>
      </c>
      <c r="I152" s="61">
        <v>292.45999999999998</v>
      </c>
      <c r="J152" s="61">
        <v>103.23</v>
      </c>
      <c r="K152" s="61" t="s">
        <v>2786</v>
      </c>
    </row>
    <row r="153" spans="1:11">
      <c r="A153" s="61">
        <v>150</v>
      </c>
      <c r="B153" s="203" t="s">
        <v>2590</v>
      </c>
      <c r="C153" s="61" t="s">
        <v>8</v>
      </c>
      <c r="D153" s="61" t="s">
        <v>35</v>
      </c>
      <c r="E153" s="209">
        <v>1353000</v>
      </c>
      <c r="F153" s="212">
        <f t="shared" si="4"/>
        <v>1312410</v>
      </c>
      <c r="G153" s="206">
        <f t="shared" si="5"/>
        <v>1271820</v>
      </c>
      <c r="H153" s="61">
        <v>341.11</v>
      </c>
      <c r="I153" s="61">
        <v>293.95999999999998</v>
      </c>
      <c r="J153" s="61">
        <v>47.15</v>
      </c>
      <c r="K153" s="61" t="s">
        <v>2786</v>
      </c>
    </row>
    <row r="154" spans="1:11">
      <c r="A154" s="61">
        <v>151</v>
      </c>
      <c r="B154" s="203" t="s">
        <v>2591</v>
      </c>
      <c r="C154" s="61" t="s">
        <v>8</v>
      </c>
      <c r="D154" s="61" t="s">
        <v>24</v>
      </c>
      <c r="E154" s="209">
        <v>3260000</v>
      </c>
      <c r="F154" s="212">
        <f t="shared" si="4"/>
        <v>3162200</v>
      </c>
      <c r="G154" s="206">
        <f t="shared" si="5"/>
        <v>3064400</v>
      </c>
      <c r="H154" s="61">
        <v>980.16</v>
      </c>
      <c r="I154" s="61">
        <v>771.77</v>
      </c>
      <c r="J154" s="61">
        <v>208.39</v>
      </c>
      <c r="K154" s="61" t="s">
        <v>2780</v>
      </c>
    </row>
    <row r="155" spans="1:11">
      <c r="A155" s="61">
        <v>152</v>
      </c>
      <c r="B155" s="203" t="s">
        <v>2592</v>
      </c>
      <c r="C155" s="61" t="s">
        <v>8</v>
      </c>
      <c r="D155" s="61" t="s">
        <v>35</v>
      </c>
      <c r="E155" s="209">
        <v>1353000</v>
      </c>
      <c r="F155" s="212">
        <f t="shared" si="4"/>
        <v>1312410</v>
      </c>
      <c r="G155" s="206">
        <f t="shared" si="5"/>
        <v>1271820</v>
      </c>
      <c r="H155" s="61">
        <v>341.11</v>
      </c>
      <c r="I155" s="61">
        <v>293.95999999999998</v>
      </c>
      <c r="J155" s="61">
        <v>47.15</v>
      </c>
      <c r="K155" s="61" t="s">
        <v>2787</v>
      </c>
    </row>
    <row r="156" spans="1:11">
      <c r="A156" s="61">
        <v>153</v>
      </c>
      <c r="B156" s="203" t="s">
        <v>2593</v>
      </c>
      <c r="C156" s="61" t="s">
        <v>8</v>
      </c>
      <c r="D156" s="61" t="s">
        <v>35</v>
      </c>
      <c r="E156" s="209">
        <v>1362000</v>
      </c>
      <c r="F156" s="212">
        <f t="shared" si="4"/>
        <v>1321140</v>
      </c>
      <c r="G156" s="206">
        <f t="shared" si="5"/>
        <v>1280280</v>
      </c>
      <c r="H156" s="61">
        <v>361.13</v>
      </c>
      <c r="I156" s="61">
        <v>292.45999999999998</v>
      </c>
      <c r="J156" s="61">
        <v>68.67</v>
      </c>
      <c r="K156" s="61" t="s">
        <v>2787</v>
      </c>
    </row>
    <row r="157" spans="1:11">
      <c r="A157" s="61">
        <v>154</v>
      </c>
      <c r="B157" s="203" t="s">
        <v>2594</v>
      </c>
      <c r="C157" s="61" t="s">
        <v>8</v>
      </c>
      <c r="D157" s="61" t="s">
        <v>35</v>
      </c>
      <c r="E157" s="209">
        <v>1353000</v>
      </c>
      <c r="F157" s="212">
        <f t="shared" si="4"/>
        <v>1312410</v>
      </c>
      <c r="G157" s="206">
        <f t="shared" si="5"/>
        <v>1271820</v>
      </c>
      <c r="H157" s="61">
        <v>375.34</v>
      </c>
      <c r="I157" s="61">
        <v>292.45999999999998</v>
      </c>
      <c r="J157" s="61">
        <v>82.88</v>
      </c>
      <c r="K157" s="61" t="s">
        <v>2787</v>
      </c>
    </row>
    <row r="158" spans="1:11">
      <c r="A158" s="61">
        <v>155</v>
      </c>
      <c r="B158" s="203" t="s">
        <v>2595</v>
      </c>
      <c r="C158" s="61" t="s">
        <v>8</v>
      </c>
      <c r="D158" s="61" t="s">
        <v>35</v>
      </c>
      <c r="E158" s="209">
        <v>1357000</v>
      </c>
      <c r="F158" s="212">
        <f t="shared" si="4"/>
        <v>1316290</v>
      </c>
      <c r="G158" s="206">
        <f t="shared" si="5"/>
        <v>1275580</v>
      </c>
      <c r="H158" s="61">
        <v>395.68</v>
      </c>
      <c r="I158" s="61">
        <v>292.45999999999998</v>
      </c>
      <c r="J158" s="61">
        <v>103.23</v>
      </c>
      <c r="K158" s="61" t="s">
        <v>2787</v>
      </c>
    </row>
    <row r="159" spans="1:11">
      <c r="A159" s="61">
        <v>156</v>
      </c>
      <c r="B159" s="203" t="s">
        <v>2596</v>
      </c>
      <c r="C159" s="61" t="s">
        <v>8</v>
      </c>
      <c r="D159" s="61" t="s">
        <v>35</v>
      </c>
      <c r="E159" s="209">
        <v>1358000</v>
      </c>
      <c r="F159" s="212">
        <f t="shared" si="4"/>
        <v>1317260</v>
      </c>
      <c r="G159" s="206">
        <f t="shared" si="5"/>
        <v>1276520</v>
      </c>
      <c r="H159" s="61">
        <v>401.82</v>
      </c>
      <c r="I159" s="61">
        <v>292.45999999999998</v>
      </c>
      <c r="J159" s="61">
        <v>109.36</v>
      </c>
      <c r="K159" s="61" t="s">
        <v>2787</v>
      </c>
    </row>
    <row r="160" spans="1:11">
      <c r="A160" s="61">
        <v>157</v>
      </c>
      <c r="B160" s="203" t="s">
        <v>2597</v>
      </c>
      <c r="C160" s="61" t="s">
        <v>8</v>
      </c>
      <c r="D160" s="61" t="s">
        <v>35</v>
      </c>
      <c r="E160" s="209">
        <v>1353000</v>
      </c>
      <c r="F160" s="212">
        <f t="shared" si="4"/>
        <v>1312410</v>
      </c>
      <c r="G160" s="206">
        <f t="shared" si="5"/>
        <v>1271820</v>
      </c>
      <c r="H160" s="61">
        <v>375.34</v>
      </c>
      <c r="I160" s="61">
        <v>292.45999999999998</v>
      </c>
      <c r="J160" s="61">
        <v>82.88</v>
      </c>
      <c r="K160" s="61" t="s">
        <v>2787</v>
      </c>
    </row>
    <row r="161" spans="1:11">
      <c r="A161" s="61">
        <v>158</v>
      </c>
      <c r="B161" s="203" t="s">
        <v>4660</v>
      </c>
      <c r="C161" s="61" t="s">
        <v>9</v>
      </c>
      <c r="D161" s="61" t="s">
        <v>36</v>
      </c>
      <c r="E161" s="209">
        <v>2301000</v>
      </c>
      <c r="F161" s="212">
        <f t="shared" si="4"/>
        <v>2231970</v>
      </c>
      <c r="G161" s="206">
        <f t="shared" si="5"/>
        <v>2162940</v>
      </c>
      <c r="H161" s="61">
        <v>617.30999999999995</v>
      </c>
      <c r="I161" s="61">
        <v>549.82000000000005</v>
      </c>
      <c r="J161" s="61">
        <v>67.489999999999995</v>
      </c>
      <c r="K161" s="61" t="s">
        <v>2785</v>
      </c>
    </row>
    <row r="162" spans="1:11">
      <c r="A162" s="61">
        <v>159</v>
      </c>
      <c r="B162" s="203" t="s">
        <v>2598</v>
      </c>
      <c r="C162" s="61" t="s">
        <v>9</v>
      </c>
      <c r="D162" s="61" t="s">
        <v>24</v>
      </c>
      <c r="E162" s="209">
        <v>3207000</v>
      </c>
      <c r="F162" s="212">
        <f t="shared" si="4"/>
        <v>3110790</v>
      </c>
      <c r="G162" s="206">
        <f t="shared" si="5"/>
        <v>3014580</v>
      </c>
      <c r="H162" s="61">
        <v>980.16</v>
      </c>
      <c r="I162" s="61">
        <v>771.77</v>
      </c>
      <c r="J162" s="61">
        <v>208.39</v>
      </c>
      <c r="K162" s="61" t="s">
        <v>2785</v>
      </c>
    </row>
    <row r="163" spans="1:11">
      <c r="A163" s="61">
        <v>160</v>
      </c>
      <c r="B163" s="203" t="s">
        <v>2599</v>
      </c>
      <c r="C163" s="61" t="s">
        <v>9</v>
      </c>
      <c r="D163" s="61" t="s">
        <v>35</v>
      </c>
      <c r="E163" s="209">
        <v>1351000</v>
      </c>
      <c r="F163" s="212">
        <f t="shared" si="4"/>
        <v>1310470</v>
      </c>
      <c r="G163" s="206">
        <f t="shared" si="5"/>
        <v>1269940</v>
      </c>
      <c r="H163" s="61">
        <v>341.11</v>
      </c>
      <c r="I163" s="61">
        <v>293.95999999999998</v>
      </c>
      <c r="J163" s="61">
        <v>47.15</v>
      </c>
      <c r="K163" s="61" t="s">
        <v>2786</v>
      </c>
    </row>
    <row r="164" spans="1:11">
      <c r="A164" s="61">
        <v>161</v>
      </c>
      <c r="B164" s="203" t="s">
        <v>2600</v>
      </c>
      <c r="C164" s="61" t="s">
        <v>9</v>
      </c>
      <c r="D164" s="61" t="s">
        <v>35</v>
      </c>
      <c r="E164" s="209">
        <v>1353000</v>
      </c>
      <c r="F164" s="212">
        <f t="shared" si="4"/>
        <v>1312410</v>
      </c>
      <c r="G164" s="206">
        <f t="shared" si="5"/>
        <v>1271820</v>
      </c>
      <c r="H164" s="61">
        <v>386.85</v>
      </c>
      <c r="I164" s="61">
        <v>292.45999999999998</v>
      </c>
      <c r="J164" s="61">
        <v>94.4</v>
      </c>
      <c r="K164" s="61" t="s">
        <v>2786</v>
      </c>
    </row>
    <row r="165" spans="1:11">
      <c r="A165" s="61">
        <v>162</v>
      </c>
      <c r="B165" s="203" t="s">
        <v>2601</v>
      </c>
      <c r="C165" s="61" t="s">
        <v>9</v>
      </c>
      <c r="D165" s="61" t="s">
        <v>35</v>
      </c>
      <c r="E165" s="209">
        <v>1354000</v>
      </c>
      <c r="F165" s="212">
        <f t="shared" si="4"/>
        <v>1313380</v>
      </c>
      <c r="G165" s="206">
        <f t="shared" si="5"/>
        <v>1272760</v>
      </c>
      <c r="H165" s="61">
        <v>395.68</v>
      </c>
      <c r="I165" s="61">
        <v>292.45999999999998</v>
      </c>
      <c r="J165" s="61">
        <v>103.23</v>
      </c>
      <c r="K165" s="61" t="s">
        <v>2786</v>
      </c>
    </row>
    <row r="166" spans="1:11">
      <c r="A166" s="61">
        <v>163</v>
      </c>
      <c r="B166" s="203" t="s">
        <v>2602</v>
      </c>
      <c r="C166" s="61" t="s">
        <v>9</v>
      </c>
      <c r="D166" s="61" t="s">
        <v>35</v>
      </c>
      <c r="E166" s="209">
        <v>1356000</v>
      </c>
      <c r="F166" s="212">
        <f t="shared" si="4"/>
        <v>1315320</v>
      </c>
      <c r="G166" s="206">
        <f t="shared" si="5"/>
        <v>1274640</v>
      </c>
      <c r="H166" s="61">
        <v>401.82</v>
      </c>
      <c r="I166" s="61">
        <v>292.45999999999998</v>
      </c>
      <c r="J166" s="61">
        <v>109.36</v>
      </c>
      <c r="K166" s="61" t="s">
        <v>2786</v>
      </c>
    </row>
    <row r="167" spans="1:11">
      <c r="A167" s="61">
        <v>164</v>
      </c>
      <c r="B167" s="203" t="s">
        <v>2603</v>
      </c>
      <c r="C167" s="61" t="s">
        <v>9</v>
      </c>
      <c r="D167" s="61" t="s">
        <v>35</v>
      </c>
      <c r="E167" s="209">
        <v>1356000</v>
      </c>
      <c r="F167" s="212">
        <f t="shared" si="4"/>
        <v>1315320</v>
      </c>
      <c r="G167" s="206">
        <f t="shared" si="5"/>
        <v>1274640</v>
      </c>
      <c r="H167" s="61">
        <v>401.82</v>
      </c>
      <c r="I167" s="61">
        <v>292.45999999999998</v>
      </c>
      <c r="J167" s="61">
        <v>109.36</v>
      </c>
      <c r="K167" s="61" t="s">
        <v>2786</v>
      </c>
    </row>
    <row r="168" spans="1:11">
      <c r="A168" s="61">
        <v>165</v>
      </c>
      <c r="B168" s="203" t="s">
        <v>2604</v>
      </c>
      <c r="C168" s="61" t="s">
        <v>9</v>
      </c>
      <c r="D168" s="61" t="s">
        <v>35</v>
      </c>
      <c r="E168" s="209">
        <v>1354000</v>
      </c>
      <c r="F168" s="212">
        <f t="shared" si="4"/>
        <v>1313380</v>
      </c>
      <c r="G168" s="206">
        <f t="shared" si="5"/>
        <v>1272760</v>
      </c>
      <c r="H168" s="61">
        <v>395.68</v>
      </c>
      <c r="I168" s="61">
        <v>292.45999999999998</v>
      </c>
      <c r="J168" s="61">
        <v>103.23</v>
      </c>
      <c r="K168" s="61" t="s">
        <v>2786</v>
      </c>
    </row>
    <row r="169" spans="1:11">
      <c r="A169" s="61">
        <v>166</v>
      </c>
      <c r="B169" s="203" t="s">
        <v>2605</v>
      </c>
      <c r="C169" s="61" t="s">
        <v>9</v>
      </c>
      <c r="D169" s="61" t="s">
        <v>35</v>
      </c>
      <c r="E169" s="209">
        <v>1353000</v>
      </c>
      <c r="F169" s="212">
        <f t="shared" si="4"/>
        <v>1312410</v>
      </c>
      <c r="G169" s="206">
        <f t="shared" si="5"/>
        <v>1271820</v>
      </c>
      <c r="H169" s="61">
        <v>386.85</v>
      </c>
      <c r="I169" s="61">
        <v>292.45999999999998</v>
      </c>
      <c r="J169" s="61">
        <v>94.4</v>
      </c>
      <c r="K169" s="61" t="s">
        <v>2786</v>
      </c>
    </row>
    <row r="170" spans="1:11">
      <c r="A170" s="61">
        <v>167</v>
      </c>
      <c r="B170" s="203" t="s">
        <v>2606</v>
      </c>
      <c r="C170" s="61" t="s">
        <v>9</v>
      </c>
      <c r="D170" s="61" t="s">
        <v>35</v>
      </c>
      <c r="E170" s="209">
        <v>1350000</v>
      </c>
      <c r="F170" s="212">
        <f t="shared" si="4"/>
        <v>1309500</v>
      </c>
      <c r="G170" s="206">
        <f t="shared" si="5"/>
        <v>1269000</v>
      </c>
      <c r="H170" s="61">
        <v>375.34</v>
      </c>
      <c r="I170" s="61">
        <v>292.45999999999998</v>
      </c>
      <c r="J170" s="61">
        <v>82.88</v>
      </c>
      <c r="K170" s="61" t="s">
        <v>2786</v>
      </c>
    </row>
    <row r="171" spans="1:11">
      <c r="A171" s="61">
        <v>168</v>
      </c>
      <c r="B171" s="203" t="s">
        <v>2607</v>
      </c>
      <c r="C171" s="61" t="s">
        <v>9</v>
      </c>
      <c r="D171" s="61" t="s">
        <v>35</v>
      </c>
      <c r="E171" s="209">
        <v>1359000</v>
      </c>
      <c r="F171" s="212">
        <f t="shared" si="4"/>
        <v>1318230</v>
      </c>
      <c r="G171" s="206">
        <f t="shared" si="5"/>
        <v>1277460</v>
      </c>
      <c r="H171" s="61">
        <v>361.13</v>
      </c>
      <c r="I171" s="61">
        <v>292.45999999999998</v>
      </c>
      <c r="J171" s="61">
        <v>68.67</v>
      </c>
      <c r="K171" s="61" t="s">
        <v>2786</v>
      </c>
    </row>
    <row r="172" spans="1:11">
      <c r="A172" s="61">
        <v>169</v>
      </c>
      <c r="B172" s="203" t="s">
        <v>2608</v>
      </c>
      <c r="C172" s="61" t="s">
        <v>9</v>
      </c>
      <c r="D172" s="61" t="s">
        <v>24</v>
      </c>
      <c r="E172" s="209">
        <v>3254000</v>
      </c>
      <c r="F172" s="212">
        <f t="shared" si="4"/>
        <v>3156380</v>
      </c>
      <c r="G172" s="206">
        <f t="shared" si="5"/>
        <v>3058760</v>
      </c>
      <c r="H172" s="61">
        <v>980.16</v>
      </c>
      <c r="I172" s="61">
        <v>771.77</v>
      </c>
      <c r="J172" s="61">
        <v>208.39</v>
      </c>
      <c r="K172" s="61" t="s">
        <v>2780</v>
      </c>
    </row>
    <row r="173" spans="1:11">
      <c r="A173" s="61">
        <v>170</v>
      </c>
      <c r="B173" s="203" t="s">
        <v>4661</v>
      </c>
      <c r="C173" s="61" t="s">
        <v>9</v>
      </c>
      <c r="D173" s="61" t="s">
        <v>36</v>
      </c>
      <c r="E173" s="209">
        <v>2335000</v>
      </c>
      <c r="F173" s="212">
        <f t="shared" si="4"/>
        <v>2264950</v>
      </c>
      <c r="G173" s="206">
        <f t="shared" si="5"/>
        <v>2194900</v>
      </c>
      <c r="H173" s="61">
        <v>617.30999999999995</v>
      </c>
      <c r="I173" s="61">
        <v>549.82000000000005</v>
      </c>
      <c r="J173" s="61">
        <v>67.489999999999995</v>
      </c>
      <c r="K173" s="61" t="s">
        <v>2780</v>
      </c>
    </row>
    <row r="174" spans="1:11">
      <c r="A174" s="61">
        <v>171</v>
      </c>
      <c r="B174" s="203" t="s">
        <v>2609</v>
      </c>
      <c r="C174" s="61" t="s">
        <v>9</v>
      </c>
      <c r="D174" s="61" t="s">
        <v>24</v>
      </c>
      <c r="E174" s="209">
        <v>3254000</v>
      </c>
      <c r="F174" s="212">
        <f t="shared" si="4"/>
        <v>3156380</v>
      </c>
      <c r="G174" s="206">
        <f t="shared" si="5"/>
        <v>3058760</v>
      </c>
      <c r="H174" s="61">
        <v>980.16</v>
      </c>
      <c r="I174" s="61">
        <v>771.77</v>
      </c>
      <c r="J174" s="61">
        <v>208.39</v>
      </c>
      <c r="K174" s="61" t="s">
        <v>2780</v>
      </c>
    </row>
    <row r="175" spans="1:11">
      <c r="A175" s="61">
        <v>172</v>
      </c>
      <c r="B175" s="203" t="s">
        <v>2610</v>
      </c>
      <c r="C175" s="61" t="s">
        <v>9</v>
      </c>
      <c r="D175" s="61" t="s">
        <v>35</v>
      </c>
      <c r="E175" s="209">
        <v>1359000</v>
      </c>
      <c r="F175" s="212">
        <f t="shared" si="4"/>
        <v>1318230</v>
      </c>
      <c r="G175" s="206">
        <f t="shared" si="5"/>
        <v>1277460</v>
      </c>
      <c r="H175" s="61">
        <v>361.13</v>
      </c>
      <c r="I175" s="61">
        <v>292.45999999999998</v>
      </c>
      <c r="J175" s="61">
        <v>68.67</v>
      </c>
      <c r="K175" s="61" t="s">
        <v>2787</v>
      </c>
    </row>
    <row r="176" spans="1:11">
      <c r="A176" s="61">
        <v>173</v>
      </c>
      <c r="B176" s="203" t="s">
        <v>2611</v>
      </c>
      <c r="C176" s="61" t="s">
        <v>9</v>
      </c>
      <c r="D176" s="61" t="s">
        <v>35</v>
      </c>
      <c r="E176" s="209">
        <v>1350000</v>
      </c>
      <c r="F176" s="212">
        <f t="shared" si="4"/>
        <v>1309500</v>
      </c>
      <c r="G176" s="206">
        <f t="shared" si="5"/>
        <v>1269000</v>
      </c>
      <c r="H176" s="61">
        <v>375.34</v>
      </c>
      <c r="I176" s="61">
        <v>292.45999999999998</v>
      </c>
      <c r="J176" s="61">
        <v>82.88</v>
      </c>
      <c r="K176" s="61" t="s">
        <v>2787</v>
      </c>
    </row>
    <row r="177" spans="1:11">
      <c r="A177" s="61">
        <v>174</v>
      </c>
      <c r="B177" s="203" t="s">
        <v>2612</v>
      </c>
      <c r="C177" s="61" t="s">
        <v>9</v>
      </c>
      <c r="D177" s="61" t="s">
        <v>35</v>
      </c>
      <c r="E177" s="209">
        <v>1356000</v>
      </c>
      <c r="F177" s="212">
        <f t="shared" si="4"/>
        <v>1315320</v>
      </c>
      <c r="G177" s="206">
        <f t="shared" si="5"/>
        <v>1274640</v>
      </c>
      <c r="H177" s="61">
        <v>401.82</v>
      </c>
      <c r="I177" s="61">
        <v>292.45999999999998</v>
      </c>
      <c r="J177" s="61">
        <v>109.36</v>
      </c>
      <c r="K177" s="61" t="s">
        <v>2787</v>
      </c>
    </row>
    <row r="178" spans="1:11">
      <c r="A178" s="61">
        <v>175</v>
      </c>
      <c r="B178" s="203" t="s">
        <v>2613</v>
      </c>
      <c r="C178" s="61" t="s">
        <v>9</v>
      </c>
      <c r="D178" s="61" t="s">
        <v>35</v>
      </c>
      <c r="E178" s="209">
        <v>1356000</v>
      </c>
      <c r="F178" s="212">
        <f t="shared" si="4"/>
        <v>1315320</v>
      </c>
      <c r="G178" s="206">
        <f t="shared" si="5"/>
        <v>1274640</v>
      </c>
      <c r="H178" s="61">
        <v>401.82</v>
      </c>
      <c r="I178" s="61">
        <v>292.45999999999998</v>
      </c>
      <c r="J178" s="61">
        <v>109.36</v>
      </c>
      <c r="K178" s="61" t="s">
        <v>2787</v>
      </c>
    </row>
    <row r="179" spans="1:11">
      <c r="A179" s="61">
        <v>176</v>
      </c>
      <c r="B179" s="203" t="s">
        <v>2614</v>
      </c>
      <c r="C179" s="61" t="s">
        <v>9</v>
      </c>
      <c r="D179" s="61" t="s">
        <v>35</v>
      </c>
      <c r="E179" s="209">
        <v>1350000</v>
      </c>
      <c r="F179" s="212">
        <f t="shared" si="4"/>
        <v>1309500</v>
      </c>
      <c r="G179" s="206">
        <f t="shared" si="5"/>
        <v>1269000</v>
      </c>
      <c r="H179" s="61">
        <v>375.34</v>
      </c>
      <c r="I179" s="61">
        <v>292.45999999999998</v>
      </c>
      <c r="J179" s="61">
        <v>82.88</v>
      </c>
      <c r="K179" s="61" t="s">
        <v>2787</v>
      </c>
    </row>
    <row r="180" spans="1:11">
      <c r="A180" s="61">
        <v>177</v>
      </c>
      <c r="B180" s="203" t="s">
        <v>2615</v>
      </c>
      <c r="C180" s="61" t="s">
        <v>9</v>
      </c>
      <c r="D180" s="61" t="s">
        <v>35</v>
      </c>
      <c r="E180" s="209">
        <v>1351000</v>
      </c>
      <c r="F180" s="212">
        <f t="shared" si="4"/>
        <v>1310470</v>
      </c>
      <c r="G180" s="206">
        <f t="shared" si="5"/>
        <v>1269940</v>
      </c>
      <c r="H180" s="61">
        <v>341.11</v>
      </c>
      <c r="I180" s="61">
        <v>293.95999999999998</v>
      </c>
      <c r="J180" s="61">
        <v>47.15</v>
      </c>
      <c r="K180" s="61" t="s">
        <v>2788</v>
      </c>
    </row>
    <row r="181" spans="1:11">
      <c r="A181" s="61">
        <v>178</v>
      </c>
      <c r="B181" s="203" t="s">
        <v>2616</v>
      </c>
      <c r="C181" s="61" t="s">
        <v>9</v>
      </c>
      <c r="D181" s="61" t="s">
        <v>24</v>
      </c>
      <c r="E181" s="209">
        <v>3207000</v>
      </c>
      <c r="F181" s="212">
        <f t="shared" si="4"/>
        <v>3110790</v>
      </c>
      <c r="G181" s="206">
        <f t="shared" si="5"/>
        <v>3014580</v>
      </c>
      <c r="H181" s="61">
        <v>980.16</v>
      </c>
      <c r="I181" s="61">
        <v>771.77</v>
      </c>
      <c r="J181" s="61">
        <v>208.39</v>
      </c>
      <c r="K181" s="61" t="s">
        <v>2785</v>
      </c>
    </row>
    <row r="182" spans="1:11">
      <c r="A182" s="61">
        <v>179</v>
      </c>
      <c r="B182" s="203" t="s">
        <v>2617</v>
      </c>
      <c r="C182" s="61" t="s">
        <v>4471</v>
      </c>
      <c r="D182" s="61" t="s">
        <v>48</v>
      </c>
      <c r="E182" s="209">
        <v>4967000</v>
      </c>
      <c r="F182" s="212">
        <f t="shared" si="4"/>
        <v>4817990</v>
      </c>
      <c r="G182" s="206">
        <f t="shared" si="5"/>
        <v>4668980</v>
      </c>
      <c r="H182" s="61">
        <v>1332.9</v>
      </c>
      <c r="I182" s="61">
        <v>1077.47</v>
      </c>
      <c r="J182" s="61">
        <v>255.43</v>
      </c>
      <c r="K182" s="61" t="s">
        <v>4512</v>
      </c>
    </row>
    <row r="183" spans="1:11">
      <c r="A183" s="61">
        <v>180</v>
      </c>
      <c r="B183" s="203" t="s">
        <v>2618</v>
      </c>
      <c r="C183" s="61" t="s">
        <v>4471</v>
      </c>
      <c r="D183" s="61" t="s">
        <v>48</v>
      </c>
      <c r="E183" s="209">
        <v>5339000</v>
      </c>
      <c r="F183" s="212">
        <f t="shared" si="4"/>
        <v>5178830</v>
      </c>
      <c r="G183" s="206">
        <f t="shared" si="5"/>
        <v>5018660</v>
      </c>
      <c r="H183" s="61">
        <v>1528.48</v>
      </c>
      <c r="I183" s="61">
        <v>1179.4000000000001</v>
      </c>
      <c r="J183" s="61">
        <v>349.07</v>
      </c>
      <c r="K183" s="61" t="s">
        <v>2786</v>
      </c>
    </row>
    <row r="184" spans="1:11">
      <c r="A184" s="61">
        <v>181</v>
      </c>
      <c r="B184" s="203" t="s">
        <v>2619</v>
      </c>
      <c r="C184" s="61" t="s">
        <v>4471</v>
      </c>
      <c r="D184" s="61" t="s">
        <v>48</v>
      </c>
      <c r="E184" s="209">
        <v>5339000</v>
      </c>
      <c r="F184" s="212">
        <f t="shared" si="4"/>
        <v>5178830</v>
      </c>
      <c r="G184" s="206">
        <f t="shared" si="5"/>
        <v>5018660</v>
      </c>
      <c r="H184" s="61">
        <v>1528.48</v>
      </c>
      <c r="I184" s="61">
        <v>1179.4000000000001</v>
      </c>
      <c r="J184" s="61">
        <v>349.07</v>
      </c>
      <c r="K184" s="61" t="s">
        <v>2786</v>
      </c>
    </row>
    <row r="185" spans="1:11">
      <c r="A185" s="61">
        <v>182</v>
      </c>
      <c r="B185" s="203" t="s">
        <v>2620</v>
      </c>
      <c r="C185" s="61" t="s">
        <v>4471</v>
      </c>
      <c r="D185" s="61" t="s">
        <v>48</v>
      </c>
      <c r="E185" s="209">
        <v>5011000</v>
      </c>
      <c r="F185" s="212">
        <f t="shared" si="4"/>
        <v>4860670</v>
      </c>
      <c r="G185" s="206">
        <f t="shared" si="5"/>
        <v>4710340</v>
      </c>
      <c r="H185" s="61">
        <v>1332.57</v>
      </c>
      <c r="I185" s="61">
        <v>1077.1400000000001</v>
      </c>
      <c r="J185" s="61">
        <v>255.43</v>
      </c>
      <c r="K185" s="61" t="s">
        <v>2786</v>
      </c>
    </row>
    <row r="186" spans="1:11">
      <c r="A186" s="61">
        <v>183</v>
      </c>
      <c r="B186" s="203" t="s">
        <v>2621</v>
      </c>
      <c r="C186" s="61" t="s">
        <v>4471</v>
      </c>
      <c r="D186" s="61" t="s">
        <v>48</v>
      </c>
      <c r="E186" s="209">
        <v>5193000</v>
      </c>
      <c r="F186" s="212">
        <f t="shared" si="4"/>
        <v>5037210</v>
      </c>
      <c r="G186" s="206">
        <f t="shared" si="5"/>
        <v>4881420</v>
      </c>
      <c r="H186" s="61">
        <v>1284.3499999999999</v>
      </c>
      <c r="I186" s="61">
        <v>1149.48</v>
      </c>
      <c r="J186" s="61">
        <v>134.87</v>
      </c>
      <c r="K186" s="61" t="s">
        <v>2780</v>
      </c>
    </row>
    <row r="187" spans="1:11">
      <c r="A187" s="61">
        <v>184</v>
      </c>
      <c r="B187" s="203" t="s">
        <v>2622</v>
      </c>
      <c r="C187" s="61" t="s">
        <v>4471</v>
      </c>
      <c r="D187" s="61" t="s">
        <v>48</v>
      </c>
      <c r="E187" s="209">
        <v>5013000</v>
      </c>
      <c r="F187" s="212">
        <f t="shared" si="4"/>
        <v>4862610</v>
      </c>
      <c r="G187" s="206">
        <f t="shared" si="5"/>
        <v>4712220</v>
      </c>
      <c r="H187" s="61">
        <v>1332.9</v>
      </c>
      <c r="I187" s="61">
        <v>1077.47</v>
      </c>
      <c r="J187" s="61">
        <v>255.43</v>
      </c>
      <c r="K187" s="61" t="s">
        <v>2787</v>
      </c>
    </row>
    <row r="188" spans="1:11">
      <c r="A188" s="61">
        <v>185</v>
      </c>
      <c r="B188" s="203" t="s">
        <v>2623</v>
      </c>
      <c r="C188" s="61" t="s">
        <v>4471</v>
      </c>
      <c r="D188" s="61" t="s">
        <v>48</v>
      </c>
      <c r="E188" s="209">
        <v>5339000</v>
      </c>
      <c r="F188" s="212">
        <f t="shared" si="4"/>
        <v>5178830</v>
      </c>
      <c r="G188" s="206">
        <f t="shared" si="5"/>
        <v>5018660</v>
      </c>
      <c r="H188" s="61">
        <v>1528.48</v>
      </c>
      <c r="I188" s="61">
        <v>1179.4000000000001</v>
      </c>
      <c r="J188" s="61">
        <v>349.07</v>
      </c>
      <c r="K188" s="61" t="s">
        <v>2787</v>
      </c>
    </row>
    <row r="189" spans="1:11">
      <c r="A189" s="61">
        <v>186</v>
      </c>
      <c r="B189" s="203" t="s">
        <v>2624</v>
      </c>
      <c r="C189" s="61" t="s">
        <v>4471</v>
      </c>
      <c r="D189" s="61" t="s">
        <v>48</v>
      </c>
      <c r="E189" s="209">
        <v>5339000</v>
      </c>
      <c r="F189" s="212">
        <f t="shared" si="4"/>
        <v>5178830</v>
      </c>
      <c r="G189" s="206">
        <f t="shared" si="5"/>
        <v>5018660</v>
      </c>
      <c r="H189" s="61">
        <v>1528.48</v>
      </c>
      <c r="I189" s="61">
        <v>1179.4000000000001</v>
      </c>
      <c r="J189" s="61">
        <v>349.07</v>
      </c>
      <c r="K189" s="61" t="s">
        <v>2788</v>
      </c>
    </row>
    <row r="190" spans="1:11">
      <c r="A190" s="61">
        <v>187</v>
      </c>
      <c r="B190" s="203" t="s">
        <v>2625</v>
      </c>
      <c r="C190" s="61" t="s">
        <v>4471</v>
      </c>
      <c r="D190" s="61" t="s">
        <v>48</v>
      </c>
      <c r="E190" s="209">
        <v>5011000</v>
      </c>
      <c r="F190" s="212">
        <f t="shared" si="4"/>
        <v>4860670</v>
      </c>
      <c r="G190" s="206">
        <f t="shared" si="5"/>
        <v>4710340</v>
      </c>
      <c r="H190" s="61">
        <v>1332.57</v>
      </c>
      <c r="I190" s="61">
        <v>1077.1400000000001</v>
      </c>
      <c r="J190" s="61">
        <v>255.43</v>
      </c>
      <c r="K190" s="61" t="s">
        <v>2789</v>
      </c>
    </row>
    <row r="191" spans="1:11">
      <c r="A191" s="61">
        <v>188</v>
      </c>
      <c r="B191" s="203" t="s">
        <v>2626</v>
      </c>
      <c r="C191" s="61" t="s">
        <v>4471</v>
      </c>
      <c r="D191" s="61" t="s">
        <v>48</v>
      </c>
      <c r="E191" s="209">
        <v>5120000</v>
      </c>
      <c r="F191" s="212">
        <f t="shared" si="4"/>
        <v>4966400</v>
      </c>
      <c r="G191" s="206">
        <f t="shared" si="5"/>
        <v>4812800</v>
      </c>
      <c r="H191" s="61">
        <v>1284.3499999999999</v>
      </c>
      <c r="I191" s="61">
        <v>1149.48</v>
      </c>
      <c r="J191" s="61">
        <v>134.87</v>
      </c>
      <c r="K191" s="61" t="s">
        <v>2785</v>
      </c>
    </row>
    <row r="192" spans="1:11">
      <c r="A192" s="61">
        <v>189</v>
      </c>
      <c r="B192" s="203" t="s">
        <v>2627</v>
      </c>
      <c r="C192" s="61" t="s">
        <v>4470</v>
      </c>
      <c r="D192" s="61" t="s">
        <v>48</v>
      </c>
      <c r="E192" s="209">
        <v>4957000</v>
      </c>
      <c r="F192" s="212">
        <f t="shared" si="4"/>
        <v>4808290</v>
      </c>
      <c r="G192" s="206">
        <f t="shared" si="5"/>
        <v>4659580</v>
      </c>
      <c r="H192" s="61">
        <v>1332.9</v>
      </c>
      <c r="I192" s="61">
        <v>1077.47</v>
      </c>
      <c r="J192" s="61">
        <v>255.43</v>
      </c>
      <c r="K192" s="61" t="s">
        <v>4512</v>
      </c>
    </row>
    <row r="193" spans="1:11">
      <c r="A193" s="61">
        <v>190</v>
      </c>
      <c r="B193" s="203" t="s">
        <v>2628</v>
      </c>
      <c r="C193" s="61" t="s">
        <v>4470</v>
      </c>
      <c r="D193" s="61" t="s">
        <v>48</v>
      </c>
      <c r="E193" s="209">
        <v>5329000</v>
      </c>
      <c r="F193" s="212">
        <f t="shared" si="4"/>
        <v>5169130</v>
      </c>
      <c r="G193" s="206">
        <f t="shared" si="5"/>
        <v>5009260</v>
      </c>
      <c r="H193" s="61">
        <v>1528.48</v>
      </c>
      <c r="I193" s="61">
        <v>1179.4000000000001</v>
      </c>
      <c r="J193" s="61">
        <v>349.07</v>
      </c>
      <c r="K193" s="61" t="s">
        <v>2786</v>
      </c>
    </row>
    <row r="194" spans="1:11">
      <c r="A194" s="61">
        <v>191</v>
      </c>
      <c r="B194" s="203" t="s">
        <v>2629</v>
      </c>
      <c r="C194" s="61" t="s">
        <v>4470</v>
      </c>
      <c r="D194" s="61" t="s">
        <v>48</v>
      </c>
      <c r="E194" s="209">
        <v>5329000</v>
      </c>
      <c r="F194" s="212">
        <f t="shared" si="4"/>
        <v>5169130</v>
      </c>
      <c r="G194" s="206">
        <f t="shared" si="5"/>
        <v>5009260</v>
      </c>
      <c r="H194" s="61">
        <v>1528.48</v>
      </c>
      <c r="I194" s="61">
        <v>1179.4000000000001</v>
      </c>
      <c r="J194" s="61">
        <v>349.07</v>
      </c>
      <c r="K194" s="61" t="s">
        <v>2786</v>
      </c>
    </row>
    <row r="195" spans="1:11">
      <c r="A195" s="61">
        <v>192</v>
      </c>
      <c r="B195" s="203" t="s">
        <v>2630</v>
      </c>
      <c r="C195" s="61" t="s">
        <v>4470</v>
      </c>
      <c r="D195" s="61" t="s">
        <v>48</v>
      </c>
      <c r="E195" s="209">
        <v>5184000</v>
      </c>
      <c r="F195" s="212">
        <f t="shared" ref="F195:F257" si="6">E195*0.97</f>
        <v>5028480</v>
      </c>
      <c r="G195" s="206">
        <f t="shared" ref="G195:G257" si="7">E195*0.94</f>
        <v>4872960</v>
      </c>
      <c r="H195" s="61">
        <v>1284.3499999999999</v>
      </c>
      <c r="I195" s="61">
        <v>1149.48</v>
      </c>
      <c r="J195" s="61">
        <v>134.87</v>
      </c>
      <c r="K195" s="61" t="s">
        <v>2780</v>
      </c>
    </row>
    <row r="196" spans="1:11">
      <c r="A196" s="61">
        <v>193</v>
      </c>
      <c r="B196" s="203" t="s">
        <v>2631</v>
      </c>
      <c r="C196" s="61" t="s">
        <v>4470</v>
      </c>
      <c r="D196" s="61" t="s">
        <v>48</v>
      </c>
      <c r="E196" s="209">
        <v>5004000</v>
      </c>
      <c r="F196" s="212">
        <f t="shared" si="6"/>
        <v>4853880</v>
      </c>
      <c r="G196" s="206">
        <f t="shared" si="7"/>
        <v>4703760</v>
      </c>
      <c r="H196" s="61">
        <v>1332.9</v>
      </c>
      <c r="I196" s="61">
        <v>1077.47</v>
      </c>
      <c r="J196" s="61">
        <v>255.43</v>
      </c>
      <c r="K196" s="61" t="s">
        <v>2787</v>
      </c>
    </row>
    <row r="197" spans="1:11">
      <c r="A197" s="61">
        <v>194</v>
      </c>
      <c r="B197" s="203" t="s">
        <v>2632</v>
      </c>
      <c r="C197" s="61" t="s">
        <v>4470</v>
      </c>
      <c r="D197" s="61" t="s">
        <v>48</v>
      </c>
      <c r="E197" s="209">
        <v>5329000</v>
      </c>
      <c r="F197" s="212">
        <f t="shared" si="6"/>
        <v>5169130</v>
      </c>
      <c r="G197" s="206">
        <f t="shared" si="7"/>
        <v>5009260</v>
      </c>
      <c r="H197" s="61">
        <v>1528.48</v>
      </c>
      <c r="I197" s="61">
        <v>1179.4000000000001</v>
      </c>
      <c r="J197" s="61">
        <v>349.07</v>
      </c>
      <c r="K197" s="61" t="s">
        <v>2787</v>
      </c>
    </row>
    <row r="198" spans="1:11">
      <c r="A198" s="61">
        <v>195</v>
      </c>
      <c r="B198" s="203" t="s">
        <v>2633</v>
      </c>
      <c r="C198" s="61" t="s">
        <v>4470</v>
      </c>
      <c r="D198" s="61" t="s">
        <v>48</v>
      </c>
      <c r="E198" s="209">
        <v>5329000</v>
      </c>
      <c r="F198" s="212">
        <f t="shared" si="6"/>
        <v>5169130</v>
      </c>
      <c r="G198" s="206">
        <f t="shared" si="7"/>
        <v>5009260</v>
      </c>
      <c r="H198" s="61">
        <v>1528.48</v>
      </c>
      <c r="I198" s="61">
        <v>1179.4000000000001</v>
      </c>
      <c r="J198" s="61">
        <v>349.07</v>
      </c>
      <c r="K198" s="61" t="s">
        <v>2788</v>
      </c>
    </row>
    <row r="199" spans="1:11">
      <c r="A199" s="61">
        <v>196</v>
      </c>
      <c r="B199" s="203" t="s">
        <v>2634</v>
      </c>
      <c r="C199" s="61" t="s">
        <v>4470</v>
      </c>
      <c r="D199" s="61" t="s">
        <v>48</v>
      </c>
      <c r="E199" s="209">
        <v>5110000</v>
      </c>
      <c r="F199" s="212">
        <f t="shared" si="6"/>
        <v>4956700</v>
      </c>
      <c r="G199" s="206">
        <f t="shared" si="7"/>
        <v>4803400</v>
      </c>
      <c r="H199" s="61">
        <v>1284.3499999999999</v>
      </c>
      <c r="I199" s="61">
        <v>1149.48</v>
      </c>
      <c r="J199" s="61">
        <v>134.87</v>
      </c>
      <c r="K199" s="61" t="s">
        <v>2785</v>
      </c>
    </row>
    <row r="200" spans="1:11">
      <c r="A200" s="61">
        <v>197</v>
      </c>
      <c r="B200" s="203" t="s">
        <v>2635</v>
      </c>
      <c r="C200" s="61" t="s">
        <v>4469</v>
      </c>
      <c r="D200" s="61" t="s">
        <v>48</v>
      </c>
      <c r="E200" s="209">
        <v>4950000</v>
      </c>
      <c r="F200" s="212">
        <f t="shared" si="6"/>
        <v>4801500</v>
      </c>
      <c r="G200" s="206">
        <f t="shared" si="7"/>
        <v>4653000</v>
      </c>
      <c r="H200" s="61">
        <v>1332.9</v>
      </c>
      <c r="I200" s="61">
        <v>1077.47</v>
      </c>
      <c r="J200" s="61">
        <v>255.43</v>
      </c>
      <c r="K200" s="61" t="s">
        <v>4512</v>
      </c>
    </row>
    <row r="201" spans="1:11">
      <c r="A201" s="61">
        <v>198</v>
      </c>
      <c r="B201" s="203" t="s">
        <v>2636</v>
      </c>
      <c r="C201" s="61" t="s">
        <v>4469</v>
      </c>
      <c r="D201" s="61" t="s">
        <v>48</v>
      </c>
      <c r="E201" s="209">
        <v>5319000</v>
      </c>
      <c r="F201" s="212">
        <f t="shared" si="6"/>
        <v>5159430</v>
      </c>
      <c r="G201" s="206">
        <f t="shared" si="7"/>
        <v>4999860</v>
      </c>
      <c r="H201" s="61">
        <v>1528.48</v>
      </c>
      <c r="I201" s="61">
        <v>1179.4000000000001</v>
      </c>
      <c r="J201" s="61">
        <v>349.07</v>
      </c>
      <c r="K201" s="61" t="s">
        <v>2786</v>
      </c>
    </row>
    <row r="202" spans="1:11">
      <c r="A202" s="61">
        <v>199</v>
      </c>
      <c r="B202" s="203" t="s">
        <v>2637</v>
      </c>
      <c r="C202" s="61" t="s">
        <v>4469</v>
      </c>
      <c r="D202" s="61" t="s">
        <v>48</v>
      </c>
      <c r="E202" s="209">
        <v>5319000</v>
      </c>
      <c r="F202" s="212">
        <f t="shared" si="6"/>
        <v>5159430</v>
      </c>
      <c r="G202" s="206">
        <f t="shared" si="7"/>
        <v>4999860</v>
      </c>
      <c r="H202" s="61">
        <v>1528.48</v>
      </c>
      <c r="I202" s="61">
        <v>1179.4000000000001</v>
      </c>
      <c r="J202" s="61">
        <v>349.07</v>
      </c>
      <c r="K202" s="61" t="s">
        <v>2786</v>
      </c>
    </row>
    <row r="203" spans="1:11">
      <c r="A203" s="61">
        <v>200</v>
      </c>
      <c r="B203" s="203" t="s">
        <v>2638</v>
      </c>
      <c r="C203" s="61" t="s">
        <v>4469</v>
      </c>
      <c r="D203" s="61" t="s">
        <v>48</v>
      </c>
      <c r="E203" s="209">
        <v>4993000</v>
      </c>
      <c r="F203" s="212">
        <f t="shared" si="6"/>
        <v>4843210</v>
      </c>
      <c r="G203" s="206">
        <f t="shared" si="7"/>
        <v>4693420</v>
      </c>
      <c r="H203" s="61">
        <v>1332.57</v>
      </c>
      <c r="I203" s="61">
        <v>1077.1400000000001</v>
      </c>
      <c r="J203" s="61">
        <v>255.43</v>
      </c>
      <c r="K203" s="61" t="s">
        <v>2786</v>
      </c>
    </row>
    <row r="204" spans="1:11">
      <c r="A204" s="61">
        <v>201</v>
      </c>
      <c r="B204" s="203" t="s">
        <v>2639</v>
      </c>
      <c r="C204" s="61" t="s">
        <v>4469</v>
      </c>
      <c r="D204" s="61" t="s">
        <v>48</v>
      </c>
      <c r="E204" s="209">
        <v>5174000</v>
      </c>
      <c r="F204" s="212">
        <f t="shared" si="6"/>
        <v>5018780</v>
      </c>
      <c r="G204" s="206">
        <f t="shared" si="7"/>
        <v>4863560</v>
      </c>
      <c r="H204" s="61">
        <v>1284.3499999999999</v>
      </c>
      <c r="I204" s="61">
        <v>1149.48</v>
      </c>
      <c r="J204" s="61">
        <v>134.87</v>
      </c>
      <c r="K204" s="61" t="s">
        <v>2780</v>
      </c>
    </row>
    <row r="205" spans="1:11">
      <c r="A205" s="61">
        <v>202</v>
      </c>
      <c r="B205" s="203" t="s">
        <v>2640</v>
      </c>
      <c r="C205" s="61" t="s">
        <v>4469</v>
      </c>
      <c r="D205" s="61" t="s">
        <v>48</v>
      </c>
      <c r="E205" s="209">
        <v>4994000</v>
      </c>
      <c r="F205" s="212">
        <f t="shared" si="6"/>
        <v>4844180</v>
      </c>
      <c r="G205" s="206">
        <f t="shared" si="7"/>
        <v>4694360</v>
      </c>
      <c r="H205" s="61">
        <v>1332.9</v>
      </c>
      <c r="I205" s="61">
        <v>1077.47</v>
      </c>
      <c r="J205" s="61">
        <v>255.43</v>
      </c>
      <c r="K205" s="61" t="s">
        <v>2787</v>
      </c>
    </row>
    <row r="206" spans="1:11">
      <c r="A206" s="61">
        <v>203</v>
      </c>
      <c r="B206" s="203" t="s">
        <v>2641</v>
      </c>
      <c r="C206" s="61" t="s">
        <v>4469</v>
      </c>
      <c r="D206" s="61" t="s">
        <v>48</v>
      </c>
      <c r="E206" s="209">
        <v>5319000</v>
      </c>
      <c r="F206" s="212">
        <f t="shared" si="6"/>
        <v>5159430</v>
      </c>
      <c r="G206" s="206">
        <f t="shared" si="7"/>
        <v>4999860</v>
      </c>
      <c r="H206" s="61">
        <v>1528.48</v>
      </c>
      <c r="I206" s="61">
        <v>1179.4000000000001</v>
      </c>
      <c r="J206" s="61">
        <v>349.07</v>
      </c>
      <c r="K206" s="61" t="s">
        <v>2787</v>
      </c>
    </row>
    <row r="207" spans="1:11">
      <c r="A207" s="61">
        <v>204</v>
      </c>
      <c r="B207" s="203" t="s">
        <v>2642</v>
      </c>
      <c r="C207" s="61" t="s">
        <v>4469</v>
      </c>
      <c r="D207" s="61" t="s">
        <v>48</v>
      </c>
      <c r="E207" s="209">
        <v>5319000</v>
      </c>
      <c r="F207" s="212">
        <f t="shared" si="6"/>
        <v>5159430</v>
      </c>
      <c r="G207" s="206">
        <f t="shared" si="7"/>
        <v>4999860</v>
      </c>
      <c r="H207" s="61">
        <v>1528.48</v>
      </c>
      <c r="I207" s="61">
        <v>1179.4000000000001</v>
      </c>
      <c r="J207" s="61">
        <v>349.07</v>
      </c>
      <c r="K207" s="61" t="s">
        <v>2788</v>
      </c>
    </row>
    <row r="208" spans="1:11">
      <c r="A208" s="61">
        <v>205</v>
      </c>
      <c r="B208" s="203" t="s">
        <v>2643</v>
      </c>
      <c r="C208" s="61" t="s">
        <v>4469</v>
      </c>
      <c r="D208" s="61" t="s">
        <v>48</v>
      </c>
      <c r="E208" s="209">
        <v>5100000</v>
      </c>
      <c r="F208" s="212">
        <f t="shared" si="6"/>
        <v>4947000</v>
      </c>
      <c r="G208" s="206">
        <f t="shared" si="7"/>
        <v>4794000</v>
      </c>
      <c r="H208" s="61">
        <v>1284.3499999999999</v>
      </c>
      <c r="I208" s="61">
        <v>1149.48</v>
      </c>
      <c r="J208" s="61">
        <v>134.87</v>
      </c>
      <c r="K208" s="61" t="s">
        <v>2785</v>
      </c>
    </row>
    <row r="209" spans="1:11">
      <c r="A209" s="61">
        <v>206</v>
      </c>
      <c r="B209" s="203" t="s">
        <v>2644</v>
      </c>
      <c r="C209" s="61" t="s">
        <v>4468</v>
      </c>
      <c r="D209" s="61" t="s">
        <v>24</v>
      </c>
      <c r="E209" s="209">
        <v>3351000</v>
      </c>
      <c r="F209" s="212">
        <f t="shared" si="6"/>
        <v>3250470</v>
      </c>
      <c r="G209" s="206">
        <f t="shared" si="7"/>
        <v>3149940</v>
      </c>
      <c r="H209" s="61">
        <v>980.16</v>
      </c>
      <c r="I209" s="61">
        <v>771.77</v>
      </c>
      <c r="J209" s="61">
        <v>208.39</v>
      </c>
      <c r="K209" s="61" t="s">
        <v>2785</v>
      </c>
    </row>
    <row r="210" spans="1:11">
      <c r="A210" s="61">
        <v>207</v>
      </c>
      <c r="B210" s="203" t="s">
        <v>2645</v>
      </c>
      <c r="C210" s="61" t="s">
        <v>4468</v>
      </c>
      <c r="D210" s="61" t="s">
        <v>24</v>
      </c>
      <c r="E210" s="209">
        <v>3398000</v>
      </c>
      <c r="F210" s="212">
        <f t="shared" si="6"/>
        <v>3296060</v>
      </c>
      <c r="G210" s="206">
        <f t="shared" si="7"/>
        <v>3194120</v>
      </c>
      <c r="H210" s="61">
        <v>980.16</v>
      </c>
      <c r="I210" s="61">
        <v>771.77</v>
      </c>
      <c r="J210" s="61">
        <v>208.39</v>
      </c>
      <c r="K210" s="61" t="s">
        <v>2780</v>
      </c>
    </row>
    <row r="211" spans="1:11">
      <c r="A211" s="61">
        <v>208</v>
      </c>
      <c r="B211" s="203" t="s">
        <v>2646</v>
      </c>
      <c r="C211" s="61" t="s">
        <v>4468</v>
      </c>
      <c r="D211" s="61" t="s">
        <v>24</v>
      </c>
      <c r="E211" s="209">
        <v>3398000</v>
      </c>
      <c r="F211" s="212">
        <f t="shared" si="6"/>
        <v>3296060</v>
      </c>
      <c r="G211" s="206">
        <f t="shared" si="7"/>
        <v>3194120</v>
      </c>
      <c r="H211" s="61">
        <v>980.16</v>
      </c>
      <c r="I211" s="61">
        <v>771.77</v>
      </c>
      <c r="J211" s="61">
        <v>208.39</v>
      </c>
      <c r="K211" s="61" t="s">
        <v>2780</v>
      </c>
    </row>
    <row r="212" spans="1:11">
      <c r="A212" s="61">
        <v>209</v>
      </c>
      <c r="B212" s="203" t="s">
        <v>2647</v>
      </c>
      <c r="C212" s="61" t="s">
        <v>4468</v>
      </c>
      <c r="D212" s="61" t="s">
        <v>24</v>
      </c>
      <c r="E212" s="209">
        <v>3351000</v>
      </c>
      <c r="F212" s="212">
        <f t="shared" si="6"/>
        <v>3250470</v>
      </c>
      <c r="G212" s="206">
        <f t="shared" si="7"/>
        <v>3149940</v>
      </c>
      <c r="H212" s="61">
        <v>980.16</v>
      </c>
      <c r="I212" s="61">
        <v>771.77</v>
      </c>
      <c r="J212" s="61">
        <v>208.39</v>
      </c>
      <c r="K212" s="61" t="s">
        <v>2785</v>
      </c>
    </row>
    <row r="213" spans="1:11">
      <c r="A213" s="61">
        <v>210</v>
      </c>
      <c r="B213" s="203" t="s">
        <v>2648</v>
      </c>
      <c r="C213" s="61" t="s">
        <v>4467</v>
      </c>
      <c r="D213" s="61" t="s">
        <v>24</v>
      </c>
      <c r="E213" s="209">
        <v>3345000</v>
      </c>
      <c r="F213" s="212">
        <f t="shared" si="6"/>
        <v>3244650</v>
      </c>
      <c r="G213" s="206">
        <f t="shared" si="7"/>
        <v>3144300</v>
      </c>
      <c r="H213" s="61">
        <v>980.16</v>
      </c>
      <c r="I213" s="61">
        <v>771.77</v>
      </c>
      <c r="J213" s="61">
        <v>208.39</v>
      </c>
      <c r="K213" s="61" t="s">
        <v>2785</v>
      </c>
    </row>
    <row r="214" spans="1:11">
      <c r="A214" s="61">
        <v>211</v>
      </c>
      <c r="B214" s="203" t="s">
        <v>2649</v>
      </c>
      <c r="C214" s="61" t="s">
        <v>4467</v>
      </c>
      <c r="D214" s="61" t="s">
        <v>35</v>
      </c>
      <c r="E214" s="209">
        <v>1411000</v>
      </c>
      <c r="F214" s="212">
        <f t="shared" si="6"/>
        <v>1368670</v>
      </c>
      <c r="G214" s="206">
        <f t="shared" si="7"/>
        <v>1326340</v>
      </c>
      <c r="H214" s="61">
        <v>386.85</v>
      </c>
      <c r="I214" s="61">
        <v>292.45999999999998</v>
      </c>
      <c r="J214" s="61">
        <v>94.4</v>
      </c>
      <c r="K214" s="61" t="s">
        <v>2786</v>
      </c>
    </row>
    <row r="215" spans="1:11">
      <c r="A215" s="61">
        <v>212</v>
      </c>
      <c r="B215" s="203" t="s">
        <v>2650</v>
      </c>
      <c r="C215" s="61" t="s">
        <v>4467</v>
      </c>
      <c r="D215" s="61" t="s">
        <v>24</v>
      </c>
      <c r="E215" s="209">
        <v>3392000</v>
      </c>
      <c r="F215" s="212">
        <f t="shared" si="6"/>
        <v>3290240</v>
      </c>
      <c r="G215" s="206">
        <f t="shared" si="7"/>
        <v>3188480</v>
      </c>
      <c r="H215" s="61">
        <v>980.16</v>
      </c>
      <c r="I215" s="61">
        <v>771.77</v>
      </c>
      <c r="J215" s="61">
        <v>208.39</v>
      </c>
      <c r="K215" s="61" t="s">
        <v>2780</v>
      </c>
    </row>
    <row r="216" spans="1:11">
      <c r="A216" s="61">
        <v>213</v>
      </c>
      <c r="B216" s="203" t="s">
        <v>2651</v>
      </c>
      <c r="C216" s="61" t="s">
        <v>4467</v>
      </c>
      <c r="D216" s="61" t="s">
        <v>24</v>
      </c>
      <c r="E216" s="209">
        <v>3392000</v>
      </c>
      <c r="F216" s="212">
        <f t="shared" si="6"/>
        <v>3290240</v>
      </c>
      <c r="G216" s="206">
        <f t="shared" si="7"/>
        <v>3188480</v>
      </c>
      <c r="H216" s="61">
        <v>980.16</v>
      </c>
      <c r="I216" s="61">
        <v>771.77</v>
      </c>
      <c r="J216" s="61">
        <v>208.39</v>
      </c>
      <c r="K216" s="61" t="s">
        <v>2780</v>
      </c>
    </row>
    <row r="217" spans="1:11">
      <c r="A217" s="61">
        <v>214</v>
      </c>
      <c r="B217" s="203" t="s">
        <v>2652</v>
      </c>
      <c r="C217" s="61" t="s">
        <v>4466</v>
      </c>
      <c r="D217" s="61" t="s">
        <v>24</v>
      </c>
      <c r="E217" s="209">
        <v>3339000</v>
      </c>
      <c r="F217" s="212">
        <f t="shared" si="6"/>
        <v>3238830</v>
      </c>
      <c r="G217" s="206">
        <f t="shared" si="7"/>
        <v>3138660</v>
      </c>
      <c r="H217" s="61">
        <v>980.16</v>
      </c>
      <c r="I217" s="61">
        <v>771.77</v>
      </c>
      <c r="J217" s="61">
        <v>208.39</v>
      </c>
      <c r="K217" s="61" t="s">
        <v>2785</v>
      </c>
    </row>
    <row r="218" spans="1:11">
      <c r="A218" s="61">
        <v>215</v>
      </c>
      <c r="B218" s="203" t="s">
        <v>4662</v>
      </c>
      <c r="C218" s="61" t="s">
        <v>4466</v>
      </c>
      <c r="D218" s="61" t="s">
        <v>35</v>
      </c>
      <c r="E218" s="209">
        <v>1409000</v>
      </c>
      <c r="F218" s="212">
        <f t="shared" si="6"/>
        <v>1366730</v>
      </c>
      <c r="G218" s="206">
        <f t="shared" si="7"/>
        <v>1324460</v>
      </c>
      <c r="H218" s="61">
        <v>395.68</v>
      </c>
      <c r="I218" s="61">
        <v>292.45999999999998</v>
      </c>
      <c r="J218" s="61">
        <v>103.23</v>
      </c>
      <c r="K218" s="61" t="s">
        <v>2786</v>
      </c>
    </row>
    <row r="219" spans="1:11">
      <c r="A219" s="61">
        <v>216</v>
      </c>
      <c r="B219" s="203" t="s">
        <v>4663</v>
      </c>
      <c r="C219" s="61" t="s">
        <v>4466</v>
      </c>
      <c r="D219" s="61" t="s">
        <v>35</v>
      </c>
      <c r="E219" s="209">
        <v>1408000</v>
      </c>
      <c r="F219" s="212">
        <f t="shared" si="6"/>
        <v>1365760</v>
      </c>
      <c r="G219" s="206">
        <f t="shared" si="7"/>
        <v>1323520</v>
      </c>
      <c r="H219" s="61">
        <v>386.85</v>
      </c>
      <c r="I219" s="61">
        <v>292.45999999999998</v>
      </c>
      <c r="J219" s="61">
        <v>94.4</v>
      </c>
      <c r="K219" s="61" t="s">
        <v>2786</v>
      </c>
    </row>
    <row r="220" spans="1:11">
      <c r="A220" s="61">
        <v>217</v>
      </c>
      <c r="B220" s="203" t="s">
        <v>2653</v>
      </c>
      <c r="C220" s="61" t="s">
        <v>4466</v>
      </c>
      <c r="D220" s="61" t="s">
        <v>24</v>
      </c>
      <c r="E220" s="209">
        <v>3386000</v>
      </c>
      <c r="F220" s="212">
        <f t="shared" si="6"/>
        <v>3284420</v>
      </c>
      <c r="G220" s="206">
        <f t="shared" si="7"/>
        <v>3182840</v>
      </c>
      <c r="H220" s="61">
        <v>980.16</v>
      </c>
      <c r="I220" s="61">
        <v>771.77</v>
      </c>
      <c r="J220" s="61">
        <v>208.39</v>
      </c>
      <c r="K220" s="61" t="s">
        <v>2780</v>
      </c>
    </row>
    <row r="221" spans="1:11">
      <c r="A221" s="61">
        <v>218</v>
      </c>
      <c r="B221" s="203" t="s">
        <v>2654</v>
      </c>
      <c r="C221" s="61" t="s">
        <v>4466</v>
      </c>
      <c r="D221" s="61" t="s">
        <v>24</v>
      </c>
      <c r="E221" s="209">
        <v>3386000</v>
      </c>
      <c r="F221" s="212">
        <f t="shared" si="6"/>
        <v>3284420</v>
      </c>
      <c r="G221" s="206">
        <f t="shared" si="7"/>
        <v>3182840</v>
      </c>
      <c r="H221" s="61">
        <v>980.16</v>
      </c>
      <c r="I221" s="61">
        <v>771.77</v>
      </c>
      <c r="J221" s="61">
        <v>208.39</v>
      </c>
      <c r="K221" s="61" t="s">
        <v>2780</v>
      </c>
    </row>
    <row r="222" spans="1:11">
      <c r="A222" s="61">
        <v>219</v>
      </c>
      <c r="B222" s="203" t="s">
        <v>2655</v>
      </c>
      <c r="C222" s="61" t="s">
        <v>4466</v>
      </c>
      <c r="D222" s="61" t="s">
        <v>24</v>
      </c>
      <c r="E222" s="209">
        <v>3339000</v>
      </c>
      <c r="F222" s="212">
        <f t="shared" si="6"/>
        <v>3238830</v>
      </c>
      <c r="G222" s="206">
        <f t="shared" si="7"/>
        <v>3138660</v>
      </c>
      <c r="H222" s="61">
        <v>980.16</v>
      </c>
      <c r="I222" s="61">
        <v>771.77</v>
      </c>
      <c r="J222" s="61">
        <v>208.39</v>
      </c>
      <c r="K222" s="61" t="s">
        <v>2785</v>
      </c>
    </row>
    <row r="223" spans="1:11">
      <c r="A223" s="61">
        <v>220</v>
      </c>
      <c r="B223" s="203" t="s">
        <v>2656</v>
      </c>
      <c r="C223" s="61" t="s">
        <v>4465</v>
      </c>
      <c r="D223" s="61" t="s">
        <v>24</v>
      </c>
      <c r="E223" s="209">
        <v>3332000</v>
      </c>
      <c r="F223" s="212">
        <f t="shared" si="6"/>
        <v>3232040</v>
      </c>
      <c r="G223" s="206">
        <f t="shared" si="7"/>
        <v>3132080</v>
      </c>
      <c r="H223" s="61">
        <v>980.16</v>
      </c>
      <c r="I223" s="61">
        <v>771.77</v>
      </c>
      <c r="J223" s="61">
        <v>208.39</v>
      </c>
      <c r="K223" s="61" t="s">
        <v>2785</v>
      </c>
    </row>
    <row r="224" spans="1:11">
      <c r="A224" s="61">
        <v>221</v>
      </c>
      <c r="B224" s="203" t="s">
        <v>4664</v>
      </c>
      <c r="C224" s="61" t="s">
        <v>10</v>
      </c>
      <c r="D224" s="61" t="s">
        <v>36</v>
      </c>
      <c r="E224" s="209">
        <v>2300000</v>
      </c>
      <c r="F224" s="212">
        <f t="shared" si="6"/>
        <v>2231000</v>
      </c>
      <c r="G224" s="206">
        <f t="shared" si="7"/>
        <v>2162000</v>
      </c>
      <c r="H224" s="61">
        <v>617.30999999999995</v>
      </c>
      <c r="I224" s="61">
        <v>549.82000000000005</v>
      </c>
      <c r="J224" s="61">
        <v>67.489999999999995</v>
      </c>
      <c r="K224" s="61" t="s">
        <v>2785</v>
      </c>
    </row>
    <row r="225" spans="1:11">
      <c r="A225" s="61">
        <v>222</v>
      </c>
      <c r="B225" s="203" t="s">
        <v>2657</v>
      </c>
      <c r="C225" s="61" t="s">
        <v>4465</v>
      </c>
      <c r="D225" s="61" t="s">
        <v>24</v>
      </c>
      <c r="E225" s="209">
        <v>3379000</v>
      </c>
      <c r="F225" s="212">
        <f t="shared" si="6"/>
        <v>3277630</v>
      </c>
      <c r="G225" s="206">
        <f t="shared" si="7"/>
        <v>3176260</v>
      </c>
      <c r="H225" s="61">
        <v>980.16</v>
      </c>
      <c r="I225" s="61">
        <v>771.77</v>
      </c>
      <c r="J225" s="61">
        <v>208.39</v>
      </c>
      <c r="K225" s="61" t="s">
        <v>2780</v>
      </c>
    </row>
    <row r="226" spans="1:11">
      <c r="A226" s="61">
        <v>223</v>
      </c>
      <c r="B226" s="203" t="s">
        <v>2658</v>
      </c>
      <c r="C226" s="61" t="s">
        <v>4465</v>
      </c>
      <c r="D226" s="61" t="s">
        <v>24</v>
      </c>
      <c r="E226" s="209">
        <v>3379000</v>
      </c>
      <c r="F226" s="212">
        <f t="shared" si="6"/>
        <v>3277630</v>
      </c>
      <c r="G226" s="206">
        <f t="shared" si="7"/>
        <v>3176260</v>
      </c>
      <c r="H226" s="61">
        <v>980.16</v>
      </c>
      <c r="I226" s="61">
        <v>771.77</v>
      </c>
      <c r="J226" s="61">
        <v>208.39</v>
      </c>
      <c r="K226" s="61" t="s">
        <v>2780</v>
      </c>
    </row>
    <row r="227" spans="1:11">
      <c r="A227" s="61">
        <v>224</v>
      </c>
      <c r="B227" s="203" t="s">
        <v>2659</v>
      </c>
      <c r="C227" s="61" t="s">
        <v>10</v>
      </c>
      <c r="D227" s="61" t="s">
        <v>24</v>
      </c>
      <c r="E227" s="209">
        <v>3200000</v>
      </c>
      <c r="F227" s="212">
        <f t="shared" si="6"/>
        <v>3104000</v>
      </c>
      <c r="G227" s="206">
        <f t="shared" si="7"/>
        <v>3008000</v>
      </c>
      <c r="H227" s="61">
        <v>980.16</v>
      </c>
      <c r="I227" s="61">
        <v>771.77</v>
      </c>
      <c r="J227" s="61">
        <v>208.39</v>
      </c>
      <c r="K227" s="61" t="s">
        <v>2785</v>
      </c>
    </row>
    <row r="228" spans="1:11">
      <c r="A228" s="61">
        <v>225</v>
      </c>
      <c r="B228" s="203" t="s">
        <v>2660</v>
      </c>
      <c r="C228" s="61" t="s">
        <v>4465</v>
      </c>
      <c r="D228" s="61" t="s">
        <v>35</v>
      </c>
      <c r="E228" s="209">
        <v>1405000</v>
      </c>
      <c r="F228" s="212">
        <f t="shared" si="6"/>
        <v>1362850</v>
      </c>
      <c r="G228" s="206">
        <f t="shared" si="7"/>
        <v>1320700</v>
      </c>
      <c r="H228" s="61">
        <v>386.85</v>
      </c>
      <c r="I228" s="61">
        <v>292.45999999999998</v>
      </c>
      <c r="J228" s="61">
        <v>94.4</v>
      </c>
      <c r="K228" s="61" t="s">
        <v>2787</v>
      </c>
    </row>
    <row r="229" spans="1:11">
      <c r="A229" s="61">
        <v>226</v>
      </c>
      <c r="B229" s="203" t="s">
        <v>2661</v>
      </c>
      <c r="C229" s="61" t="s">
        <v>4465</v>
      </c>
      <c r="D229" s="61" t="s">
        <v>24</v>
      </c>
      <c r="E229" s="209">
        <v>3332000</v>
      </c>
      <c r="F229" s="212">
        <f t="shared" si="6"/>
        <v>3232040</v>
      </c>
      <c r="G229" s="206">
        <f t="shared" si="7"/>
        <v>3132080</v>
      </c>
      <c r="H229" s="61">
        <v>980.16</v>
      </c>
      <c r="I229" s="61">
        <v>771.77</v>
      </c>
      <c r="J229" s="61">
        <v>208.39</v>
      </c>
      <c r="K229" s="61" t="s">
        <v>2785</v>
      </c>
    </row>
    <row r="230" spans="1:11">
      <c r="A230" s="61">
        <v>227</v>
      </c>
      <c r="B230" s="203" t="s">
        <v>2662</v>
      </c>
      <c r="C230" s="61" t="s">
        <v>10</v>
      </c>
      <c r="D230" s="61" t="s">
        <v>35</v>
      </c>
      <c r="E230" s="209">
        <v>1351000</v>
      </c>
      <c r="F230" s="212">
        <f t="shared" si="6"/>
        <v>1310470</v>
      </c>
      <c r="G230" s="206">
        <f t="shared" si="7"/>
        <v>1269940</v>
      </c>
      <c r="H230" s="61">
        <v>341.11</v>
      </c>
      <c r="I230" s="61">
        <v>293.95999999999998</v>
      </c>
      <c r="J230" s="61">
        <v>47.15</v>
      </c>
      <c r="K230" s="61" t="s">
        <v>2786</v>
      </c>
    </row>
    <row r="231" spans="1:11">
      <c r="A231" s="61">
        <v>228</v>
      </c>
      <c r="B231" s="203" t="s">
        <v>2663</v>
      </c>
      <c r="C231" s="61" t="s">
        <v>10</v>
      </c>
      <c r="D231" s="61" t="s">
        <v>35</v>
      </c>
      <c r="E231" s="209">
        <v>1356000</v>
      </c>
      <c r="F231" s="212">
        <f t="shared" si="6"/>
        <v>1315320</v>
      </c>
      <c r="G231" s="206">
        <f t="shared" si="7"/>
        <v>1274640</v>
      </c>
      <c r="H231" s="61">
        <v>361.13</v>
      </c>
      <c r="I231" s="61">
        <v>292.45999999999998</v>
      </c>
      <c r="J231" s="61">
        <v>68.67</v>
      </c>
      <c r="K231" s="61" t="s">
        <v>2786</v>
      </c>
    </row>
    <row r="232" spans="1:11">
      <c r="A232" s="61">
        <v>229</v>
      </c>
      <c r="B232" s="203" t="s">
        <v>2664</v>
      </c>
      <c r="C232" s="61" t="s">
        <v>10</v>
      </c>
      <c r="D232" s="61" t="s">
        <v>35</v>
      </c>
      <c r="E232" s="209">
        <v>1352000</v>
      </c>
      <c r="F232" s="212">
        <f t="shared" si="6"/>
        <v>1311440</v>
      </c>
      <c r="G232" s="206">
        <f t="shared" si="7"/>
        <v>1270880</v>
      </c>
      <c r="H232" s="61">
        <v>386.85</v>
      </c>
      <c r="I232" s="61">
        <v>292.45999999999998</v>
      </c>
      <c r="J232" s="61">
        <v>94.4</v>
      </c>
      <c r="K232" s="61" t="s">
        <v>2786</v>
      </c>
    </row>
    <row r="233" spans="1:11">
      <c r="A233" s="61">
        <v>230</v>
      </c>
      <c r="B233" s="203" t="s">
        <v>2665</v>
      </c>
      <c r="C233" s="61" t="s">
        <v>10</v>
      </c>
      <c r="D233" s="61" t="s">
        <v>35</v>
      </c>
      <c r="E233" s="209">
        <v>1351000</v>
      </c>
      <c r="F233" s="212">
        <f t="shared" si="6"/>
        <v>1310470</v>
      </c>
      <c r="G233" s="206">
        <f t="shared" si="7"/>
        <v>1269940</v>
      </c>
      <c r="H233" s="61">
        <v>395.68</v>
      </c>
      <c r="I233" s="61">
        <v>292.45999999999998</v>
      </c>
      <c r="J233" s="61">
        <v>103.23</v>
      </c>
      <c r="K233" s="61" t="s">
        <v>2786</v>
      </c>
    </row>
    <row r="234" spans="1:11">
      <c r="A234" s="61">
        <v>231</v>
      </c>
      <c r="B234" s="203" t="s">
        <v>2666</v>
      </c>
      <c r="C234" s="61" t="s">
        <v>10</v>
      </c>
      <c r="D234" s="61" t="s">
        <v>35</v>
      </c>
      <c r="E234" s="209">
        <v>1353000</v>
      </c>
      <c r="F234" s="212">
        <f t="shared" si="6"/>
        <v>1312410</v>
      </c>
      <c r="G234" s="206">
        <f t="shared" si="7"/>
        <v>1271820</v>
      </c>
      <c r="H234" s="61">
        <v>401.82</v>
      </c>
      <c r="I234" s="61">
        <v>292.45999999999998</v>
      </c>
      <c r="J234" s="61">
        <v>109.36</v>
      </c>
      <c r="K234" s="61" t="s">
        <v>2786</v>
      </c>
    </row>
    <row r="235" spans="1:11">
      <c r="A235" s="61">
        <v>232</v>
      </c>
      <c r="B235" s="203" t="s">
        <v>2667</v>
      </c>
      <c r="C235" s="61" t="s">
        <v>10</v>
      </c>
      <c r="D235" s="61" t="s">
        <v>35</v>
      </c>
      <c r="E235" s="209">
        <v>1351000</v>
      </c>
      <c r="F235" s="212">
        <f t="shared" si="6"/>
        <v>1310470</v>
      </c>
      <c r="G235" s="206">
        <f t="shared" si="7"/>
        <v>1269940</v>
      </c>
      <c r="H235" s="61">
        <v>395.68</v>
      </c>
      <c r="I235" s="61">
        <v>292.45999999999998</v>
      </c>
      <c r="J235" s="61">
        <v>103.23</v>
      </c>
      <c r="K235" s="61" t="s">
        <v>2786</v>
      </c>
    </row>
    <row r="236" spans="1:11">
      <c r="A236" s="61">
        <v>233</v>
      </c>
      <c r="B236" s="203" t="s">
        <v>2668</v>
      </c>
      <c r="C236" s="61" t="s">
        <v>10</v>
      </c>
      <c r="D236" s="61" t="s">
        <v>35</v>
      </c>
      <c r="E236" s="209">
        <v>1352000</v>
      </c>
      <c r="F236" s="212">
        <f t="shared" si="6"/>
        <v>1311440</v>
      </c>
      <c r="G236" s="206">
        <f t="shared" si="7"/>
        <v>1270880</v>
      </c>
      <c r="H236" s="61">
        <v>386.85</v>
      </c>
      <c r="I236" s="61">
        <v>292.45999999999998</v>
      </c>
      <c r="J236" s="61">
        <v>94.4</v>
      </c>
      <c r="K236" s="61" t="s">
        <v>2786</v>
      </c>
    </row>
    <row r="237" spans="1:11">
      <c r="A237" s="61">
        <v>234</v>
      </c>
      <c r="B237" s="203" t="s">
        <v>2669</v>
      </c>
      <c r="C237" s="61" t="s">
        <v>4464</v>
      </c>
      <c r="D237" s="61" t="s">
        <v>24</v>
      </c>
      <c r="E237" s="209">
        <v>3373000</v>
      </c>
      <c r="F237" s="212">
        <f t="shared" si="6"/>
        <v>3271810</v>
      </c>
      <c r="G237" s="206">
        <f t="shared" si="7"/>
        <v>3170620</v>
      </c>
      <c r="H237" s="61">
        <v>980.16</v>
      </c>
      <c r="I237" s="61">
        <v>771.77</v>
      </c>
      <c r="J237" s="61">
        <v>208.39</v>
      </c>
      <c r="K237" s="61" t="s">
        <v>2780</v>
      </c>
    </row>
    <row r="238" spans="1:11">
      <c r="A238" s="61">
        <v>235</v>
      </c>
      <c r="B238" s="203" t="s">
        <v>2670</v>
      </c>
      <c r="C238" s="61" t="s">
        <v>10</v>
      </c>
      <c r="D238" s="61" t="s">
        <v>35</v>
      </c>
      <c r="E238" s="209">
        <v>1350000</v>
      </c>
      <c r="F238" s="212">
        <f t="shared" si="6"/>
        <v>1309500</v>
      </c>
      <c r="G238" s="206">
        <f t="shared" si="7"/>
        <v>1269000</v>
      </c>
      <c r="H238" s="61">
        <v>375.34</v>
      </c>
      <c r="I238" s="61">
        <v>292.45999999999998</v>
      </c>
      <c r="J238" s="61">
        <v>82.88</v>
      </c>
      <c r="K238" s="61" t="s">
        <v>2786</v>
      </c>
    </row>
    <row r="239" spans="1:11">
      <c r="A239" s="61">
        <v>236</v>
      </c>
      <c r="B239" s="203" t="s">
        <v>2671</v>
      </c>
      <c r="C239" s="61" t="s">
        <v>10</v>
      </c>
      <c r="D239" s="61" t="s">
        <v>35</v>
      </c>
      <c r="E239" s="209">
        <v>1356000</v>
      </c>
      <c r="F239" s="212">
        <f t="shared" si="6"/>
        <v>1315320</v>
      </c>
      <c r="G239" s="206">
        <f t="shared" si="7"/>
        <v>1274640</v>
      </c>
      <c r="H239" s="61">
        <v>361.13</v>
      </c>
      <c r="I239" s="61">
        <v>292.45999999999998</v>
      </c>
      <c r="J239" s="61">
        <v>68.67</v>
      </c>
      <c r="K239" s="61" t="s">
        <v>2786</v>
      </c>
    </row>
    <row r="240" spans="1:11">
      <c r="A240" s="61">
        <v>237</v>
      </c>
      <c r="B240" s="203" t="s">
        <v>2672</v>
      </c>
      <c r="C240" s="61" t="s">
        <v>10</v>
      </c>
      <c r="D240" s="61" t="s">
        <v>35</v>
      </c>
      <c r="E240" s="209">
        <v>1351000</v>
      </c>
      <c r="F240" s="212">
        <f t="shared" si="6"/>
        <v>1310470</v>
      </c>
      <c r="G240" s="206">
        <f t="shared" si="7"/>
        <v>1269940</v>
      </c>
      <c r="H240" s="61">
        <v>341.11</v>
      </c>
      <c r="I240" s="61">
        <v>293.95999999999998</v>
      </c>
      <c r="J240" s="61">
        <v>47.15</v>
      </c>
      <c r="K240" s="61" t="s">
        <v>2786</v>
      </c>
    </row>
    <row r="241" spans="1:11">
      <c r="A241" s="61">
        <v>238</v>
      </c>
      <c r="B241" s="203" t="s">
        <v>2673</v>
      </c>
      <c r="C241" s="61" t="s">
        <v>10</v>
      </c>
      <c r="D241" s="61" t="s">
        <v>24</v>
      </c>
      <c r="E241" s="209">
        <v>3247000</v>
      </c>
      <c r="F241" s="212">
        <f t="shared" si="6"/>
        <v>3149590</v>
      </c>
      <c r="G241" s="206">
        <f t="shared" si="7"/>
        <v>3052180</v>
      </c>
      <c r="H241" s="61">
        <v>980.16</v>
      </c>
      <c r="I241" s="61">
        <v>771.77</v>
      </c>
      <c r="J241" s="61">
        <v>208.39</v>
      </c>
      <c r="K241" s="61" t="s">
        <v>2780</v>
      </c>
    </row>
    <row r="242" spans="1:11">
      <c r="A242" s="61">
        <v>239</v>
      </c>
      <c r="B242" s="203" t="s">
        <v>4665</v>
      </c>
      <c r="C242" s="61" t="s">
        <v>4463</v>
      </c>
      <c r="D242" s="61" t="s">
        <v>36</v>
      </c>
      <c r="E242" s="209">
        <v>2382000</v>
      </c>
      <c r="F242" s="212">
        <f t="shared" si="6"/>
        <v>2310540</v>
      </c>
      <c r="G242" s="206">
        <f t="shared" si="7"/>
        <v>2239080</v>
      </c>
      <c r="H242" s="61">
        <v>617.30999999999995</v>
      </c>
      <c r="I242" s="61">
        <v>549.82000000000005</v>
      </c>
      <c r="J242" s="61">
        <v>67.489999999999995</v>
      </c>
      <c r="K242" s="61" t="s">
        <v>2785</v>
      </c>
    </row>
    <row r="243" spans="1:11">
      <c r="A243" s="61">
        <v>240</v>
      </c>
      <c r="B243" s="203" t="s">
        <v>2674</v>
      </c>
      <c r="C243" s="61" t="s">
        <v>10</v>
      </c>
      <c r="D243" s="61" t="s">
        <v>35</v>
      </c>
      <c r="E243" s="209">
        <v>1352000</v>
      </c>
      <c r="F243" s="212">
        <f t="shared" si="6"/>
        <v>1311440</v>
      </c>
      <c r="G243" s="206">
        <f t="shared" si="7"/>
        <v>1270880</v>
      </c>
      <c r="H243" s="61">
        <v>386.85</v>
      </c>
      <c r="I243" s="61">
        <v>292.45999999999998</v>
      </c>
      <c r="J243" s="61">
        <v>94.4</v>
      </c>
      <c r="K243" s="61" t="s">
        <v>2787</v>
      </c>
    </row>
    <row r="244" spans="1:11">
      <c r="A244" s="61">
        <v>241</v>
      </c>
      <c r="B244" s="203" t="s">
        <v>2675</v>
      </c>
      <c r="C244" s="61" t="s">
        <v>4463</v>
      </c>
      <c r="D244" s="61" t="s">
        <v>24</v>
      </c>
      <c r="E244" s="209">
        <v>3320000</v>
      </c>
      <c r="F244" s="212">
        <f t="shared" si="6"/>
        <v>3220400</v>
      </c>
      <c r="G244" s="206">
        <f t="shared" si="7"/>
        <v>3120800</v>
      </c>
      <c r="H244" s="61">
        <v>980.16</v>
      </c>
      <c r="I244" s="61">
        <v>771.77</v>
      </c>
      <c r="J244" s="61">
        <v>208.39</v>
      </c>
      <c r="K244" s="61" t="s">
        <v>2785</v>
      </c>
    </row>
    <row r="245" spans="1:11">
      <c r="A245" s="61">
        <v>242</v>
      </c>
      <c r="B245" s="203" t="s">
        <v>2676</v>
      </c>
      <c r="C245" s="61" t="s">
        <v>10</v>
      </c>
      <c r="D245" s="61" t="s">
        <v>35</v>
      </c>
      <c r="E245" s="209">
        <v>1351000</v>
      </c>
      <c r="F245" s="212">
        <f t="shared" si="6"/>
        <v>1310470</v>
      </c>
      <c r="G245" s="206">
        <f t="shared" si="7"/>
        <v>1269940</v>
      </c>
      <c r="H245" s="61">
        <v>395.68</v>
      </c>
      <c r="I245" s="61">
        <v>292.45999999999998</v>
      </c>
      <c r="J245" s="61">
        <v>103.23</v>
      </c>
      <c r="K245" s="61" t="s">
        <v>2787</v>
      </c>
    </row>
    <row r="246" spans="1:11">
      <c r="A246" s="61">
        <v>243</v>
      </c>
      <c r="B246" s="203" t="s">
        <v>2677</v>
      </c>
      <c r="C246" s="61" t="s">
        <v>10</v>
      </c>
      <c r="D246" s="61" t="s">
        <v>35</v>
      </c>
      <c r="E246" s="209">
        <v>1353000</v>
      </c>
      <c r="F246" s="212">
        <f t="shared" si="6"/>
        <v>1312410</v>
      </c>
      <c r="G246" s="206">
        <f t="shared" si="7"/>
        <v>1271820</v>
      </c>
      <c r="H246" s="61">
        <v>401.82</v>
      </c>
      <c r="I246" s="61">
        <v>292.45999999999998</v>
      </c>
      <c r="J246" s="61">
        <v>109.36</v>
      </c>
      <c r="K246" s="61" t="s">
        <v>2787</v>
      </c>
    </row>
    <row r="247" spans="1:11">
      <c r="A247" s="61">
        <v>244</v>
      </c>
      <c r="B247" s="203" t="s">
        <v>2678</v>
      </c>
      <c r="C247" s="61" t="s">
        <v>10</v>
      </c>
      <c r="D247" s="61" t="s">
        <v>35</v>
      </c>
      <c r="E247" s="209">
        <v>1351000</v>
      </c>
      <c r="F247" s="212">
        <f t="shared" si="6"/>
        <v>1310470</v>
      </c>
      <c r="G247" s="206">
        <f t="shared" si="7"/>
        <v>1269940</v>
      </c>
      <c r="H247" s="61">
        <v>395.68</v>
      </c>
      <c r="I247" s="61">
        <v>292.45999999999998</v>
      </c>
      <c r="J247" s="61">
        <v>103.23</v>
      </c>
      <c r="K247" s="61" t="s">
        <v>2787</v>
      </c>
    </row>
    <row r="248" spans="1:11">
      <c r="A248" s="61">
        <v>245</v>
      </c>
      <c r="B248" s="203" t="s">
        <v>2679</v>
      </c>
      <c r="C248" s="61" t="s">
        <v>10</v>
      </c>
      <c r="D248" s="61" t="s">
        <v>35</v>
      </c>
      <c r="E248" s="209">
        <v>1350000</v>
      </c>
      <c r="F248" s="212">
        <f t="shared" si="6"/>
        <v>1309500</v>
      </c>
      <c r="G248" s="206">
        <f t="shared" si="7"/>
        <v>1269000</v>
      </c>
      <c r="H248" s="61">
        <v>375.34</v>
      </c>
      <c r="I248" s="61">
        <v>292.45999999999998</v>
      </c>
      <c r="J248" s="61">
        <v>82.88</v>
      </c>
      <c r="K248" s="61" t="s">
        <v>2787</v>
      </c>
    </row>
    <row r="249" spans="1:11">
      <c r="A249" s="61">
        <v>246</v>
      </c>
      <c r="B249" s="203" t="s">
        <v>2680</v>
      </c>
      <c r="C249" s="61" t="s">
        <v>4462</v>
      </c>
      <c r="D249" s="61" t="s">
        <v>24</v>
      </c>
      <c r="E249" s="209">
        <v>3313000</v>
      </c>
      <c r="F249" s="212">
        <f t="shared" si="6"/>
        <v>3213610</v>
      </c>
      <c r="G249" s="206">
        <f t="shared" si="7"/>
        <v>3114220</v>
      </c>
      <c r="H249" s="61">
        <v>980.16</v>
      </c>
      <c r="I249" s="61">
        <v>771.77</v>
      </c>
      <c r="J249" s="61">
        <v>208.39</v>
      </c>
      <c r="K249" s="61" t="s">
        <v>2785</v>
      </c>
    </row>
    <row r="250" spans="1:11">
      <c r="A250" s="61">
        <v>247</v>
      </c>
      <c r="B250" s="203" t="s">
        <v>2681</v>
      </c>
      <c r="C250" s="61" t="s">
        <v>4462</v>
      </c>
      <c r="D250" s="61" t="s">
        <v>35</v>
      </c>
      <c r="E250" s="209">
        <v>1395000</v>
      </c>
      <c r="F250" s="212">
        <f t="shared" si="6"/>
        <v>1353150</v>
      </c>
      <c r="G250" s="206">
        <f t="shared" si="7"/>
        <v>1311300</v>
      </c>
      <c r="H250" s="61">
        <v>341.11</v>
      </c>
      <c r="I250" s="61">
        <v>293.95999999999998</v>
      </c>
      <c r="J250" s="61">
        <v>47.15</v>
      </c>
      <c r="K250" s="61" t="s">
        <v>2786</v>
      </c>
    </row>
    <row r="251" spans="1:11">
      <c r="A251" s="61">
        <v>248</v>
      </c>
      <c r="B251" s="203" t="s">
        <v>2682</v>
      </c>
      <c r="C251" s="61" t="s">
        <v>10</v>
      </c>
      <c r="D251" s="61" t="s">
        <v>35</v>
      </c>
      <c r="E251" s="209">
        <v>1351000</v>
      </c>
      <c r="F251" s="212">
        <f t="shared" si="6"/>
        <v>1310470</v>
      </c>
      <c r="G251" s="206">
        <f t="shared" si="7"/>
        <v>1269940</v>
      </c>
      <c r="H251" s="61">
        <v>341.11</v>
      </c>
      <c r="I251" s="61">
        <v>293.95999999999998</v>
      </c>
      <c r="J251" s="61">
        <v>47.15</v>
      </c>
      <c r="K251" s="61" t="s">
        <v>2788</v>
      </c>
    </row>
    <row r="252" spans="1:11">
      <c r="A252" s="61">
        <v>249</v>
      </c>
      <c r="B252" s="203" t="s">
        <v>2683</v>
      </c>
      <c r="C252" s="61" t="s">
        <v>4462</v>
      </c>
      <c r="D252" s="61" t="s">
        <v>35</v>
      </c>
      <c r="E252" s="209">
        <v>1394000</v>
      </c>
      <c r="F252" s="212">
        <f t="shared" si="6"/>
        <v>1352180</v>
      </c>
      <c r="G252" s="206">
        <f t="shared" si="7"/>
        <v>1310360</v>
      </c>
      <c r="H252" s="61">
        <v>375.34</v>
      </c>
      <c r="I252" s="61">
        <v>292.45999999999998</v>
      </c>
      <c r="J252" s="61">
        <v>82.88</v>
      </c>
      <c r="K252" s="61" t="s">
        <v>2786</v>
      </c>
    </row>
    <row r="253" spans="1:11">
      <c r="A253" s="61">
        <v>250</v>
      </c>
      <c r="B253" s="203" t="s">
        <v>2684</v>
      </c>
      <c r="C253" s="61" t="s">
        <v>4462</v>
      </c>
      <c r="D253" s="61" t="s">
        <v>35</v>
      </c>
      <c r="E253" s="209">
        <v>1399000</v>
      </c>
      <c r="F253" s="212">
        <f t="shared" si="6"/>
        <v>1357030</v>
      </c>
      <c r="G253" s="206">
        <f t="shared" si="7"/>
        <v>1315060</v>
      </c>
      <c r="H253" s="61">
        <v>395.68</v>
      </c>
      <c r="I253" s="61">
        <v>292.45999999999998</v>
      </c>
      <c r="J253" s="61">
        <v>103.23</v>
      </c>
      <c r="K253" s="61" t="s">
        <v>2786</v>
      </c>
    </row>
    <row r="254" spans="1:11">
      <c r="A254" s="61">
        <v>251</v>
      </c>
      <c r="B254" s="203" t="s">
        <v>2685</v>
      </c>
      <c r="C254" s="61" t="s">
        <v>4462</v>
      </c>
      <c r="D254" s="61" t="s">
        <v>35</v>
      </c>
      <c r="E254" s="209">
        <v>1400000</v>
      </c>
      <c r="F254" s="212">
        <f t="shared" si="6"/>
        <v>1358000</v>
      </c>
      <c r="G254" s="206">
        <f t="shared" si="7"/>
        <v>1316000</v>
      </c>
      <c r="H254" s="61">
        <v>401.82</v>
      </c>
      <c r="I254" s="61">
        <v>292.45999999999998</v>
      </c>
      <c r="J254" s="61">
        <v>109.36</v>
      </c>
      <c r="K254" s="61" t="s">
        <v>2786</v>
      </c>
    </row>
    <row r="255" spans="1:11">
      <c r="A255" s="61">
        <v>252</v>
      </c>
      <c r="B255" s="203" t="s">
        <v>2686</v>
      </c>
      <c r="C255" s="61" t="s">
        <v>10</v>
      </c>
      <c r="D255" s="61" t="s">
        <v>24</v>
      </c>
      <c r="E255" s="209">
        <v>3200000</v>
      </c>
      <c r="F255" s="212">
        <f t="shared" si="6"/>
        <v>3104000</v>
      </c>
      <c r="G255" s="206">
        <f t="shared" si="7"/>
        <v>3008000</v>
      </c>
      <c r="H255" s="61">
        <v>980.16</v>
      </c>
      <c r="I255" s="61">
        <v>771.77</v>
      </c>
      <c r="J255" s="61">
        <v>208.39</v>
      </c>
      <c r="K255" s="61" t="s">
        <v>2785</v>
      </c>
    </row>
    <row r="256" spans="1:11">
      <c r="A256" s="61">
        <v>253</v>
      </c>
      <c r="B256" s="203" t="s">
        <v>2687</v>
      </c>
      <c r="C256" s="61" t="s">
        <v>4462</v>
      </c>
      <c r="D256" s="61" t="s">
        <v>24</v>
      </c>
      <c r="E256" s="209">
        <v>3361000</v>
      </c>
      <c r="F256" s="212">
        <f t="shared" si="6"/>
        <v>3260170</v>
      </c>
      <c r="G256" s="206">
        <f t="shared" si="7"/>
        <v>3159340</v>
      </c>
      <c r="H256" s="61">
        <v>980.16</v>
      </c>
      <c r="I256" s="61">
        <v>771.77</v>
      </c>
      <c r="J256" s="61">
        <v>208.39</v>
      </c>
      <c r="K256" s="61" t="s">
        <v>2780</v>
      </c>
    </row>
    <row r="257" spans="1:11">
      <c r="A257" s="61">
        <v>254</v>
      </c>
      <c r="B257" s="203" t="s">
        <v>4666</v>
      </c>
      <c r="C257" s="61" t="s">
        <v>10</v>
      </c>
      <c r="D257" s="61" t="s">
        <v>36</v>
      </c>
      <c r="E257" s="209">
        <v>2300000</v>
      </c>
      <c r="F257" s="212">
        <f t="shared" si="6"/>
        <v>2231000</v>
      </c>
      <c r="G257" s="206">
        <f t="shared" si="7"/>
        <v>2162000</v>
      </c>
      <c r="H257" s="61">
        <v>617.30999999999995</v>
      </c>
      <c r="I257" s="61">
        <v>549.82000000000005</v>
      </c>
      <c r="J257" s="61">
        <v>67.489999999999995</v>
      </c>
      <c r="K257" s="61" t="s">
        <v>2785</v>
      </c>
    </row>
    <row r="258" spans="1:11">
      <c r="A258" s="61">
        <v>255</v>
      </c>
      <c r="B258" s="203" t="s">
        <v>2688</v>
      </c>
      <c r="C258" s="61" t="s">
        <v>4462</v>
      </c>
      <c r="D258" s="61" t="s">
        <v>24</v>
      </c>
      <c r="E258" s="209">
        <v>3313000</v>
      </c>
      <c r="F258" s="212">
        <f t="shared" ref="F258:F321" si="8">E258*0.97</f>
        <v>3213610</v>
      </c>
      <c r="G258" s="206">
        <f t="shared" ref="G258:G321" si="9">E258*0.94</f>
        <v>3114220</v>
      </c>
      <c r="H258" s="61">
        <v>980.16</v>
      </c>
      <c r="I258" s="61">
        <v>771.77</v>
      </c>
      <c r="J258" s="61">
        <v>208.39</v>
      </c>
      <c r="K258" s="61" t="s">
        <v>2785</v>
      </c>
    </row>
    <row r="259" spans="1:11">
      <c r="A259" s="61">
        <v>256</v>
      </c>
      <c r="B259" s="203" t="s">
        <v>2689</v>
      </c>
      <c r="C259" s="61" t="s">
        <v>4495</v>
      </c>
      <c r="D259" s="61" t="s">
        <v>24</v>
      </c>
      <c r="E259" s="209">
        <v>3307000</v>
      </c>
      <c r="F259" s="212">
        <f t="shared" si="8"/>
        <v>3207790</v>
      </c>
      <c r="G259" s="206">
        <f t="shared" si="9"/>
        <v>3108580</v>
      </c>
      <c r="H259" s="61">
        <v>980.16</v>
      </c>
      <c r="I259" s="61">
        <v>771.77</v>
      </c>
      <c r="J259" s="61">
        <v>208.39</v>
      </c>
      <c r="K259" s="61" t="s">
        <v>2785</v>
      </c>
    </row>
    <row r="260" spans="1:11">
      <c r="A260" s="61">
        <v>257</v>
      </c>
      <c r="B260" s="203" t="s">
        <v>2690</v>
      </c>
      <c r="C260" s="61" t="s">
        <v>4495</v>
      </c>
      <c r="D260" s="61" t="s">
        <v>35</v>
      </c>
      <c r="E260" s="209">
        <v>1401000</v>
      </c>
      <c r="F260" s="212">
        <f t="shared" si="8"/>
        <v>1358970</v>
      </c>
      <c r="G260" s="206">
        <f t="shared" si="9"/>
        <v>1316940</v>
      </c>
      <c r="H260" s="61">
        <v>361.13</v>
      </c>
      <c r="I260" s="61">
        <v>292.45999999999998</v>
      </c>
      <c r="J260" s="61">
        <v>68.67</v>
      </c>
      <c r="K260" s="61" t="s">
        <v>2786</v>
      </c>
    </row>
    <row r="261" spans="1:11">
      <c r="A261" s="61">
        <v>258</v>
      </c>
      <c r="B261" s="203" t="s">
        <v>2691</v>
      </c>
      <c r="C261" s="61" t="s">
        <v>4495</v>
      </c>
      <c r="D261" s="61" t="s">
        <v>35</v>
      </c>
      <c r="E261" s="209">
        <v>1392000</v>
      </c>
      <c r="F261" s="212">
        <f t="shared" si="8"/>
        <v>1350240</v>
      </c>
      <c r="G261" s="206">
        <f t="shared" si="9"/>
        <v>1308480</v>
      </c>
      <c r="H261" s="61">
        <v>375.34</v>
      </c>
      <c r="I261" s="61">
        <v>292.45999999999998</v>
      </c>
      <c r="J261" s="61">
        <v>82.88</v>
      </c>
      <c r="K261" s="61" t="s">
        <v>2786</v>
      </c>
    </row>
    <row r="262" spans="1:11">
      <c r="A262" s="61">
        <v>259</v>
      </c>
      <c r="B262" s="203" t="s">
        <v>2692</v>
      </c>
      <c r="C262" s="61" t="s">
        <v>4495</v>
      </c>
      <c r="D262" s="61" t="s">
        <v>35</v>
      </c>
      <c r="E262" s="209">
        <v>1395000</v>
      </c>
      <c r="F262" s="212">
        <f t="shared" si="8"/>
        <v>1353150</v>
      </c>
      <c r="G262" s="206">
        <f t="shared" si="9"/>
        <v>1311300</v>
      </c>
      <c r="H262" s="61">
        <v>386.85</v>
      </c>
      <c r="I262" s="61">
        <v>292.45999999999998</v>
      </c>
      <c r="J262" s="61">
        <v>94.4</v>
      </c>
      <c r="K262" s="61" t="s">
        <v>2786</v>
      </c>
    </row>
    <row r="263" spans="1:11">
      <c r="A263" s="61">
        <v>260</v>
      </c>
      <c r="B263" s="203" t="s">
        <v>2693</v>
      </c>
      <c r="C263" s="61" t="s">
        <v>4495</v>
      </c>
      <c r="D263" s="61" t="s">
        <v>24</v>
      </c>
      <c r="E263" s="209">
        <v>3354000</v>
      </c>
      <c r="F263" s="212">
        <f t="shared" si="8"/>
        <v>3253380</v>
      </c>
      <c r="G263" s="206">
        <f t="shared" si="9"/>
        <v>3152760</v>
      </c>
      <c r="H263" s="61">
        <v>980.16</v>
      </c>
      <c r="I263" s="61">
        <v>771.77</v>
      </c>
      <c r="J263" s="61">
        <v>208.39</v>
      </c>
      <c r="K263" s="61" t="s">
        <v>2780</v>
      </c>
    </row>
    <row r="264" spans="1:11">
      <c r="A264" s="61">
        <v>261</v>
      </c>
      <c r="B264" s="203" t="s">
        <v>2694</v>
      </c>
      <c r="C264" s="61" t="s">
        <v>4495</v>
      </c>
      <c r="D264" s="61" t="s">
        <v>35</v>
      </c>
      <c r="E264" s="209">
        <v>1396000</v>
      </c>
      <c r="F264" s="212">
        <f t="shared" si="8"/>
        <v>1354120</v>
      </c>
      <c r="G264" s="206">
        <f t="shared" si="9"/>
        <v>1312240</v>
      </c>
      <c r="H264" s="61">
        <v>395.68</v>
      </c>
      <c r="I264" s="61">
        <v>292.45999999999998</v>
      </c>
      <c r="J264" s="61">
        <v>103.23</v>
      </c>
      <c r="K264" s="61" t="s">
        <v>2787</v>
      </c>
    </row>
    <row r="265" spans="1:11">
      <c r="A265" s="61">
        <v>262</v>
      </c>
      <c r="B265" s="203" t="s">
        <v>2695</v>
      </c>
      <c r="C265" s="61" t="s">
        <v>4495</v>
      </c>
      <c r="D265" s="61" t="s">
        <v>35</v>
      </c>
      <c r="E265" s="209">
        <v>1398000</v>
      </c>
      <c r="F265" s="212">
        <f t="shared" si="8"/>
        <v>1356060</v>
      </c>
      <c r="G265" s="206">
        <f t="shared" si="9"/>
        <v>1314120</v>
      </c>
      <c r="H265" s="61">
        <v>401.82</v>
      </c>
      <c r="I265" s="61">
        <v>292.45999999999998</v>
      </c>
      <c r="J265" s="61">
        <v>109.36</v>
      </c>
      <c r="K265" s="61" t="s">
        <v>2787</v>
      </c>
    </row>
    <row r="266" spans="1:11">
      <c r="A266" s="61">
        <v>263</v>
      </c>
      <c r="B266" s="203" t="s">
        <v>2696</v>
      </c>
      <c r="C266" s="61" t="s">
        <v>4495</v>
      </c>
      <c r="D266" s="61" t="s">
        <v>35</v>
      </c>
      <c r="E266" s="209">
        <v>1396000</v>
      </c>
      <c r="F266" s="212">
        <f t="shared" si="8"/>
        <v>1354120</v>
      </c>
      <c r="G266" s="206">
        <f t="shared" si="9"/>
        <v>1312240</v>
      </c>
      <c r="H266" s="61">
        <v>395.68</v>
      </c>
      <c r="I266" s="61">
        <v>292.45999999999998</v>
      </c>
      <c r="J266" s="61">
        <v>103.23</v>
      </c>
      <c r="K266" s="61" t="s">
        <v>2787</v>
      </c>
    </row>
    <row r="267" spans="1:11">
      <c r="A267" s="61">
        <v>264</v>
      </c>
      <c r="B267" s="203" t="s">
        <v>2697</v>
      </c>
      <c r="C267" s="61" t="s">
        <v>4495</v>
      </c>
      <c r="D267" s="61" t="s">
        <v>35</v>
      </c>
      <c r="E267" s="209">
        <v>1395000</v>
      </c>
      <c r="F267" s="212">
        <f t="shared" si="8"/>
        <v>1353150</v>
      </c>
      <c r="G267" s="206">
        <f t="shared" si="9"/>
        <v>1311300</v>
      </c>
      <c r="H267" s="61">
        <v>386.85</v>
      </c>
      <c r="I267" s="61">
        <v>292.45999999999998</v>
      </c>
      <c r="J267" s="61">
        <v>94.4</v>
      </c>
      <c r="K267" s="61" t="s">
        <v>2787</v>
      </c>
    </row>
    <row r="268" spans="1:11">
      <c r="A268" s="61">
        <v>265</v>
      </c>
      <c r="B268" s="203" t="s">
        <v>4964</v>
      </c>
      <c r="C268" s="61" t="s">
        <v>4495</v>
      </c>
      <c r="D268" s="61" t="s">
        <v>35</v>
      </c>
      <c r="E268" s="209">
        <v>1401000</v>
      </c>
      <c r="F268" s="212">
        <f t="shared" si="8"/>
        <v>1358970</v>
      </c>
      <c r="G268" s="206">
        <f t="shared" si="9"/>
        <v>1316940</v>
      </c>
      <c r="H268" s="61">
        <v>361.13</v>
      </c>
      <c r="I268" s="61">
        <v>292.45999999999998</v>
      </c>
      <c r="J268" s="61">
        <v>68.67</v>
      </c>
      <c r="K268" s="61" t="s">
        <v>2788</v>
      </c>
    </row>
    <row r="269" spans="1:11">
      <c r="A269" s="61">
        <v>266</v>
      </c>
      <c r="B269" s="203" t="s">
        <v>4965</v>
      </c>
      <c r="C269" s="61" t="s">
        <v>4495</v>
      </c>
      <c r="D269" s="61" t="s">
        <v>35</v>
      </c>
      <c r="E269" s="209">
        <v>1392000</v>
      </c>
      <c r="F269" s="212">
        <f t="shared" si="8"/>
        <v>1350240</v>
      </c>
      <c r="G269" s="206">
        <f t="shared" si="9"/>
        <v>1308480</v>
      </c>
      <c r="H269" s="61">
        <v>341.11</v>
      </c>
      <c r="I269" s="61">
        <v>293.95999999999998</v>
      </c>
      <c r="J269" s="61">
        <v>47.15</v>
      </c>
      <c r="K269" s="61" t="s">
        <v>2788</v>
      </c>
    </row>
    <row r="270" spans="1:11">
      <c r="A270" s="61">
        <v>267</v>
      </c>
      <c r="B270" s="203" t="s">
        <v>2698</v>
      </c>
      <c r="C270" s="61" t="s">
        <v>4494</v>
      </c>
      <c r="D270" s="61" t="s">
        <v>24</v>
      </c>
      <c r="E270" s="209">
        <v>3301000</v>
      </c>
      <c r="F270" s="212">
        <f t="shared" si="8"/>
        <v>3201970</v>
      </c>
      <c r="G270" s="206">
        <f t="shared" si="9"/>
        <v>3102940</v>
      </c>
      <c r="H270" s="61">
        <v>980.16</v>
      </c>
      <c r="I270" s="61">
        <v>771.77</v>
      </c>
      <c r="J270" s="61">
        <v>208.39</v>
      </c>
      <c r="K270" s="61" t="s">
        <v>2785</v>
      </c>
    </row>
    <row r="271" spans="1:11">
      <c r="A271" s="61">
        <v>268</v>
      </c>
      <c r="B271" s="203" t="s">
        <v>2699</v>
      </c>
      <c r="C271" s="61" t="s">
        <v>4494</v>
      </c>
      <c r="D271" s="61" t="s">
        <v>35</v>
      </c>
      <c r="E271" s="209">
        <v>1398000</v>
      </c>
      <c r="F271" s="212">
        <f t="shared" si="8"/>
        <v>1356060</v>
      </c>
      <c r="G271" s="206">
        <f t="shared" si="9"/>
        <v>1314120</v>
      </c>
      <c r="H271" s="61">
        <v>361.13</v>
      </c>
      <c r="I271" s="61">
        <v>292.45999999999998</v>
      </c>
      <c r="J271" s="61">
        <v>68.67</v>
      </c>
      <c r="K271" s="61" t="s">
        <v>2786</v>
      </c>
    </row>
    <row r="272" spans="1:11">
      <c r="A272" s="61">
        <v>269</v>
      </c>
      <c r="B272" s="203" t="s">
        <v>2700</v>
      </c>
      <c r="C272" s="61" t="s">
        <v>4494</v>
      </c>
      <c r="D272" s="61" t="s">
        <v>35</v>
      </c>
      <c r="E272" s="209">
        <v>1395000</v>
      </c>
      <c r="F272" s="212">
        <f t="shared" si="8"/>
        <v>1353150</v>
      </c>
      <c r="G272" s="206">
        <f t="shared" si="9"/>
        <v>1311300</v>
      </c>
      <c r="H272" s="61">
        <v>401.82</v>
      </c>
      <c r="I272" s="61">
        <v>292.45999999999998</v>
      </c>
      <c r="J272" s="61">
        <v>109.36</v>
      </c>
      <c r="K272" s="61" t="s">
        <v>2786</v>
      </c>
    </row>
    <row r="273" spans="1:11">
      <c r="A273" s="61">
        <v>270</v>
      </c>
      <c r="B273" s="203" t="s">
        <v>2701</v>
      </c>
      <c r="C273" s="61" t="s">
        <v>4494</v>
      </c>
      <c r="D273" s="61" t="s">
        <v>35</v>
      </c>
      <c r="E273" s="209">
        <v>1398000</v>
      </c>
      <c r="F273" s="212">
        <f t="shared" si="8"/>
        <v>1356060</v>
      </c>
      <c r="G273" s="206">
        <f t="shared" si="9"/>
        <v>1314120</v>
      </c>
      <c r="H273" s="61">
        <v>361.13</v>
      </c>
      <c r="I273" s="61">
        <v>292.45999999999998</v>
      </c>
      <c r="J273" s="61">
        <v>68.67</v>
      </c>
      <c r="K273" s="61" t="s">
        <v>2786</v>
      </c>
    </row>
    <row r="274" spans="1:11">
      <c r="A274" s="61">
        <v>271</v>
      </c>
      <c r="B274" s="203" t="s">
        <v>2702</v>
      </c>
      <c r="C274" s="61" t="s">
        <v>4494</v>
      </c>
      <c r="D274" s="61" t="s">
        <v>24</v>
      </c>
      <c r="E274" s="209">
        <v>3348000</v>
      </c>
      <c r="F274" s="212">
        <f t="shared" si="8"/>
        <v>3247560</v>
      </c>
      <c r="G274" s="206">
        <f t="shared" si="9"/>
        <v>3147120</v>
      </c>
      <c r="H274" s="61">
        <v>980.16</v>
      </c>
      <c r="I274" s="61">
        <v>771.77</v>
      </c>
      <c r="J274" s="61">
        <v>208.39</v>
      </c>
      <c r="K274" s="61" t="s">
        <v>2780</v>
      </c>
    </row>
    <row r="275" spans="1:11">
      <c r="A275" s="61">
        <v>272</v>
      </c>
      <c r="B275" s="203" t="s">
        <v>2703</v>
      </c>
      <c r="C275" s="61" t="s">
        <v>4494</v>
      </c>
      <c r="D275" s="61" t="s">
        <v>24</v>
      </c>
      <c r="E275" s="209">
        <v>3348000</v>
      </c>
      <c r="F275" s="212">
        <f t="shared" si="8"/>
        <v>3247560</v>
      </c>
      <c r="G275" s="206">
        <f t="shared" si="9"/>
        <v>3147120</v>
      </c>
      <c r="H275" s="61">
        <v>980.16</v>
      </c>
      <c r="I275" s="61">
        <v>771.77</v>
      </c>
      <c r="J275" s="61">
        <v>208.39</v>
      </c>
      <c r="K275" s="61" t="s">
        <v>2780</v>
      </c>
    </row>
    <row r="276" spans="1:11">
      <c r="A276" s="61">
        <v>273</v>
      </c>
      <c r="B276" s="203" t="s">
        <v>2704</v>
      </c>
      <c r="C276" s="61" t="s">
        <v>4494</v>
      </c>
      <c r="D276" s="61" t="s">
        <v>35</v>
      </c>
      <c r="E276" s="209">
        <v>1392000</v>
      </c>
      <c r="F276" s="212">
        <f t="shared" si="8"/>
        <v>1350240</v>
      </c>
      <c r="G276" s="206">
        <f t="shared" si="9"/>
        <v>1308480</v>
      </c>
      <c r="H276" s="61">
        <v>386.85</v>
      </c>
      <c r="I276" s="61">
        <v>292.45999999999998</v>
      </c>
      <c r="J276" s="61">
        <v>94.4</v>
      </c>
      <c r="K276" s="61" t="s">
        <v>2787</v>
      </c>
    </row>
    <row r="277" spans="1:11">
      <c r="A277" s="61">
        <v>274</v>
      </c>
      <c r="B277" s="203" t="s">
        <v>4635</v>
      </c>
      <c r="C277" s="61" t="s">
        <v>4494</v>
      </c>
      <c r="D277" s="61" t="s">
        <v>35</v>
      </c>
      <c r="E277" s="209">
        <v>1389000</v>
      </c>
      <c r="F277" s="212">
        <f t="shared" si="8"/>
        <v>1347330</v>
      </c>
      <c r="G277" s="206">
        <f t="shared" si="9"/>
        <v>1305660</v>
      </c>
      <c r="H277" s="61">
        <v>375.34</v>
      </c>
      <c r="I277" s="61">
        <v>292.45999999999998</v>
      </c>
      <c r="J277" s="61">
        <v>82.88</v>
      </c>
      <c r="K277" s="61" t="s">
        <v>2787</v>
      </c>
    </row>
    <row r="278" spans="1:11">
      <c r="A278" s="61">
        <v>275</v>
      </c>
      <c r="B278" s="203" t="s">
        <v>2705</v>
      </c>
      <c r="C278" s="61" t="s">
        <v>4494</v>
      </c>
      <c r="D278" s="61" t="s">
        <v>24</v>
      </c>
      <c r="E278" s="209">
        <v>3301000</v>
      </c>
      <c r="F278" s="212">
        <f t="shared" si="8"/>
        <v>3201970</v>
      </c>
      <c r="G278" s="206">
        <f t="shared" si="9"/>
        <v>3102940</v>
      </c>
      <c r="H278" s="61">
        <v>980.16</v>
      </c>
      <c r="I278" s="61">
        <v>771.77</v>
      </c>
      <c r="J278" s="61">
        <v>208.39</v>
      </c>
      <c r="K278" s="61" t="s">
        <v>2785</v>
      </c>
    </row>
    <row r="279" spans="1:11">
      <c r="A279" s="61">
        <v>276</v>
      </c>
      <c r="B279" s="203" t="s">
        <v>2706</v>
      </c>
      <c r="C279" s="61" t="s">
        <v>33</v>
      </c>
      <c r="D279" s="61" t="s">
        <v>24</v>
      </c>
      <c r="E279" s="209">
        <v>3295000</v>
      </c>
      <c r="F279" s="212">
        <f t="shared" si="8"/>
        <v>3196150</v>
      </c>
      <c r="G279" s="206">
        <f t="shared" si="9"/>
        <v>3097300</v>
      </c>
      <c r="H279" s="61">
        <v>980.16</v>
      </c>
      <c r="I279" s="61">
        <v>771.77</v>
      </c>
      <c r="J279" s="61">
        <v>208.39</v>
      </c>
      <c r="K279" s="61" t="s">
        <v>2785</v>
      </c>
    </row>
    <row r="280" spans="1:11">
      <c r="A280" s="61">
        <v>277</v>
      </c>
      <c r="B280" s="203" t="s">
        <v>2707</v>
      </c>
      <c r="C280" s="61" t="s">
        <v>33</v>
      </c>
      <c r="D280" s="61" t="s">
        <v>24</v>
      </c>
      <c r="E280" s="209">
        <v>3342000</v>
      </c>
      <c r="F280" s="212">
        <f t="shared" si="8"/>
        <v>3241740</v>
      </c>
      <c r="G280" s="206">
        <f t="shared" si="9"/>
        <v>3141480</v>
      </c>
      <c r="H280" s="61">
        <v>980.16</v>
      </c>
      <c r="I280" s="61">
        <v>771.77</v>
      </c>
      <c r="J280" s="61">
        <v>208.39</v>
      </c>
      <c r="K280" s="61" t="s">
        <v>2780</v>
      </c>
    </row>
    <row r="281" spans="1:11">
      <c r="A281" s="61">
        <v>278</v>
      </c>
      <c r="B281" s="203" t="s">
        <v>4667</v>
      </c>
      <c r="C281" s="61" t="s">
        <v>33</v>
      </c>
      <c r="D281" s="61" t="s">
        <v>36</v>
      </c>
      <c r="E281" s="209">
        <v>2400000</v>
      </c>
      <c r="F281" s="212">
        <f t="shared" si="8"/>
        <v>2328000</v>
      </c>
      <c r="G281" s="206">
        <f t="shared" si="9"/>
        <v>2256000</v>
      </c>
      <c r="H281" s="61">
        <v>617.30999999999995</v>
      </c>
      <c r="I281" s="61">
        <v>549.82000000000005</v>
      </c>
      <c r="J281" s="61">
        <v>67.489999999999995</v>
      </c>
      <c r="K281" s="61" t="s">
        <v>2780</v>
      </c>
    </row>
    <row r="282" spans="1:11">
      <c r="A282" s="61">
        <v>279</v>
      </c>
      <c r="B282" s="203" t="s">
        <v>2708</v>
      </c>
      <c r="C282" s="61" t="s">
        <v>33</v>
      </c>
      <c r="D282" s="61" t="s">
        <v>24</v>
      </c>
      <c r="E282" s="209">
        <v>3342000</v>
      </c>
      <c r="F282" s="212">
        <f t="shared" si="8"/>
        <v>3241740</v>
      </c>
      <c r="G282" s="206">
        <f t="shared" si="9"/>
        <v>3141480</v>
      </c>
      <c r="H282" s="61">
        <v>980.16</v>
      </c>
      <c r="I282" s="61">
        <v>771.77</v>
      </c>
      <c r="J282" s="61">
        <v>208.39</v>
      </c>
      <c r="K282" s="61" t="s">
        <v>2780</v>
      </c>
    </row>
    <row r="283" spans="1:11">
      <c r="A283" s="61">
        <v>280</v>
      </c>
      <c r="B283" s="203" t="s">
        <v>2709</v>
      </c>
      <c r="C283" s="61" t="s">
        <v>33</v>
      </c>
      <c r="D283" s="61" t="s">
        <v>35</v>
      </c>
      <c r="E283" s="209">
        <v>1391000</v>
      </c>
      <c r="F283" s="212">
        <f t="shared" si="8"/>
        <v>1349270</v>
      </c>
      <c r="G283" s="206">
        <f t="shared" si="9"/>
        <v>1307540</v>
      </c>
      <c r="H283" s="61">
        <v>395.68</v>
      </c>
      <c r="I283" s="61">
        <v>292.45999999999998</v>
      </c>
      <c r="J283" s="61">
        <v>103.23</v>
      </c>
      <c r="K283" s="61" t="s">
        <v>2787</v>
      </c>
    </row>
    <row r="284" spans="1:11">
      <c r="A284" s="61">
        <v>281</v>
      </c>
      <c r="B284" s="203" t="s">
        <v>2710</v>
      </c>
      <c r="C284" s="61" t="s">
        <v>33</v>
      </c>
      <c r="D284" s="61" t="s">
        <v>35</v>
      </c>
      <c r="E284" s="209">
        <v>1390000</v>
      </c>
      <c r="F284" s="212">
        <f t="shared" si="8"/>
        <v>1348300</v>
      </c>
      <c r="G284" s="206">
        <f t="shared" si="9"/>
        <v>1306600</v>
      </c>
      <c r="H284" s="61">
        <v>386.85</v>
      </c>
      <c r="I284" s="61">
        <v>292.45999999999998</v>
      </c>
      <c r="J284" s="61">
        <v>94.4</v>
      </c>
      <c r="K284" s="61" t="s">
        <v>2787</v>
      </c>
    </row>
    <row r="285" spans="1:11">
      <c r="A285" s="61">
        <v>282</v>
      </c>
      <c r="B285" s="203" t="s">
        <v>4636</v>
      </c>
      <c r="C285" s="61" t="s">
        <v>33</v>
      </c>
      <c r="D285" s="61" t="s">
        <v>35</v>
      </c>
      <c r="E285" s="209">
        <v>1387000</v>
      </c>
      <c r="F285" s="212">
        <f t="shared" si="8"/>
        <v>1345390</v>
      </c>
      <c r="G285" s="206">
        <f t="shared" si="9"/>
        <v>1303780</v>
      </c>
      <c r="H285" s="61">
        <v>375.34</v>
      </c>
      <c r="I285" s="61">
        <v>292.45999999999998</v>
      </c>
      <c r="J285" s="61">
        <v>82.88</v>
      </c>
      <c r="K285" s="61" t="s">
        <v>2787</v>
      </c>
    </row>
    <row r="286" spans="1:11">
      <c r="A286" s="61">
        <v>283</v>
      </c>
      <c r="B286" s="203" t="s">
        <v>2711</v>
      </c>
      <c r="C286" s="61" t="s">
        <v>33</v>
      </c>
      <c r="D286" s="61" t="s">
        <v>24</v>
      </c>
      <c r="E286" s="209">
        <v>3295000</v>
      </c>
      <c r="F286" s="212">
        <f t="shared" si="8"/>
        <v>3196150</v>
      </c>
      <c r="G286" s="206">
        <f t="shared" si="9"/>
        <v>3097300</v>
      </c>
      <c r="H286" s="61">
        <v>980.16</v>
      </c>
      <c r="I286" s="61">
        <v>771.77</v>
      </c>
      <c r="J286" s="61">
        <v>208.39</v>
      </c>
      <c r="K286" s="61" t="s">
        <v>2785</v>
      </c>
    </row>
    <row r="287" spans="1:11">
      <c r="A287" s="61">
        <v>284</v>
      </c>
      <c r="B287" s="203" t="s">
        <v>2712</v>
      </c>
      <c r="C287" s="61" t="s">
        <v>34</v>
      </c>
      <c r="D287" s="61" t="s">
        <v>24</v>
      </c>
      <c r="E287" s="209">
        <v>3288000</v>
      </c>
      <c r="F287" s="212">
        <f t="shared" si="8"/>
        <v>3189360</v>
      </c>
      <c r="G287" s="206">
        <f t="shared" si="9"/>
        <v>3090720</v>
      </c>
      <c r="H287" s="61">
        <v>980.16</v>
      </c>
      <c r="I287" s="61">
        <v>771.77</v>
      </c>
      <c r="J287" s="61">
        <v>208.39</v>
      </c>
      <c r="K287" s="61" t="s">
        <v>2785</v>
      </c>
    </row>
    <row r="288" spans="1:11">
      <c r="A288" s="61">
        <v>285</v>
      </c>
      <c r="B288" s="203" t="s">
        <v>2713</v>
      </c>
      <c r="C288" s="61" t="s">
        <v>34</v>
      </c>
      <c r="D288" s="61" t="s">
        <v>35</v>
      </c>
      <c r="E288" s="209">
        <v>1385000</v>
      </c>
      <c r="F288" s="212">
        <f t="shared" si="8"/>
        <v>1343450</v>
      </c>
      <c r="G288" s="206">
        <f t="shared" si="9"/>
        <v>1301900</v>
      </c>
      <c r="H288" s="61">
        <v>341.11</v>
      </c>
      <c r="I288" s="61">
        <v>293.95999999999998</v>
      </c>
      <c r="J288" s="61">
        <v>47.15</v>
      </c>
      <c r="K288" s="61" t="s">
        <v>2786</v>
      </c>
    </row>
    <row r="289" spans="1:11">
      <c r="A289" s="61">
        <v>286</v>
      </c>
      <c r="B289" s="203" t="s">
        <v>2714</v>
      </c>
      <c r="C289" s="61" t="s">
        <v>34</v>
      </c>
      <c r="D289" s="61" t="s">
        <v>35</v>
      </c>
      <c r="E289" s="209">
        <v>1393000</v>
      </c>
      <c r="F289" s="212">
        <f t="shared" si="8"/>
        <v>1351210</v>
      </c>
      <c r="G289" s="206">
        <f t="shared" si="9"/>
        <v>1309420</v>
      </c>
      <c r="H289" s="61">
        <v>361.13</v>
      </c>
      <c r="I289" s="61">
        <v>292.45999999999998</v>
      </c>
      <c r="J289" s="61">
        <v>68.67</v>
      </c>
      <c r="K289" s="61" t="s">
        <v>2786</v>
      </c>
    </row>
    <row r="290" spans="1:11">
      <c r="A290" s="61">
        <v>287</v>
      </c>
      <c r="B290" s="203" t="s">
        <v>2715</v>
      </c>
      <c r="C290" s="61" t="s">
        <v>34</v>
      </c>
      <c r="D290" s="61" t="s">
        <v>35</v>
      </c>
      <c r="E290" s="209">
        <v>1390000</v>
      </c>
      <c r="F290" s="212">
        <f t="shared" si="8"/>
        <v>1348300</v>
      </c>
      <c r="G290" s="206">
        <f t="shared" si="9"/>
        <v>1306600</v>
      </c>
      <c r="H290" s="61">
        <v>401.82</v>
      </c>
      <c r="I290" s="61">
        <v>292.45999999999998</v>
      </c>
      <c r="J290" s="61">
        <v>109.36</v>
      </c>
      <c r="K290" s="61" t="s">
        <v>2786</v>
      </c>
    </row>
    <row r="291" spans="1:11">
      <c r="A291" s="61">
        <v>288</v>
      </c>
      <c r="B291" s="203" t="s">
        <v>2716</v>
      </c>
      <c r="C291" s="61" t="s">
        <v>34</v>
      </c>
      <c r="D291" s="61" t="s">
        <v>35</v>
      </c>
      <c r="E291" s="209">
        <v>1388000</v>
      </c>
      <c r="F291" s="212">
        <f t="shared" si="8"/>
        <v>1346360</v>
      </c>
      <c r="G291" s="206">
        <f t="shared" si="9"/>
        <v>1304720</v>
      </c>
      <c r="H291" s="61">
        <v>395.68</v>
      </c>
      <c r="I291" s="61">
        <v>292.45999999999998</v>
      </c>
      <c r="J291" s="61">
        <v>103.23</v>
      </c>
      <c r="K291" s="61" t="s">
        <v>2786</v>
      </c>
    </row>
    <row r="292" spans="1:11">
      <c r="A292" s="61">
        <v>289</v>
      </c>
      <c r="B292" s="203" t="s">
        <v>2717</v>
      </c>
      <c r="C292" s="61" t="s">
        <v>34</v>
      </c>
      <c r="D292" s="61" t="s">
        <v>35</v>
      </c>
      <c r="E292" s="209">
        <v>1384000</v>
      </c>
      <c r="F292" s="212">
        <f t="shared" si="8"/>
        <v>1342480</v>
      </c>
      <c r="G292" s="206">
        <f t="shared" si="9"/>
        <v>1300960</v>
      </c>
      <c r="H292" s="61">
        <v>375.34</v>
      </c>
      <c r="I292" s="61">
        <v>292.45999999999998</v>
      </c>
      <c r="J292" s="61">
        <v>82.88</v>
      </c>
      <c r="K292" s="61" t="s">
        <v>2786</v>
      </c>
    </row>
    <row r="293" spans="1:11">
      <c r="A293" s="61">
        <v>290</v>
      </c>
      <c r="B293" s="203" t="s">
        <v>2718</v>
      </c>
      <c r="C293" s="61" t="s">
        <v>34</v>
      </c>
      <c r="D293" s="61" t="s">
        <v>24</v>
      </c>
      <c r="E293" s="209">
        <v>3335000</v>
      </c>
      <c r="F293" s="212">
        <f t="shared" si="8"/>
        <v>3234950</v>
      </c>
      <c r="G293" s="206">
        <f t="shared" si="9"/>
        <v>3134900</v>
      </c>
      <c r="H293" s="61">
        <v>980.16</v>
      </c>
      <c r="I293" s="61">
        <v>771.77</v>
      </c>
      <c r="J293" s="61">
        <v>208.39</v>
      </c>
      <c r="K293" s="61" t="s">
        <v>2780</v>
      </c>
    </row>
    <row r="294" spans="1:11">
      <c r="A294" s="61">
        <v>291</v>
      </c>
      <c r="B294" s="203" t="s">
        <v>2719</v>
      </c>
      <c r="C294" s="61" t="s">
        <v>34</v>
      </c>
      <c r="D294" s="61" t="s">
        <v>24</v>
      </c>
      <c r="E294" s="209">
        <v>3335000</v>
      </c>
      <c r="F294" s="212">
        <f t="shared" si="8"/>
        <v>3234950</v>
      </c>
      <c r="G294" s="206">
        <f t="shared" si="9"/>
        <v>3134900</v>
      </c>
      <c r="H294" s="61">
        <v>980.16</v>
      </c>
      <c r="I294" s="61">
        <v>771.77</v>
      </c>
      <c r="J294" s="61">
        <v>208.39</v>
      </c>
      <c r="K294" s="61" t="s">
        <v>2780</v>
      </c>
    </row>
    <row r="295" spans="1:11">
      <c r="A295" s="61">
        <v>292</v>
      </c>
      <c r="B295" s="203" t="s">
        <v>2720</v>
      </c>
      <c r="C295" s="61" t="s">
        <v>34</v>
      </c>
      <c r="D295" s="61" t="s">
        <v>35</v>
      </c>
      <c r="E295" s="209">
        <v>1393000</v>
      </c>
      <c r="F295" s="212">
        <f t="shared" si="8"/>
        <v>1351210</v>
      </c>
      <c r="G295" s="206">
        <f t="shared" si="9"/>
        <v>1309420</v>
      </c>
      <c r="H295" s="61">
        <v>361.13</v>
      </c>
      <c r="I295" s="61">
        <v>292.45999999999998</v>
      </c>
      <c r="J295" s="61">
        <v>68.67</v>
      </c>
      <c r="K295" s="61" t="s">
        <v>2787</v>
      </c>
    </row>
    <row r="296" spans="1:11">
      <c r="A296" s="61">
        <v>293</v>
      </c>
      <c r="B296" s="203" t="s">
        <v>2721</v>
      </c>
      <c r="C296" s="61" t="s">
        <v>34</v>
      </c>
      <c r="D296" s="61" t="s">
        <v>35</v>
      </c>
      <c r="E296" s="209">
        <v>1384000</v>
      </c>
      <c r="F296" s="212">
        <f t="shared" si="8"/>
        <v>1342480</v>
      </c>
      <c r="G296" s="206">
        <f t="shared" si="9"/>
        <v>1300960</v>
      </c>
      <c r="H296" s="61">
        <v>375.34</v>
      </c>
      <c r="I296" s="61">
        <v>292.45999999999998</v>
      </c>
      <c r="J296" s="61">
        <v>82.88</v>
      </c>
      <c r="K296" s="61" t="s">
        <v>2787</v>
      </c>
    </row>
    <row r="297" spans="1:11">
      <c r="A297" s="61">
        <v>294</v>
      </c>
      <c r="B297" s="203" t="s">
        <v>2722</v>
      </c>
      <c r="C297" s="61" t="s">
        <v>34</v>
      </c>
      <c r="D297" s="61" t="s">
        <v>24</v>
      </c>
      <c r="E297" s="209">
        <v>3288000</v>
      </c>
      <c r="F297" s="212">
        <f t="shared" si="8"/>
        <v>3189360</v>
      </c>
      <c r="G297" s="206">
        <f t="shared" si="9"/>
        <v>3090720</v>
      </c>
      <c r="H297" s="61">
        <v>980.16</v>
      </c>
      <c r="I297" s="61">
        <v>771.77</v>
      </c>
      <c r="J297" s="61">
        <v>208.39</v>
      </c>
      <c r="K297" s="61" t="s">
        <v>2785</v>
      </c>
    </row>
    <row r="298" spans="1:11">
      <c r="A298" s="61">
        <v>295</v>
      </c>
      <c r="B298" s="203" t="s">
        <v>2723</v>
      </c>
      <c r="C298" s="61" t="s">
        <v>4461</v>
      </c>
      <c r="D298" s="61" t="s">
        <v>24</v>
      </c>
      <c r="E298" s="209">
        <v>3282000</v>
      </c>
      <c r="F298" s="212">
        <f t="shared" si="8"/>
        <v>3183540</v>
      </c>
      <c r="G298" s="206">
        <f t="shared" si="9"/>
        <v>3085080</v>
      </c>
      <c r="H298" s="61">
        <v>980.16</v>
      </c>
      <c r="I298" s="61">
        <v>771.77</v>
      </c>
      <c r="J298" s="61">
        <v>208.39</v>
      </c>
      <c r="K298" s="61" t="s">
        <v>2785</v>
      </c>
    </row>
    <row r="299" spans="1:11">
      <c r="A299" s="61">
        <v>296</v>
      </c>
      <c r="B299" s="203" t="s">
        <v>2724</v>
      </c>
      <c r="C299" s="61" t="s">
        <v>4461</v>
      </c>
      <c r="D299" s="61" t="s">
        <v>35</v>
      </c>
      <c r="E299" s="209">
        <v>1382000</v>
      </c>
      <c r="F299" s="212">
        <f t="shared" si="8"/>
        <v>1340540</v>
      </c>
      <c r="G299" s="206">
        <f t="shared" si="9"/>
        <v>1299080</v>
      </c>
      <c r="H299" s="61">
        <v>341.11</v>
      </c>
      <c r="I299" s="61">
        <v>293.95999999999998</v>
      </c>
      <c r="J299" s="61">
        <v>47.15</v>
      </c>
      <c r="K299" s="61" t="s">
        <v>2786</v>
      </c>
    </row>
    <row r="300" spans="1:11">
      <c r="A300" s="61">
        <v>297</v>
      </c>
      <c r="B300" s="203" t="s">
        <v>2725</v>
      </c>
      <c r="C300" s="61" t="s">
        <v>4461</v>
      </c>
      <c r="D300" s="61" t="s">
        <v>35</v>
      </c>
      <c r="E300" s="209">
        <v>1381000</v>
      </c>
      <c r="F300" s="212">
        <f t="shared" si="8"/>
        <v>1339570</v>
      </c>
      <c r="G300" s="206">
        <f t="shared" si="9"/>
        <v>1298140</v>
      </c>
      <c r="H300" s="61">
        <v>375.34</v>
      </c>
      <c r="I300" s="61">
        <v>292.45999999999998</v>
      </c>
      <c r="J300" s="61">
        <v>82.88</v>
      </c>
      <c r="K300" s="61" t="s">
        <v>2786</v>
      </c>
    </row>
    <row r="301" spans="1:11">
      <c r="A301" s="61">
        <v>298</v>
      </c>
      <c r="B301" s="203" t="s">
        <v>2726</v>
      </c>
      <c r="C301" s="61" t="s">
        <v>4461</v>
      </c>
      <c r="D301" s="61" t="s">
        <v>35</v>
      </c>
      <c r="E301" s="209">
        <v>1387000</v>
      </c>
      <c r="F301" s="212">
        <f t="shared" si="8"/>
        <v>1345390</v>
      </c>
      <c r="G301" s="206">
        <f t="shared" si="9"/>
        <v>1303780</v>
      </c>
      <c r="H301" s="61">
        <v>401.82</v>
      </c>
      <c r="I301" s="61">
        <v>292.45999999999998</v>
      </c>
      <c r="J301" s="61">
        <v>109.36</v>
      </c>
      <c r="K301" s="61" t="s">
        <v>2786</v>
      </c>
    </row>
    <row r="302" spans="1:11">
      <c r="A302" s="61">
        <v>299</v>
      </c>
      <c r="B302" s="203" t="s">
        <v>2727</v>
      </c>
      <c r="C302" s="61" t="s">
        <v>4461</v>
      </c>
      <c r="D302" s="61" t="s">
        <v>35</v>
      </c>
      <c r="E302" s="209">
        <v>1382000</v>
      </c>
      <c r="F302" s="212">
        <f t="shared" si="8"/>
        <v>1340540</v>
      </c>
      <c r="G302" s="206">
        <f t="shared" si="9"/>
        <v>1299080</v>
      </c>
      <c r="H302" s="61">
        <v>341.11</v>
      </c>
      <c r="I302" s="61">
        <v>293.95999999999998</v>
      </c>
      <c r="J302" s="61">
        <v>47.15</v>
      </c>
      <c r="K302" s="61" t="s">
        <v>2786</v>
      </c>
    </row>
    <row r="303" spans="1:11">
      <c r="A303" s="61">
        <v>300</v>
      </c>
      <c r="B303" s="203" t="s">
        <v>2728</v>
      </c>
      <c r="C303" s="61" t="s">
        <v>4461</v>
      </c>
      <c r="D303" s="61" t="s">
        <v>24</v>
      </c>
      <c r="E303" s="209">
        <v>3329000</v>
      </c>
      <c r="F303" s="212">
        <f t="shared" si="8"/>
        <v>3229130</v>
      </c>
      <c r="G303" s="206">
        <f t="shared" si="9"/>
        <v>3129260</v>
      </c>
      <c r="H303" s="61">
        <v>980.16</v>
      </c>
      <c r="I303" s="61">
        <v>771.77</v>
      </c>
      <c r="J303" s="61">
        <v>208.39</v>
      </c>
      <c r="K303" s="61" t="s">
        <v>2780</v>
      </c>
    </row>
    <row r="304" spans="1:11">
      <c r="A304" s="61">
        <v>301</v>
      </c>
      <c r="B304" s="203" t="s">
        <v>2729</v>
      </c>
      <c r="C304" s="61" t="s">
        <v>4461</v>
      </c>
      <c r="D304" s="61" t="s">
        <v>24</v>
      </c>
      <c r="E304" s="209">
        <v>3329000</v>
      </c>
      <c r="F304" s="212">
        <f t="shared" si="8"/>
        <v>3229130</v>
      </c>
      <c r="G304" s="206">
        <f t="shared" si="9"/>
        <v>3129260</v>
      </c>
      <c r="H304" s="61">
        <v>980.16</v>
      </c>
      <c r="I304" s="61">
        <v>771.77</v>
      </c>
      <c r="J304" s="61">
        <v>208.39</v>
      </c>
      <c r="K304" s="61" t="s">
        <v>2780</v>
      </c>
    </row>
    <row r="305" spans="1:11">
      <c r="A305" s="61">
        <v>302</v>
      </c>
      <c r="B305" s="203" t="s">
        <v>2730</v>
      </c>
      <c r="C305" s="61" t="s">
        <v>4461</v>
      </c>
      <c r="D305" s="61" t="s">
        <v>35</v>
      </c>
      <c r="E305" s="209">
        <v>1382000</v>
      </c>
      <c r="F305" s="212">
        <f t="shared" si="8"/>
        <v>1340540</v>
      </c>
      <c r="G305" s="206">
        <f t="shared" si="9"/>
        <v>1299080</v>
      </c>
      <c r="H305" s="61">
        <v>341.11</v>
      </c>
      <c r="I305" s="61">
        <v>293.95999999999998</v>
      </c>
      <c r="J305" s="61">
        <v>47.15</v>
      </c>
      <c r="K305" s="61" t="s">
        <v>2787</v>
      </c>
    </row>
    <row r="306" spans="1:11">
      <c r="A306" s="61">
        <v>303</v>
      </c>
      <c r="B306" s="203" t="s">
        <v>2731</v>
      </c>
      <c r="C306" s="61" t="s">
        <v>4461</v>
      </c>
      <c r="D306" s="61" t="s">
        <v>35</v>
      </c>
      <c r="E306" s="209">
        <v>1387000</v>
      </c>
      <c r="F306" s="212">
        <f t="shared" si="8"/>
        <v>1345390</v>
      </c>
      <c r="G306" s="206">
        <f t="shared" si="9"/>
        <v>1303780</v>
      </c>
      <c r="H306" s="61">
        <v>401.82</v>
      </c>
      <c r="I306" s="61">
        <v>292.45999999999998</v>
      </c>
      <c r="J306" s="61">
        <v>109.36</v>
      </c>
      <c r="K306" s="61" t="s">
        <v>2787</v>
      </c>
    </row>
    <row r="307" spans="1:11">
      <c r="A307" s="61">
        <v>304</v>
      </c>
      <c r="B307" s="203" t="s">
        <v>2732</v>
      </c>
      <c r="C307" s="61" t="s">
        <v>4461</v>
      </c>
      <c r="D307" s="61" t="s">
        <v>24</v>
      </c>
      <c r="E307" s="209">
        <v>3282000</v>
      </c>
      <c r="F307" s="212">
        <f t="shared" si="8"/>
        <v>3183540</v>
      </c>
      <c r="G307" s="206">
        <f t="shared" si="9"/>
        <v>3085080</v>
      </c>
      <c r="H307" s="61">
        <v>980.16</v>
      </c>
      <c r="I307" s="61">
        <v>771.77</v>
      </c>
      <c r="J307" s="61">
        <v>208.39</v>
      </c>
      <c r="K307" s="61" t="s">
        <v>2785</v>
      </c>
    </row>
    <row r="308" spans="1:11">
      <c r="A308" s="61">
        <v>305</v>
      </c>
      <c r="B308" s="203" t="s">
        <v>2733</v>
      </c>
      <c r="C308" s="61" t="s">
        <v>4460</v>
      </c>
      <c r="D308" s="61" t="s">
        <v>24</v>
      </c>
      <c r="E308" s="209">
        <v>3276000</v>
      </c>
      <c r="F308" s="212">
        <f t="shared" si="8"/>
        <v>3177720</v>
      </c>
      <c r="G308" s="206">
        <f t="shared" si="9"/>
        <v>3079440</v>
      </c>
      <c r="H308" s="61">
        <v>980.16</v>
      </c>
      <c r="I308" s="61">
        <v>771.77</v>
      </c>
      <c r="J308" s="61">
        <v>208.39</v>
      </c>
      <c r="K308" s="61" t="s">
        <v>2785</v>
      </c>
    </row>
    <row r="309" spans="1:11">
      <c r="A309" s="61">
        <v>306</v>
      </c>
      <c r="B309" s="203" t="s">
        <v>2734</v>
      </c>
      <c r="C309" s="61" t="s">
        <v>4460</v>
      </c>
      <c r="D309" s="61" t="s">
        <v>35</v>
      </c>
      <c r="E309" s="209">
        <v>1383000</v>
      </c>
      <c r="F309" s="212">
        <f t="shared" si="8"/>
        <v>1341510</v>
      </c>
      <c r="G309" s="206">
        <f t="shared" si="9"/>
        <v>1300020</v>
      </c>
      <c r="H309" s="61">
        <v>395.68</v>
      </c>
      <c r="I309" s="61">
        <v>292.45999999999998</v>
      </c>
      <c r="J309" s="61">
        <v>103.23</v>
      </c>
      <c r="K309" s="61" t="s">
        <v>2786</v>
      </c>
    </row>
    <row r="310" spans="1:11">
      <c r="A310" s="61">
        <v>307</v>
      </c>
      <c r="B310" s="203" t="s">
        <v>2735</v>
      </c>
      <c r="C310" s="61" t="s">
        <v>4460</v>
      </c>
      <c r="D310" s="61" t="s">
        <v>35</v>
      </c>
      <c r="E310" s="209">
        <v>1388000</v>
      </c>
      <c r="F310" s="212">
        <f t="shared" si="8"/>
        <v>1346360</v>
      </c>
      <c r="G310" s="206">
        <f t="shared" si="9"/>
        <v>1304720</v>
      </c>
      <c r="H310" s="61">
        <v>361.13</v>
      </c>
      <c r="I310" s="61">
        <v>292.45999999999998</v>
      </c>
      <c r="J310" s="61">
        <v>68.67</v>
      </c>
      <c r="K310" s="61" t="s">
        <v>2786</v>
      </c>
    </row>
    <row r="311" spans="1:11">
      <c r="A311" s="61">
        <v>308</v>
      </c>
      <c r="B311" s="203" t="s">
        <v>2736</v>
      </c>
      <c r="C311" s="61" t="s">
        <v>4460</v>
      </c>
      <c r="D311" s="61" t="s">
        <v>35</v>
      </c>
      <c r="E311" s="209">
        <v>1379000</v>
      </c>
      <c r="F311" s="212">
        <f t="shared" si="8"/>
        <v>1337630</v>
      </c>
      <c r="G311" s="206">
        <f t="shared" si="9"/>
        <v>1296260</v>
      </c>
      <c r="H311" s="61">
        <v>341.11</v>
      </c>
      <c r="I311" s="61">
        <v>293.95999999999998</v>
      </c>
      <c r="J311" s="61">
        <v>47.15</v>
      </c>
      <c r="K311" s="61" t="s">
        <v>2786</v>
      </c>
    </row>
    <row r="312" spans="1:11">
      <c r="A312" s="61">
        <v>309</v>
      </c>
      <c r="B312" s="203" t="s">
        <v>2737</v>
      </c>
      <c r="C312" s="61" t="s">
        <v>4460</v>
      </c>
      <c r="D312" s="61" t="s">
        <v>24</v>
      </c>
      <c r="E312" s="209">
        <v>3323000</v>
      </c>
      <c r="F312" s="212">
        <f t="shared" si="8"/>
        <v>3223310</v>
      </c>
      <c r="G312" s="206">
        <f t="shared" si="9"/>
        <v>3123620</v>
      </c>
      <c r="H312" s="61">
        <v>980.16</v>
      </c>
      <c r="I312" s="61">
        <v>771.77</v>
      </c>
      <c r="J312" s="61">
        <v>208.39</v>
      </c>
      <c r="K312" s="61" t="s">
        <v>2780</v>
      </c>
    </row>
    <row r="313" spans="1:11">
      <c r="A313" s="61">
        <v>310</v>
      </c>
      <c r="B313" s="203" t="s">
        <v>2738</v>
      </c>
      <c r="C313" s="61" t="s">
        <v>4460</v>
      </c>
      <c r="D313" s="61" t="s">
        <v>24</v>
      </c>
      <c r="E313" s="209">
        <v>3323000</v>
      </c>
      <c r="F313" s="212">
        <f t="shared" si="8"/>
        <v>3223310</v>
      </c>
      <c r="G313" s="206">
        <f t="shared" si="9"/>
        <v>3123620</v>
      </c>
      <c r="H313" s="61">
        <v>980.16</v>
      </c>
      <c r="I313" s="61">
        <v>771.77</v>
      </c>
      <c r="J313" s="61">
        <v>208.39</v>
      </c>
      <c r="K313" s="61" t="s">
        <v>2780</v>
      </c>
    </row>
    <row r="314" spans="1:11">
      <c r="A314" s="61">
        <v>311</v>
      </c>
      <c r="B314" s="203" t="s">
        <v>2739</v>
      </c>
      <c r="C314" s="61" t="s">
        <v>4460</v>
      </c>
      <c r="D314" s="61" t="s">
        <v>35</v>
      </c>
      <c r="E314" s="209">
        <v>1382000</v>
      </c>
      <c r="F314" s="212">
        <f t="shared" si="8"/>
        <v>1340540</v>
      </c>
      <c r="G314" s="206">
        <f t="shared" si="9"/>
        <v>1299080</v>
      </c>
      <c r="H314" s="61">
        <v>386.85</v>
      </c>
      <c r="I314" s="61">
        <v>292.45999999999998</v>
      </c>
      <c r="J314" s="61">
        <v>94.4</v>
      </c>
      <c r="K314" s="61" t="s">
        <v>2787</v>
      </c>
    </row>
    <row r="315" spans="1:11">
      <c r="A315" s="61">
        <v>312</v>
      </c>
      <c r="B315" s="203" t="s">
        <v>2740</v>
      </c>
      <c r="C315" s="61" t="s">
        <v>4460</v>
      </c>
      <c r="D315" s="61" t="s">
        <v>35</v>
      </c>
      <c r="E315" s="209">
        <v>1385000</v>
      </c>
      <c r="F315" s="212">
        <f t="shared" si="8"/>
        <v>1343450</v>
      </c>
      <c r="G315" s="206">
        <f t="shared" si="9"/>
        <v>1301900</v>
      </c>
      <c r="H315" s="61">
        <v>401.82</v>
      </c>
      <c r="I315" s="61">
        <v>292.45999999999998</v>
      </c>
      <c r="J315" s="61">
        <v>109.36</v>
      </c>
      <c r="K315" s="61" t="s">
        <v>2787</v>
      </c>
    </row>
    <row r="316" spans="1:11">
      <c r="A316" s="61">
        <v>313</v>
      </c>
      <c r="B316" s="203" t="s">
        <v>2741</v>
      </c>
      <c r="C316" s="61" t="s">
        <v>4460</v>
      </c>
      <c r="D316" s="61" t="s">
        <v>24</v>
      </c>
      <c r="E316" s="209">
        <v>3276000</v>
      </c>
      <c r="F316" s="212">
        <f t="shared" si="8"/>
        <v>3177720</v>
      </c>
      <c r="G316" s="206">
        <f t="shared" si="9"/>
        <v>3079440</v>
      </c>
      <c r="H316" s="61">
        <v>980.16</v>
      </c>
      <c r="I316" s="61">
        <v>771.77</v>
      </c>
      <c r="J316" s="61">
        <v>208.39</v>
      </c>
      <c r="K316" s="61" t="s">
        <v>2785</v>
      </c>
    </row>
    <row r="317" spans="1:11">
      <c r="A317" s="61">
        <v>314</v>
      </c>
      <c r="B317" s="203" t="s">
        <v>2742</v>
      </c>
      <c r="C317" s="61" t="s">
        <v>11</v>
      </c>
      <c r="D317" s="61" t="s">
        <v>24</v>
      </c>
      <c r="E317" s="209">
        <v>3269000</v>
      </c>
      <c r="F317" s="212">
        <f t="shared" si="8"/>
        <v>3170930</v>
      </c>
      <c r="G317" s="206">
        <f t="shared" si="9"/>
        <v>3072860</v>
      </c>
      <c r="H317" s="61">
        <v>980.16</v>
      </c>
      <c r="I317" s="61">
        <v>771.77</v>
      </c>
      <c r="J317" s="61">
        <v>208.39</v>
      </c>
      <c r="K317" s="61" t="s">
        <v>2785</v>
      </c>
    </row>
    <row r="318" spans="1:11">
      <c r="A318" s="61">
        <v>315</v>
      </c>
      <c r="B318" s="203" t="s">
        <v>2743</v>
      </c>
      <c r="C318" s="61" t="s">
        <v>11</v>
      </c>
      <c r="D318" s="61" t="s">
        <v>35</v>
      </c>
      <c r="E318" s="209">
        <v>1382000</v>
      </c>
      <c r="F318" s="212">
        <f t="shared" si="8"/>
        <v>1340540</v>
      </c>
      <c r="G318" s="206">
        <f t="shared" si="9"/>
        <v>1299080</v>
      </c>
      <c r="H318" s="61">
        <v>401.82</v>
      </c>
      <c r="I318" s="61">
        <v>292.45999999999998</v>
      </c>
      <c r="J318" s="61">
        <v>109.36</v>
      </c>
      <c r="K318" s="61" t="s">
        <v>2786</v>
      </c>
    </row>
    <row r="319" spans="1:11">
      <c r="A319" s="61">
        <v>316</v>
      </c>
      <c r="B319" s="203" t="s">
        <v>2744</v>
      </c>
      <c r="C319" s="61" t="s">
        <v>11</v>
      </c>
      <c r="D319" s="61" t="s">
        <v>35</v>
      </c>
      <c r="E319" s="209">
        <v>1379000</v>
      </c>
      <c r="F319" s="212">
        <f t="shared" si="8"/>
        <v>1337630</v>
      </c>
      <c r="G319" s="206">
        <f t="shared" si="9"/>
        <v>1296260</v>
      </c>
      <c r="H319" s="61">
        <v>386.85</v>
      </c>
      <c r="I319" s="61">
        <v>292.45999999999998</v>
      </c>
      <c r="J319" s="61">
        <v>94.4</v>
      </c>
      <c r="K319" s="61" t="s">
        <v>2786</v>
      </c>
    </row>
    <row r="320" spans="1:11">
      <c r="A320" s="61">
        <v>317</v>
      </c>
      <c r="B320" s="203" t="s">
        <v>2745</v>
      </c>
      <c r="C320" s="61" t="s">
        <v>11</v>
      </c>
      <c r="D320" s="61" t="s">
        <v>35</v>
      </c>
      <c r="E320" s="209">
        <v>1385000</v>
      </c>
      <c r="F320" s="212">
        <f t="shared" si="8"/>
        <v>1343450</v>
      </c>
      <c r="G320" s="206">
        <f t="shared" si="9"/>
        <v>1301900</v>
      </c>
      <c r="H320" s="61">
        <v>361.13</v>
      </c>
      <c r="I320" s="61">
        <v>292.45999999999998</v>
      </c>
      <c r="J320" s="61">
        <v>68.67</v>
      </c>
      <c r="K320" s="61" t="s">
        <v>2786</v>
      </c>
    </row>
    <row r="321" spans="1:11">
      <c r="A321" s="61">
        <v>318</v>
      </c>
      <c r="B321" s="203" t="s">
        <v>2746</v>
      </c>
      <c r="C321" s="61" t="s">
        <v>11</v>
      </c>
      <c r="D321" s="61" t="s">
        <v>35</v>
      </c>
      <c r="E321" s="209">
        <v>1377000</v>
      </c>
      <c r="F321" s="212">
        <f t="shared" si="8"/>
        <v>1335690</v>
      </c>
      <c r="G321" s="206">
        <f t="shared" si="9"/>
        <v>1294380</v>
      </c>
      <c r="H321" s="61">
        <v>341.11</v>
      </c>
      <c r="I321" s="61">
        <v>293.95999999999998</v>
      </c>
      <c r="J321" s="61">
        <v>47.15</v>
      </c>
      <c r="K321" s="61" t="s">
        <v>2786</v>
      </c>
    </row>
    <row r="322" spans="1:11">
      <c r="A322" s="61">
        <v>319</v>
      </c>
      <c r="B322" s="203" t="s">
        <v>2747</v>
      </c>
      <c r="C322" s="61" t="s">
        <v>11</v>
      </c>
      <c r="D322" s="61" t="s">
        <v>24</v>
      </c>
      <c r="E322" s="209">
        <v>3317000</v>
      </c>
      <c r="F322" s="212">
        <f t="shared" ref="F322:F348" si="10">E322*0.97</f>
        <v>3217490</v>
      </c>
      <c r="G322" s="206">
        <f t="shared" ref="G322:G348" si="11">E322*0.94</f>
        <v>3117980</v>
      </c>
      <c r="H322" s="61">
        <v>980.16</v>
      </c>
      <c r="I322" s="61">
        <v>771.77</v>
      </c>
      <c r="J322" s="61">
        <v>208.39</v>
      </c>
      <c r="K322" s="61" t="s">
        <v>2780</v>
      </c>
    </row>
    <row r="323" spans="1:11">
      <c r="A323" s="61">
        <v>320</v>
      </c>
      <c r="B323" s="203" t="s">
        <v>2748</v>
      </c>
      <c r="C323" s="61" t="s">
        <v>11</v>
      </c>
      <c r="D323" s="61" t="s">
        <v>35</v>
      </c>
      <c r="E323" s="209">
        <v>1382000</v>
      </c>
      <c r="F323" s="212">
        <f t="shared" si="10"/>
        <v>1340540</v>
      </c>
      <c r="G323" s="206">
        <f t="shared" si="11"/>
        <v>1299080</v>
      </c>
      <c r="H323" s="61">
        <v>401.82</v>
      </c>
      <c r="I323" s="61">
        <v>292.45999999999998</v>
      </c>
      <c r="J323" s="61">
        <v>109.36</v>
      </c>
      <c r="K323" s="61" t="s">
        <v>2787</v>
      </c>
    </row>
    <row r="324" spans="1:11">
      <c r="A324" s="61">
        <v>321</v>
      </c>
      <c r="B324" s="203" t="s">
        <v>2749</v>
      </c>
      <c r="C324" s="61" t="s">
        <v>11</v>
      </c>
      <c r="D324" s="61" t="s">
        <v>24</v>
      </c>
      <c r="E324" s="209">
        <v>3269000</v>
      </c>
      <c r="F324" s="212">
        <f t="shared" si="10"/>
        <v>3170930</v>
      </c>
      <c r="G324" s="206">
        <f t="shared" si="11"/>
        <v>3072860</v>
      </c>
      <c r="H324" s="61">
        <v>980.16</v>
      </c>
      <c r="I324" s="61">
        <v>771.77</v>
      </c>
      <c r="J324" s="61">
        <v>208.39</v>
      </c>
      <c r="K324" s="61" t="s">
        <v>2785</v>
      </c>
    </row>
    <row r="325" spans="1:11">
      <c r="A325" s="61">
        <v>322</v>
      </c>
      <c r="B325" s="203" t="s">
        <v>2750</v>
      </c>
      <c r="C325" s="61" t="s">
        <v>12</v>
      </c>
      <c r="D325" s="61" t="s">
        <v>24</v>
      </c>
      <c r="E325" s="209">
        <v>3263000</v>
      </c>
      <c r="F325" s="212">
        <f t="shared" si="10"/>
        <v>3165110</v>
      </c>
      <c r="G325" s="206">
        <f t="shared" si="11"/>
        <v>3067220</v>
      </c>
      <c r="H325" s="61">
        <v>980.16</v>
      </c>
      <c r="I325" s="61">
        <v>771.77</v>
      </c>
      <c r="J325" s="61">
        <v>208.39</v>
      </c>
      <c r="K325" s="61" t="s">
        <v>2785</v>
      </c>
    </row>
    <row r="326" spans="1:11">
      <c r="A326" s="61">
        <v>323</v>
      </c>
      <c r="B326" s="203" t="s">
        <v>2751</v>
      </c>
      <c r="C326" s="61" t="s">
        <v>12</v>
      </c>
      <c r="D326" s="61" t="s">
        <v>35</v>
      </c>
      <c r="E326" s="209">
        <v>1374000</v>
      </c>
      <c r="F326" s="212">
        <f t="shared" si="10"/>
        <v>1332780</v>
      </c>
      <c r="G326" s="206">
        <f t="shared" si="11"/>
        <v>1291560</v>
      </c>
      <c r="H326" s="61">
        <v>341.11</v>
      </c>
      <c r="I326" s="61">
        <v>293.95999999999998</v>
      </c>
      <c r="J326" s="61">
        <v>47.15</v>
      </c>
      <c r="K326" s="61" t="s">
        <v>2786</v>
      </c>
    </row>
    <row r="327" spans="1:11">
      <c r="A327" s="61">
        <v>324</v>
      </c>
      <c r="B327" s="203" t="s">
        <v>2752</v>
      </c>
      <c r="C327" s="61" t="s">
        <v>12</v>
      </c>
      <c r="D327" s="61" t="s">
        <v>35</v>
      </c>
      <c r="E327" s="209">
        <v>1374000</v>
      </c>
      <c r="F327" s="212">
        <f t="shared" si="10"/>
        <v>1332780</v>
      </c>
      <c r="G327" s="206">
        <f t="shared" si="11"/>
        <v>1291560</v>
      </c>
      <c r="H327" s="61">
        <v>375.34</v>
      </c>
      <c r="I327" s="61">
        <v>292.45999999999998</v>
      </c>
      <c r="J327" s="61">
        <v>82.88</v>
      </c>
      <c r="K327" s="61" t="s">
        <v>2786</v>
      </c>
    </row>
    <row r="328" spans="1:11">
      <c r="A328" s="61">
        <v>325</v>
      </c>
      <c r="B328" s="203" t="s">
        <v>2753</v>
      </c>
      <c r="C328" s="61" t="s">
        <v>12</v>
      </c>
      <c r="D328" s="61" t="s">
        <v>35</v>
      </c>
      <c r="E328" s="209">
        <v>1377000</v>
      </c>
      <c r="F328" s="212">
        <f t="shared" si="10"/>
        <v>1335690</v>
      </c>
      <c r="G328" s="206">
        <f t="shared" si="11"/>
        <v>1294380</v>
      </c>
      <c r="H328" s="61">
        <v>386.85</v>
      </c>
      <c r="I328" s="61">
        <v>292.45999999999998</v>
      </c>
      <c r="J328" s="61">
        <v>94.4</v>
      </c>
      <c r="K328" s="61" t="s">
        <v>2786</v>
      </c>
    </row>
    <row r="329" spans="1:11">
      <c r="A329" s="61">
        <v>326</v>
      </c>
      <c r="B329" s="203" t="s">
        <v>2754</v>
      </c>
      <c r="C329" s="61" t="s">
        <v>12</v>
      </c>
      <c r="D329" s="61" t="s">
        <v>35</v>
      </c>
      <c r="E329" s="209">
        <v>1379000</v>
      </c>
      <c r="F329" s="212">
        <f t="shared" si="10"/>
        <v>1337630</v>
      </c>
      <c r="G329" s="206">
        <f t="shared" si="11"/>
        <v>1296260</v>
      </c>
      <c r="H329" s="61">
        <v>401.82</v>
      </c>
      <c r="I329" s="61">
        <v>292.45999999999998</v>
      </c>
      <c r="J329" s="61">
        <v>109.36</v>
      </c>
      <c r="K329" s="61" t="s">
        <v>2786</v>
      </c>
    </row>
    <row r="330" spans="1:11">
      <c r="A330" s="61">
        <v>327</v>
      </c>
      <c r="B330" s="203" t="s">
        <v>2755</v>
      </c>
      <c r="C330" s="61" t="s">
        <v>12</v>
      </c>
      <c r="D330" s="61" t="s">
        <v>35</v>
      </c>
      <c r="E330" s="209">
        <v>1379000</v>
      </c>
      <c r="F330" s="212">
        <f t="shared" si="10"/>
        <v>1337630</v>
      </c>
      <c r="G330" s="206">
        <f t="shared" si="11"/>
        <v>1296260</v>
      </c>
      <c r="H330" s="61">
        <v>401.82</v>
      </c>
      <c r="I330" s="61">
        <v>292.45999999999998</v>
      </c>
      <c r="J330" s="61">
        <v>109.36</v>
      </c>
      <c r="K330" s="61" t="s">
        <v>2786</v>
      </c>
    </row>
    <row r="331" spans="1:11">
      <c r="A331" s="61">
        <v>328</v>
      </c>
      <c r="B331" s="203" t="s">
        <v>2756</v>
      </c>
      <c r="C331" s="61" t="s">
        <v>12</v>
      </c>
      <c r="D331" s="61" t="s">
        <v>35</v>
      </c>
      <c r="E331" s="209">
        <v>1374000</v>
      </c>
      <c r="F331" s="212">
        <f t="shared" si="10"/>
        <v>1332780</v>
      </c>
      <c r="G331" s="206">
        <f t="shared" si="11"/>
        <v>1291560</v>
      </c>
      <c r="H331" s="61">
        <v>341.11</v>
      </c>
      <c r="I331" s="61">
        <v>293.95999999999998</v>
      </c>
      <c r="J331" s="61">
        <v>47.15</v>
      </c>
      <c r="K331" s="61" t="s">
        <v>2786</v>
      </c>
    </row>
    <row r="332" spans="1:11">
      <c r="A332" s="61">
        <v>329</v>
      </c>
      <c r="B332" s="203" t="s">
        <v>2757</v>
      </c>
      <c r="C332" s="61" t="s">
        <v>12</v>
      </c>
      <c r="D332" s="61" t="s">
        <v>24</v>
      </c>
      <c r="E332" s="209">
        <v>3310000</v>
      </c>
      <c r="F332" s="212">
        <f t="shared" si="10"/>
        <v>3210700</v>
      </c>
      <c r="G332" s="206">
        <f t="shared" si="11"/>
        <v>3111400</v>
      </c>
      <c r="H332" s="61">
        <v>980.16</v>
      </c>
      <c r="I332" s="61">
        <v>771.77</v>
      </c>
      <c r="J332" s="61">
        <v>208.39</v>
      </c>
      <c r="K332" s="61" t="s">
        <v>2780</v>
      </c>
    </row>
    <row r="333" spans="1:11">
      <c r="A333" s="61">
        <v>330</v>
      </c>
      <c r="B333" s="203" t="s">
        <v>2758</v>
      </c>
      <c r="C333" s="61" t="s">
        <v>12</v>
      </c>
      <c r="D333" s="61" t="s">
        <v>24</v>
      </c>
      <c r="E333" s="209">
        <v>3310000</v>
      </c>
      <c r="F333" s="212">
        <f t="shared" si="10"/>
        <v>3210700</v>
      </c>
      <c r="G333" s="206">
        <f t="shared" si="11"/>
        <v>3111400</v>
      </c>
      <c r="H333" s="61">
        <v>980.16</v>
      </c>
      <c r="I333" s="61">
        <v>771.77</v>
      </c>
      <c r="J333" s="61">
        <v>208.39</v>
      </c>
      <c r="K333" s="61" t="s">
        <v>2780</v>
      </c>
    </row>
    <row r="334" spans="1:11">
      <c r="A334" s="61">
        <v>331</v>
      </c>
      <c r="B334" s="203" t="s">
        <v>2759</v>
      </c>
      <c r="C334" s="61" t="s">
        <v>12</v>
      </c>
      <c r="D334" s="61" t="s">
        <v>35</v>
      </c>
      <c r="E334" s="209">
        <v>1374000</v>
      </c>
      <c r="F334" s="212">
        <f t="shared" si="10"/>
        <v>1332780</v>
      </c>
      <c r="G334" s="206">
        <f t="shared" si="11"/>
        <v>1291560</v>
      </c>
      <c r="H334" s="61">
        <v>341.11</v>
      </c>
      <c r="I334" s="61">
        <v>293.95999999999998</v>
      </c>
      <c r="J334" s="61">
        <v>47.15</v>
      </c>
      <c r="K334" s="61" t="s">
        <v>2787</v>
      </c>
    </row>
    <row r="335" spans="1:11">
      <c r="A335" s="61">
        <v>332</v>
      </c>
      <c r="B335" s="203" t="s">
        <v>2760</v>
      </c>
      <c r="C335" s="61" t="s">
        <v>12</v>
      </c>
      <c r="D335" s="61" t="s">
        <v>35</v>
      </c>
      <c r="E335" s="209">
        <v>1374000</v>
      </c>
      <c r="F335" s="212">
        <f t="shared" si="10"/>
        <v>1332780</v>
      </c>
      <c r="G335" s="206">
        <f t="shared" si="11"/>
        <v>1291560</v>
      </c>
      <c r="H335" s="61">
        <v>375.34</v>
      </c>
      <c r="I335" s="61">
        <v>292.45999999999998</v>
      </c>
      <c r="J335" s="61">
        <v>82.88</v>
      </c>
      <c r="K335" s="61" t="s">
        <v>2787</v>
      </c>
    </row>
    <row r="336" spans="1:11">
      <c r="A336" s="61">
        <v>333</v>
      </c>
      <c r="B336" s="203" t="s">
        <v>2761</v>
      </c>
      <c r="C336" s="61" t="s">
        <v>12</v>
      </c>
      <c r="D336" s="61" t="s">
        <v>35</v>
      </c>
      <c r="E336" s="209">
        <v>1377000</v>
      </c>
      <c r="F336" s="212">
        <f t="shared" si="10"/>
        <v>1335690</v>
      </c>
      <c r="G336" s="206">
        <f t="shared" si="11"/>
        <v>1294380</v>
      </c>
      <c r="H336" s="61">
        <v>386.85</v>
      </c>
      <c r="I336" s="61">
        <v>292.45999999999998</v>
      </c>
      <c r="J336" s="61">
        <v>94.4</v>
      </c>
      <c r="K336" s="61" t="s">
        <v>2787</v>
      </c>
    </row>
    <row r="337" spans="1:11">
      <c r="A337" s="61">
        <v>334</v>
      </c>
      <c r="B337" s="203" t="s">
        <v>2762</v>
      </c>
      <c r="C337" s="61" t="s">
        <v>12</v>
      </c>
      <c r="D337" s="61" t="s">
        <v>35</v>
      </c>
      <c r="E337" s="209">
        <v>1377000</v>
      </c>
      <c r="F337" s="212">
        <f t="shared" si="10"/>
        <v>1335690</v>
      </c>
      <c r="G337" s="206">
        <f t="shared" si="11"/>
        <v>1294380</v>
      </c>
      <c r="H337" s="61">
        <v>386.85</v>
      </c>
      <c r="I337" s="61">
        <v>292.45999999999998</v>
      </c>
      <c r="J337" s="61">
        <v>94.4</v>
      </c>
      <c r="K337" s="61" t="s">
        <v>2787</v>
      </c>
    </row>
    <row r="338" spans="1:11">
      <c r="A338" s="61">
        <v>335</v>
      </c>
      <c r="B338" s="203" t="s">
        <v>2763</v>
      </c>
      <c r="C338" s="61" t="s">
        <v>12</v>
      </c>
      <c r="D338" s="61" t="s">
        <v>24</v>
      </c>
      <c r="E338" s="209">
        <v>3263000</v>
      </c>
      <c r="F338" s="212">
        <f t="shared" si="10"/>
        <v>3165110</v>
      </c>
      <c r="G338" s="206">
        <f t="shared" si="11"/>
        <v>3067220</v>
      </c>
      <c r="H338" s="61">
        <v>980.16</v>
      </c>
      <c r="I338" s="61">
        <v>771.77</v>
      </c>
      <c r="J338" s="61">
        <v>208.39</v>
      </c>
      <c r="K338" s="61" t="s">
        <v>2785</v>
      </c>
    </row>
    <row r="339" spans="1:11">
      <c r="A339" s="61">
        <v>336</v>
      </c>
      <c r="B339" s="203" t="s">
        <v>4668</v>
      </c>
      <c r="C339" s="61" t="s">
        <v>12</v>
      </c>
      <c r="D339" s="61" t="s">
        <v>36</v>
      </c>
      <c r="E339" s="209">
        <v>2342000</v>
      </c>
      <c r="F339" s="212">
        <f t="shared" si="10"/>
        <v>2271740</v>
      </c>
      <c r="G339" s="206">
        <f t="shared" si="11"/>
        <v>2201480</v>
      </c>
      <c r="H339" s="61">
        <v>617.30999999999995</v>
      </c>
      <c r="I339" s="61">
        <v>549.82000000000005</v>
      </c>
      <c r="J339" s="61">
        <v>67.489999999999995</v>
      </c>
      <c r="K339" s="61" t="s">
        <v>2785</v>
      </c>
    </row>
    <row r="340" spans="1:11">
      <c r="A340" s="61">
        <v>337</v>
      </c>
      <c r="B340" s="203" t="s">
        <v>2764</v>
      </c>
      <c r="C340" s="61" t="s">
        <v>32</v>
      </c>
      <c r="D340" s="61" t="s">
        <v>35</v>
      </c>
      <c r="E340" s="209">
        <v>1377000</v>
      </c>
      <c r="F340" s="212">
        <f t="shared" si="10"/>
        <v>1335690</v>
      </c>
      <c r="G340" s="206">
        <f t="shared" si="11"/>
        <v>1294380</v>
      </c>
      <c r="H340" s="61">
        <v>401.82</v>
      </c>
      <c r="I340" s="61">
        <v>292.45999999999998</v>
      </c>
      <c r="J340" s="61">
        <v>109.36</v>
      </c>
      <c r="K340" s="61" t="s">
        <v>2786</v>
      </c>
    </row>
    <row r="341" spans="1:11">
      <c r="A341" s="61">
        <v>338</v>
      </c>
      <c r="B341" s="203" t="s">
        <v>2765</v>
      </c>
      <c r="C341" s="61" t="s">
        <v>32</v>
      </c>
      <c r="D341" s="61" t="s">
        <v>35</v>
      </c>
      <c r="E341" s="209">
        <v>1372000</v>
      </c>
      <c r="F341" s="212">
        <f t="shared" si="10"/>
        <v>1330840</v>
      </c>
      <c r="G341" s="206">
        <f t="shared" si="11"/>
        <v>1289680</v>
      </c>
      <c r="H341" s="61">
        <v>341.11</v>
      </c>
      <c r="I341" s="61">
        <v>293.95999999999998</v>
      </c>
      <c r="J341" s="61">
        <v>47.15</v>
      </c>
      <c r="K341" s="61" t="s">
        <v>2786</v>
      </c>
    </row>
    <row r="342" spans="1:11">
      <c r="A342" s="61">
        <v>339</v>
      </c>
      <c r="B342" s="203" t="s">
        <v>2766</v>
      </c>
      <c r="C342" s="61" t="s">
        <v>32</v>
      </c>
      <c r="D342" s="61" t="s">
        <v>24</v>
      </c>
      <c r="E342" s="209">
        <v>3304000</v>
      </c>
      <c r="F342" s="212">
        <f t="shared" si="10"/>
        <v>3204880</v>
      </c>
      <c r="G342" s="206">
        <f t="shared" si="11"/>
        <v>3105760</v>
      </c>
      <c r="H342" s="61">
        <v>980.16</v>
      </c>
      <c r="I342" s="61">
        <v>771.77</v>
      </c>
      <c r="J342" s="61">
        <v>208.39</v>
      </c>
      <c r="K342" s="61" t="s">
        <v>2780</v>
      </c>
    </row>
    <row r="343" spans="1:11">
      <c r="A343" s="61">
        <v>340</v>
      </c>
      <c r="B343" s="203" t="s">
        <v>2767</v>
      </c>
      <c r="C343" s="61" t="s">
        <v>32</v>
      </c>
      <c r="D343" s="61" t="s">
        <v>24</v>
      </c>
      <c r="E343" s="209">
        <v>3304000</v>
      </c>
      <c r="F343" s="212">
        <f t="shared" si="10"/>
        <v>3204880</v>
      </c>
      <c r="G343" s="206">
        <f t="shared" si="11"/>
        <v>3105760</v>
      </c>
      <c r="H343" s="61">
        <v>980.16</v>
      </c>
      <c r="I343" s="61">
        <v>771.77</v>
      </c>
      <c r="J343" s="61">
        <v>208.39</v>
      </c>
      <c r="K343" s="61" t="s">
        <v>2780</v>
      </c>
    </row>
    <row r="344" spans="1:11">
      <c r="A344" s="61">
        <v>341</v>
      </c>
      <c r="B344" s="203" t="s">
        <v>2768</v>
      </c>
      <c r="C344" s="61" t="s">
        <v>32</v>
      </c>
      <c r="D344" s="61" t="s">
        <v>35</v>
      </c>
      <c r="E344" s="209">
        <v>1380000</v>
      </c>
      <c r="F344" s="212">
        <f t="shared" si="10"/>
        <v>1338600</v>
      </c>
      <c r="G344" s="206">
        <f t="shared" si="11"/>
        <v>1297200</v>
      </c>
      <c r="H344" s="61">
        <v>361.13</v>
      </c>
      <c r="I344" s="61">
        <v>292.45999999999998</v>
      </c>
      <c r="J344" s="61">
        <v>68.67</v>
      </c>
      <c r="K344" s="61" t="s">
        <v>2787</v>
      </c>
    </row>
    <row r="345" spans="1:11">
      <c r="A345" s="61">
        <v>342</v>
      </c>
      <c r="B345" s="203" t="s">
        <v>2769</v>
      </c>
      <c r="C345" s="61" t="s">
        <v>32</v>
      </c>
      <c r="D345" s="61" t="s">
        <v>35</v>
      </c>
      <c r="E345" s="209">
        <v>1374000</v>
      </c>
      <c r="F345" s="212">
        <f t="shared" si="10"/>
        <v>1332780</v>
      </c>
      <c r="G345" s="206">
        <f t="shared" si="11"/>
        <v>1291560</v>
      </c>
      <c r="H345" s="61">
        <v>386.85</v>
      </c>
      <c r="I345" s="61">
        <v>292.45999999999998</v>
      </c>
      <c r="J345" s="61">
        <v>94.4</v>
      </c>
      <c r="K345" s="61" t="s">
        <v>2787</v>
      </c>
    </row>
    <row r="346" spans="1:11">
      <c r="A346" s="61">
        <v>343</v>
      </c>
      <c r="B346" s="203" t="s">
        <v>2770</v>
      </c>
      <c r="C346" s="61" t="s">
        <v>32</v>
      </c>
      <c r="D346" s="61" t="s">
        <v>35</v>
      </c>
      <c r="E346" s="209">
        <v>1371000</v>
      </c>
      <c r="F346" s="212">
        <f t="shared" si="10"/>
        <v>1329870</v>
      </c>
      <c r="G346" s="206">
        <f t="shared" si="11"/>
        <v>1288740</v>
      </c>
      <c r="H346" s="61">
        <v>375.34</v>
      </c>
      <c r="I346" s="61">
        <v>292.45999999999998</v>
      </c>
      <c r="J346" s="61">
        <v>82.88</v>
      </c>
      <c r="K346" s="61" t="s">
        <v>2787</v>
      </c>
    </row>
    <row r="347" spans="1:11">
      <c r="A347" s="61">
        <v>344</v>
      </c>
      <c r="B347" s="203" t="s">
        <v>2771</v>
      </c>
      <c r="C347" s="61" t="s">
        <v>4459</v>
      </c>
      <c r="D347" s="61" t="s">
        <v>24</v>
      </c>
      <c r="E347" s="209">
        <v>3251000</v>
      </c>
      <c r="F347" s="212">
        <f t="shared" si="10"/>
        <v>3153470</v>
      </c>
      <c r="G347" s="206">
        <f t="shared" si="11"/>
        <v>3055940</v>
      </c>
      <c r="H347" s="61">
        <v>980.16</v>
      </c>
      <c r="I347" s="61">
        <v>771.77</v>
      </c>
      <c r="J347" s="61">
        <v>208.39</v>
      </c>
      <c r="K347" s="61" t="s">
        <v>2785</v>
      </c>
    </row>
    <row r="348" spans="1:11">
      <c r="A348" s="61">
        <v>345</v>
      </c>
      <c r="B348" s="203" t="s">
        <v>4547</v>
      </c>
      <c r="C348" s="61" t="s">
        <v>4459</v>
      </c>
      <c r="D348" s="61" t="s">
        <v>35</v>
      </c>
      <c r="E348" s="209">
        <v>1369000</v>
      </c>
      <c r="F348" s="212">
        <f t="shared" si="10"/>
        <v>1327930</v>
      </c>
      <c r="G348" s="206">
        <f t="shared" si="11"/>
        <v>1286860</v>
      </c>
      <c r="H348" s="61">
        <v>341.11</v>
      </c>
      <c r="I348" s="61">
        <v>293.95999999999998</v>
      </c>
      <c r="J348" s="61">
        <v>47.15</v>
      </c>
      <c r="K348" s="61" t="s">
        <v>2786</v>
      </c>
    </row>
    <row r="349" spans="1:11">
      <c r="A349" s="61">
        <v>346</v>
      </c>
      <c r="B349" s="203" t="s">
        <v>2772</v>
      </c>
      <c r="C349" s="8" t="s">
        <v>4459</v>
      </c>
      <c r="D349" s="8" t="s">
        <v>35</v>
      </c>
      <c r="E349" s="209">
        <v>1368000</v>
      </c>
      <c r="F349" s="212">
        <f t="shared" ref="F349:F356" si="12">E349*0.97</f>
        <v>1326960</v>
      </c>
      <c r="G349" s="206">
        <f t="shared" ref="G349:G356" si="13">E349*0.94</f>
        <v>1285920</v>
      </c>
      <c r="H349" s="8">
        <v>375.34</v>
      </c>
      <c r="I349" s="8">
        <v>292.45999999999998</v>
      </c>
      <c r="J349" s="8">
        <v>82.88</v>
      </c>
      <c r="K349" s="8" t="s">
        <v>2786</v>
      </c>
    </row>
    <row r="350" spans="1:11">
      <c r="A350" s="61">
        <v>347</v>
      </c>
      <c r="B350" s="203" t="s">
        <v>2773</v>
      </c>
      <c r="C350" s="8" t="s">
        <v>4459</v>
      </c>
      <c r="D350" s="8" t="s">
        <v>35</v>
      </c>
      <c r="E350" s="209">
        <v>1372000</v>
      </c>
      <c r="F350" s="212">
        <f t="shared" si="12"/>
        <v>1330840</v>
      </c>
      <c r="G350" s="206">
        <f t="shared" si="13"/>
        <v>1289680</v>
      </c>
      <c r="H350" s="8">
        <v>395.68</v>
      </c>
      <c r="I350" s="8">
        <v>292.45999999999998</v>
      </c>
      <c r="J350" s="8">
        <v>103.23</v>
      </c>
      <c r="K350" s="8" t="s">
        <v>2786</v>
      </c>
    </row>
    <row r="351" spans="1:11">
      <c r="A351" s="61">
        <v>348</v>
      </c>
      <c r="B351" s="203" t="s">
        <v>2774</v>
      </c>
      <c r="C351" s="8" t="s">
        <v>4459</v>
      </c>
      <c r="D351" s="8" t="s">
        <v>35</v>
      </c>
      <c r="E351" s="209">
        <v>1371000</v>
      </c>
      <c r="F351" s="212">
        <f t="shared" si="12"/>
        <v>1329870</v>
      </c>
      <c r="G351" s="206">
        <f t="shared" si="13"/>
        <v>1288740</v>
      </c>
      <c r="H351" s="8">
        <v>386.85</v>
      </c>
      <c r="I351" s="8">
        <v>292.45999999999998</v>
      </c>
      <c r="J351" s="8">
        <v>94.4</v>
      </c>
      <c r="K351" s="8" t="s">
        <v>2786</v>
      </c>
    </row>
    <row r="352" spans="1:11">
      <c r="A352" s="61">
        <v>349</v>
      </c>
      <c r="B352" s="203" t="s">
        <v>2775</v>
      </c>
      <c r="C352" s="8" t="s">
        <v>4459</v>
      </c>
      <c r="D352" s="8" t="s">
        <v>35</v>
      </c>
      <c r="E352" s="209">
        <v>1368000</v>
      </c>
      <c r="F352" s="212">
        <f t="shared" si="12"/>
        <v>1326960</v>
      </c>
      <c r="G352" s="206">
        <f t="shared" si="13"/>
        <v>1285920</v>
      </c>
      <c r="H352" s="8">
        <v>375.34</v>
      </c>
      <c r="I352" s="8">
        <v>292.45999999999998</v>
      </c>
      <c r="J352" s="8">
        <v>82.88</v>
      </c>
      <c r="K352" s="8" t="s">
        <v>2786</v>
      </c>
    </row>
    <row r="353" spans="1:11">
      <c r="A353" s="61">
        <v>350</v>
      </c>
      <c r="B353" s="203" t="s">
        <v>2776</v>
      </c>
      <c r="C353" s="8" t="s">
        <v>4459</v>
      </c>
      <c r="D353" s="8" t="s">
        <v>35</v>
      </c>
      <c r="E353" s="209">
        <v>1369000</v>
      </c>
      <c r="F353" s="212">
        <f t="shared" si="12"/>
        <v>1327930</v>
      </c>
      <c r="G353" s="206">
        <f t="shared" si="13"/>
        <v>1286860</v>
      </c>
      <c r="H353" s="8">
        <v>341.11</v>
      </c>
      <c r="I353" s="8">
        <v>293.95999999999998</v>
      </c>
      <c r="J353" s="8">
        <v>47.15</v>
      </c>
      <c r="K353" s="8" t="s">
        <v>2787</v>
      </c>
    </row>
    <row r="354" spans="1:11">
      <c r="A354" s="61">
        <v>351</v>
      </c>
      <c r="B354" s="203" t="s">
        <v>2777</v>
      </c>
      <c r="C354" s="8" t="s">
        <v>4459</v>
      </c>
      <c r="D354" s="8" t="s">
        <v>35</v>
      </c>
      <c r="E354" s="209">
        <v>1377000</v>
      </c>
      <c r="F354" s="212">
        <f t="shared" si="12"/>
        <v>1335690</v>
      </c>
      <c r="G354" s="206">
        <f t="shared" si="13"/>
        <v>1294380</v>
      </c>
      <c r="H354" s="8">
        <v>361.13</v>
      </c>
      <c r="I354" s="8">
        <v>292.45999999999998</v>
      </c>
      <c r="J354" s="8">
        <v>68.67</v>
      </c>
      <c r="K354" s="8" t="s">
        <v>2787</v>
      </c>
    </row>
    <row r="355" spans="1:11">
      <c r="A355" s="61">
        <v>352</v>
      </c>
      <c r="B355" s="203" t="s">
        <v>2778</v>
      </c>
      <c r="C355" s="8" t="s">
        <v>4459</v>
      </c>
      <c r="D355" s="8" t="s">
        <v>35</v>
      </c>
      <c r="E355" s="209">
        <v>1371000</v>
      </c>
      <c r="F355" s="212">
        <f t="shared" si="12"/>
        <v>1329870</v>
      </c>
      <c r="G355" s="206">
        <f t="shared" si="13"/>
        <v>1288740</v>
      </c>
      <c r="H355" s="8">
        <v>386.85</v>
      </c>
      <c r="I355" s="8">
        <v>292.45999999999998</v>
      </c>
      <c r="J355" s="8">
        <v>94.4</v>
      </c>
      <c r="K355" s="8" t="s">
        <v>2787</v>
      </c>
    </row>
    <row r="356" spans="1:11">
      <c r="A356" s="61">
        <v>353</v>
      </c>
      <c r="B356" s="203" t="s">
        <v>2779</v>
      </c>
      <c r="C356" s="8" t="s">
        <v>4459</v>
      </c>
      <c r="D356" s="8" t="s">
        <v>35</v>
      </c>
      <c r="E356" s="209">
        <v>1372000</v>
      </c>
      <c r="F356" s="212">
        <f t="shared" si="12"/>
        <v>1330840</v>
      </c>
      <c r="G356" s="206">
        <f t="shared" si="13"/>
        <v>1289680</v>
      </c>
      <c r="H356" s="8">
        <v>395.68</v>
      </c>
      <c r="I356" s="8">
        <v>292.45999999999998</v>
      </c>
      <c r="J356" s="8">
        <v>103.23</v>
      </c>
      <c r="K356" s="8" t="s">
        <v>2787</v>
      </c>
    </row>
  </sheetData>
  <mergeCells count="2">
    <mergeCell ref="A1:K1"/>
    <mergeCell ref="A2:K2"/>
  </mergeCells>
  <conditionalFormatting sqref="B1:B1048576">
    <cfRule type="duplicateValues" dxfId="10980" priority="1"/>
  </conditionalFormatting>
  <conditionalFormatting sqref="B1:B357">
    <cfRule type="duplicateValues" dxfId="10979" priority="252065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DF78-EA63-49D1-831E-CB0F740AB672}">
  <dimension ref="A1:K838"/>
  <sheetViews>
    <sheetView zoomScale="85" zoomScaleNormal="85" workbookViewId="0">
      <selection sqref="A1:K1"/>
    </sheetView>
  </sheetViews>
  <sheetFormatPr defaultRowHeight="14.4"/>
  <cols>
    <col min="1" max="1" width="5.88671875" customWidth="1"/>
    <col min="2" max="2" width="15.44140625" customWidth="1"/>
    <col min="3" max="3" width="6.6640625" customWidth="1"/>
    <col min="4" max="4" width="13.33203125" customWidth="1"/>
    <col min="5" max="7" width="13.88671875" customWidth="1"/>
    <col min="8" max="8" width="11" style="163" customWidth="1"/>
    <col min="9" max="9" width="10.44140625" style="163" customWidth="1"/>
    <col min="10" max="10" width="12.44140625" style="163" customWidth="1"/>
    <col min="11" max="11" width="104" style="163" bestFit="1" customWidth="1"/>
  </cols>
  <sheetData>
    <row r="1" spans="1:11" ht="25.8">
      <c r="A1" s="327" t="s">
        <v>2790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</row>
    <row r="2" spans="1:11">
      <c r="A2" s="329" t="s">
        <v>2459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</row>
    <row r="3" spans="1:11">
      <c r="A3" s="215" t="s">
        <v>22</v>
      </c>
      <c r="B3" s="215" t="s">
        <v>13</v>
      </c>
      <c r="C3" s="215" t="s">
        <v>26</v>
      </c>
      <c r="D3" s="215" t="s">
        <v>14</v>
      </c>
      <c r="E3" s="216" t="s">
        <v>28</v>
      </c>
      <c r="F3" s="215" t="s">
        <v>29</v>
      </c>
      <c r="G3" s="215" t="s">
        <v>31</v>
      </c>
      <c r="H3" s="215" t="s">
        <v>16</v>
      </c>
      <c r="I3" s="215" t="s">
        <v>17</v>
      </c>
      <c r="J3" s="215" t="s">
        <v>18</v>
      </c>
      <c r="K3" s="215" t="s">
        <v>19</v>
      </c>
    </row>
    <row r="4" spans="1:11">
      <c r="A4" s="217">
        <v>1</v>
      </c>
      <c r="B4" s="218" t="s">
        <v>2791</v>
      </c>
      <c r="C4" s="217" t="s">
        <v>4466</v>
      </c>
      <c r="D4" s="217" t="s">
        <v>48</v>
      </c>
      <c r="E4" s="209">
        <v>5387000</v>
      </c>
      <c r="F4" s="212">
        <f>E4*0.97</f>
        <v>5225390</v>
      </c>
      <c r="G4" s="206">
        <f>E4*0.94</f>
        <v>5063780</v>
      </c>
      <c r="H4" s="258">
        <v>1528.48</v>
      </c>
      <c r="I4" s="258">
        <v>1179.4000000000001</v>
      </c>
      <c r="J4" s="217">
        <v>349.07</v>
      </c>
      <c r="K4" s="217" t="s">
        <v>2792</v>
      </c>
    </row>
    <row r="5" spans="1:11">
      <c r="A5" s="217">
        <v>2</v>
      </c>
      <c r="B5" s="218" t="s">
        <v>2793</v>
      </c>
      <c r="C5" s="217" t="s">
        <v>4466</v>
      </c>
      <c r="D5" s="217" t="s">
        <v>48</v>
      </c>
      <c r="E5" s="209">
        <v>5387000</v>
      </c>
      <c r="F5" s="212">
        <f t="shared" ref="F5:F68" si="0">E5*0.97</f>
        <v>5225390</v>
      </c>
      <c r="G5" s="206">
        <f t="shared" ref="G5:G68" si="1">E5*0.94</f>
        <v>5063780</v>
      </c>
      <c r="H5" s="258">
        <v>1528.48</v>
      </c>
      <c r="I5" s="258">
        <v>1179.4000000000001</v>
      </c>
      <c r="J5" s="217">
        <v>349.07</v>
      </c>
      <c r="K5" s="217" t="s">
        <v>2792</v>
      </c>
    </row>
    <row r="6" spans="1:11">
      <c r="A6" s="217">
        <v>3</v>
      </c>
      <c r="B6" s="218" t="s">
        <v>2794</v>
      </c>
      <c r="C6" s="217" t="s">
        <v>4466</v>
      </c>
      <c r="D6" s="217" t="s">
        <v>48</v>
      </c>
      <c r="E6" s="209">
        <v>5387000</v>
      </c>
      <c r="F6" s="212">
        <f t="shared" si="0"/>
        <v>5225390</v>
      </c>
      <c r="G6" s="206">
        <f t="shared" si="1"/>
        <v>5063780</v>
      </c>
      <c r="H6" s="258">
        <v>1528.48</v>
      </c>
      <c r="I6" s="258">
        <v>1179.4000000000001</v>
      </c>
      <c r="J6" s="217">
        <v>349.07</v>
      </c>
      <c r="K6" s="217" t="s">
        <v>3607</v>
      </c>
    </row>
    <row r="7" spans="1:11">
      <c r="A7" s="217">
        <v>4</v>
      </c>
      <c r="B7" s="218" t="s">
        <v>2795</v>
      </c>
      <c r="C7" s="217" t="s">
        <v>4466</v>
      </c>
      <c r="D7" s="217" t="s">
        <v>48</v>
      </c>
      <c r="E7" s="209">
        <v>5387000</v>
      </c>
      <c r="F7" s="212">
        <f t="shared" si="0"/>
        <v>5225390</v>
      </c>
      <c r="G7" s="206">
        <f t="shared" si="1"/>
        <v>5063780</v>
      </c>
      <c r="H7" s="258">
        <v>1528.48</v>
      </c>
      <c r="I7" s="258">
        <v>1179.4000000000001</v>
      </c>
      <c r="J7" s="217">
        <v>349.07</v>
      </c>
      <c r="K7" s="217" t="s">
        <v>3607</v>
      </c>
    </row>
    <row r="8" spans="1:11">
      <c r="A8" s="217">
        <v>5</v>
      </c>
      <c r="B8" s="218" t="s">
        <v>2796</v>
      </c>
      <c r="C8" s="217" t="s">
        <v>4465</v>
      </c>
      <c r="D8" s="217" t="s">
        <v>48</v>
      </c>
      <c r="E8" s="209">
        <v>5377000</v>
      </c>
      <c r="F8" s="212">
        <f t="shared" si="0"/>
        <v>5215690</v>
      </c>
      <c r="G8" s="206">
        <f t="shared" si="1"/>
        <v>5054380</v>
      </c>
      <c r="H8" s="258">
        <v>1528.48</v>
      </c>
      <c r="I8" s="258">
        <v>1179.4000000000001</v>
      </c>
      <c r="J8" s="217">
        <v>349.07</v>
      </c>
      <c r="K8" s="217" t="s">
        <v>2792</v>
      </c>
    </row>
    <row r="9" spans="1:11">
      <c r="A9" s="217">
        <v>6</v>
      </c>
      <c r="B9" s="218" t="s">
        <v>2797</v>
      </c>
      <c r="C9" s="217" t="s">
        <v>4465</v>
      </c>
      <c r="D9" s="217" t="s">
        <v>48</v>
      </c>
      <c r="E9" s="209">
        <v>5377000</v>
      </c>
      <c r="F9" s="212">
        <f t="shared" si="0"/>
        <v>5215690</v>
      </c>
      <c r="G9" s="206">
        <f t="shared" si="1"/>
        <v>5054380</v>
      </c>
      <c r="H9" s="258">
        <v>1528.48</v>
      </c>
      <c r="I9" s="258">
        <v>1179.4000000000001</v>
      </c>
      <c r="J9" s="217">
        <v>349.07</v>
      </c>
      <c r="K9" s="217" t="s">
        <v>2792</v>
      </c>
    </row>
    <row r="10" spans="1:11">
      <c r="A10" s="217">
        <v>7</v>
      </c>
      <c r="B10" s="218" t="s">
        <v>2798</v>
      </c>
      <c r="C10" s="217" t="s">
        <v>4465</v>
      </c>
      <c r="D10" s="217" t="s">
        <v>48</v>
      </c>
      <c r="E10" s="209">
        <v>5377000</v>
      </c>
      <c r="F10" s="212">
        <f t="shared" si="0"/>
        <v>5215690</v>
      </c>
      <c r="G10" s="206">
        <f t="shared" si="1"/>
        <v>5054380</v>
      </c>
      <c r="H10" s="258">
        <v>1528.48</v>
      </c>
      <c r="I10" s="258">
        <v>1179.4000000000001</v>
      </c>
      <c r="J10" s="217">
        <v>349.07</v>
      </c>
      <c r="K10" s="217" t="s">
        <v>3607</v>
      </c>
    </row>
    <row r="11" spans="1:11">
      <c r="A11" s="217">
        <v>8</v>
      </c>
      <c r="B11" s="218" t="s">
        <v>2799</v>
      </c>
      <c r="C11" s="217" t="s">
        <v>4465</v>
      </c>
      <c r="D11" s="217" t="s">
        <v>48</v>
      </c>
      <c r="E11" s="209">
        <v>5377000</v>
      </c>
      <c r="F11" s="212">
        <f t="shared" si="0"/>
        <v>5215690</v>
      </c>
      <c r="G11" s="206">
        <f t="shared" si="1"/>
        <v>5054380</v>
      </c>
      <c r="H11" s="258">
        <v>1528.48</v>
      </c>
      <c r="I11" s="258">
        <v>1179.4000000000001</v>
      </c>
      <c r="J11" s="217">
        <v>349.07</v>
      </c>
      <c r="K11" s="217" t="s">
        <v>3607</v>
      </c>
    </row>
    <row r="12" spans="1:11">
      <c r="A12" s="217">
        <v>9</v>
      </c>
      <c r="B12" s="218" t="s">
        <v>2800</v>
      </c>
      <c r="C12" s="217" t="s">
        <v>4464</v>
      </c>
      <c r="D12" s="217" t="s">
        <v>48</v>
      </c>
      <c r="E12" s="209">
        <v>5366000</v>
      </c>
      <c r="F12" s="212">
        <f t="shared" si="0"/>
        <v>5205020</v>
      </c>
      <c r="G12" s="206">
        <f t="shared" si="1"/>
        <v>5044040</v>
      </c>
      <c r="H12" s="258">
        <v>1528.48</v>
      </c>
      <c r="I12" s="258">
        <v>1179.4000000000001</v>
      </c>
      <c r="J12" s="217">
        <v>349.07</v>
      </c>
      <c r="K12" s="217" t="s">
        <v>2792</v>
      </c>
    </row>
    <row r="13" spans="1:11">
      <c r="A13" s="217">
        <v>10</v>
      </c>
      <c r="B13" s="218" t="s">
        <v>2801</v>
      </c>
      <c r="C13" s="217" t="s">
        <v>4464</v>
      </c>
      <c r="D13" s="217" t="s">
        <v>48</v>
      </c>
      <c r="E13" s="209">
        <v>5366000</v>
      </c>
      <c r="F13" s="212">
        <f t="shared" si="0"/>
        <v>5205020</v>
      </c>
      <c r="G13" s="206">
        <f t="shared" si="1"/>
        <v>5044040</v>
      </c>
      <c r="H13" s="258">
        <v>1528.48</v>
      </c>
      <c r="I13" s="258">
        <v>1179.4000000000001</v>
      </c>
      <c r="J13" s="217">
        <v>349.07</v>
      </c>
      <c r="K13" s="217" t="s">
        <v>2792</v>
      </c>
    </row>
    <row r="14" spans="1:11">
      <c r="A14" s="217">
        <v>11</v>
      </c>
      <c r="B14" s="218" t="s">
        <v>2802</v>
      </c>
      <c r="C14" s="217" t="s">
        <v>4464</v>
      </c>
      <c r="D14" s="217" t="s">
        <v>48</v>
      </c>
      <c r="E14" s="209">
        <v>5366000</v>
      </c>
      <c r="F14" s="212">
        <f t="shared" si="0"/>
        <v>5205020</v>
      </c>
      <c r="G14" s="206">
        <f t="shared" si="1"/>
        <v>5044040</v>
      </c>
      <c r="H14" s="258">
        <v>1528.48</v>
      </c>
      <c r="I14" s="258">
        <v>1179.4000000000001</v>
      </c>
      <c r="J14" s="217">
        <v>349.07</v>
      </c>
      <c r="K14" s="217" t="s">
        <v>3607</v>
      </c>
    </row>
    <row r="15" spans="1:11">
      <c r="A15" s="217">
        <v>12</v>
      </c>
      <c r="B15" s="218" t="s">
        <v>2803</v>
      </c>
      <c r="C15" s="217" t="s">
        <v>4464</v>
      </c>
      <c r="D15" s="217" t="s">
        <v>48</v>
      </c>
      <c r="E15" s="209">
        <v>5366000</v>
      </c>
      <c r="F15" s="212">
        <f t="shared" si="0"/>
        <v>5205020</v>
      </c>
      <c r="G15" s="206">
        <f t="shared" si="1"/>
        <v>5044040</v>
      </c>
      <c r="H15" s="258">
        <v>1528.48</v>
      </c>
      <c r="I15" s="258">
        <v>1179.4000000000001</v>
      </c>
      <c r="J15" s="217">
        <v>349.07</v>
      </c>
      <c r="K15" s="217" t="s">
        <v>3607</v>
      </c>
    </row>
    <row r="16" spans="1:11">
      <c r="A16" s="217">
        <v>13</v>
      </c>
      <c r="B16" s="218" t="s">
        <v>2804</v>
      </c>
      <c r="C16" s="217" t="s">
        <v>4466</v>
      </c>
      <c r="D16" s="217" t="s">
        <v>48</v>
      </c>
      <c r="E16" s="209">
        <v>5222000</v>
      </c>
      <c r="F16" s="212">
        <f t="shared" si="0"/>
        <v>5065340</v>
      </c>
      <c r="G16" s="206">
        <f t="shared" si="1"/>
        <v>4908680</v>
      </c>
      <c r="H16" s="258">
        <v>1284.3499999999999</v>
      </c>
      <c r="I16" s="258">
        <v>1149.48</v>
      </c>
      <c r="J16" s="217">
        <v>134.87</v>
      </c>
      <c r="K16" s="217" t="s">
        <v>2780</v>
      </c>
    </row>
    <row r="17" spans="1:11">
      <c r="A17" s="217">
        <v>14</v>
      </c>
      <c r="B17" s="218" t="s">
        <v>2805</v>
      </c>
      <c r="C17" s="217" t="s">
        <v>4465</v>
      </c>
      <c r="D17" s="217" t="s">
        <v>48</v>
      </c>
      <c r="E17" s="209">
        <v>5212000</v>
      </c>
      <c r="F17" s="212">
        <f t="shared" si="0"/>
        <v>5055640</v>
      </c>
      <c r="G17" s="206">
        <f t="shared" si="1"/>
        <v>4899280</v>
      </c>
      <c r="H17" s="258">
        <v>1284.3499999999999</v>
      </c>
      <c r="I17" s="258">
        <v>1149.48</v>
      </c>
      <c r="J17" s="217">
        <v>134.87</v>
      </c>
      <c r="K17" s="217" t="s">
        <v>2780</v>
      </c>
    </row>
    <row r="18" spans="1:11">
      <c r="A18" s="217">
        <v>15</v>
      </c>
      <c r="B18" s="218" t="s">
        <v>2806</v>
      </c>
      <c r="C18" s="217" t="s">
        <v>4464</v>
      </c>
      <c r="D18" s="217" t="s">
        <v>48</v>
      </c>
      <c r="E18" s="209">
        <v>5202000</v>
      </c>
      <c r="F18" s="212">
        <f t="shared" si="0"/>
        <v>5045940</v>
      </c>
      <c r="G18" s="206">
        <f t="shared" si="1"/>
        <v>4889880</v>
      </c>
      <c r="H18" s="258">
        <v>1284.3499999999999</v>
      </c>
      <c r="I18" s="258">
        <v>1149.48</v>
      </c>
      <c r="J18" s="217">
        <v>134.87</v>
      </c>
      <c r="K18" s="217" t="s">
        <v>2780</v>
      </c>
    </row>
    <row r="19" spans="1:11">
      <c r="A19" s="217">
        <v>16</v>
      </c>
      <c r="B19" s="218" t="s">
        <v>2807</v>
      </c>
      <c r="C19" s="217" t="s">
        <v>4466</v>
      </c>
      <c r="D19" s="217" t="s">
        <v>48</v>
      </c>
      <c r="E19" s="209">
        <v>5148000</v>
      </c>
      <c r="F19" s="212">
        <f t="shared" si="0"/>
        <v>4993560</v>
      </c>
      <c r="G19" s="206">
        <f t="shared" si="1"/>
        <v>4839120</v>
      </c>
      <c r="H19" s="258">
        <v>1284.3499999999999</v>
      </c>
      <c r="I19" s="258">
        <v>1149.48</v>
      </c>
      <c r="J19" s="217">
        <v>134.87</v>
      </c>
      <c r="K19" s="217" t="s">
        <v>2785</v>
      </c>
    </row>
    <row r="20" spans="1:11">
      <c r="A20" s="217">
        <v>17</v>
      </c>
      <c r="B20" s="218" t="s">
        <v>2808</v>
      </c>
      <c r="C20" s="217" t="s">
        <v>4465</v>
      </c>
      <c r="D20" s="217" t="s">
        <v>48</v>
      </c>
      <c r="E20" s="209">
        <v>5138000</v>
      </c>
      <c r="F20" s="212">
        <f t="shared" si="0"/>
        <v>4983860</v>
      </c>
      <c r="G20" s="206">
        <f t="shared" si="1"/>
        <v>4829720</v>
      </c>
      <c r="H20" s="258">
        <v>1284.3499999999999</v>
      </c>
      <c r="I20" s="258">
        <v>1149.48</v>
      </c>
      <c r="J20" s="217">
        <v>134.87</v>
      </c>
      <c r="K20" s="217" t="s">
        <v>2785</v>
      </c>
    </row>
    <row r="21" spans="1:11">
      <c r="A21" s="217">
        <v>18</v>
      </c>
      <c r="B21" s="218" t="s">
        <v>2809</v>
      </c>
      <c r="C21" s="217" t="s">
        <v>4464</v>
      </c>
      <c r="D21" s="217" t="s">
        <v>48</v>
      </c>
      <c r="E21" s="209">
        <v>5128000</v>
      </c>
      <c r="F21" s="212">
        <f t="shared" si="0"/>
        <v>4974160</v>
      </c>
      <c r="G21" s="206">
        <f t="shared" si="1"/>
        <v>4820320</v>
      </c>
      <c r="H21" s="258">
        <v>1284.3499999999999</v>
      </c>
      <c r="I21" s="258">
        <v>1149.48</v>
      </c>
      <c r="J21" s="217">
        <v>134.87</v>
      </c>
      <c r="K21" s="217" t="s">
        <v>2785</v>
      </c>
    </row>
    <row r="22" spans="1:11">
      <c r="A22" s="217">
        <v>19</v>
      </c>
      <c r="B22" s="218" t="s">
        <v>2810</v>
      </c>
      <c r="C22" s="217" t="s">
        <v>4466</v>
      </c>
      <c r="D22" s="217" t="s">
        <v>48</v>
      </c>
      <c r="E22" s="209">
        <v>5007000</v>
      </c>
      <c r="F22" s="212">
        <f t="shared" si="0"/>
        <v>4856790</v>
      </c>
      <c r="G22" s="206">
        <f t="shared" si="1"/>
        <v>4706580</v>
      </c>
      <c r="H22" s="258">
        <v>1332.9</v>
      </c>
      <c r="I22" s="258">
        <v>1077.47</v>
      </c>
      <c r="J22" s="217">
        <v>255.43</v>
      </c>
      <c r="K22" s="217" t="s">
        <v>3607</v>
      </c>
    </row>
    <row r="23" spans="1:11">
      <c r="A23" s="217">
        <v>20</v>
      </c>
      <c r="B23" s="218" t="s">
        <v>2811</v>
      </c>
      <c r="C23" s="217" t="s">
        <v>4466</v>
      </c>
      <c r="D23" s="217" t="s">
        <v>48</v>
      </c>
      <c r="E23" s="209">
        <v>5006000</v>
      </c>
      <c r="F23" s="212">
        <f t="shared" si="0"/>
        <v>4855820</v>
      </c>
      <c r="G23" s="206">
        <f t="shared" si="1"/>
        <v>4705640</v>
      </c>
      <c r="H23" s="258">
        <v>1332.57</v>
      </c>
      <c r="I23" s="258">
        <v>1077.1400000000001</v>
      </c>
      <c r="J23" s="217">
        <v>255.43</v>
      </c>
      <c r="K23" s="217" t="s">
        <v>2792</v>
      </c>
    </row>
    <row r="24" spans="1:11">
      <c r="A24" s="217">
        <v>21</v>
      </c>
      <c r="B24" s="218" t="s">
        <v>2812</v>
      </c>
      <c r="C24" s="217" t="s">
        <v>4466</v>
      </c>
      <c r="D24" s="217" t="s">
        <v>48</v>
      </c>
      <c r="E24" s="209">
        <v>5006000</v>
      </c>
      <c r="F24" s="212">
        <f t="shared" si="0"/>
        <v>4855820</v>
      </c>
      <c r="G24" s="206">
        <f t="shared" si="1"/>
        <v>4705640</v>
      </c>
      <c r="H24" s="258">
        <v>1332.57</v>
      </c>
      <c r="I24" s="258">
        <v>1077.1400000000001</v>
      </c>
      <c r="J24" s="217">
        <v>255.43</v>
      </c>
      <c r="K24" s="217" t="s">
        <v>3608</v>
      </c>
    </row>
    <row r="25" spans="1:11">
      <c r="A25" s="217">
        <v>22</v>
      </c>
      <c r="B25" s="218" t="s">
        <v>2813</v>
      </c>
      <c r="C25" s="217" t="s">
        <v>4465</v>
      </c>
      <c r="D25" s="217" t="s">
        <v>48</v>
      </c>
      <c r="E25" s="209">
        <v>4998000</v>
      </c>
      <c r="F25" s="212">
        <f t="shared" si="0"/>
        <v>4848060</v>
      </c>
      <c r="G25" s="206">
        <f t="shared" si="1"/>
        <v>4698120</v>
      </c>
      <c r="H25" s="258">
        <v>1332.9</v>
      </c>
      <c r="I25" s="258">
        <v>1077.47</v>
      </c>
      <c r="J25" s="217">
        <v>255.43</v>
      </c>
      <c r="K25" s="217" t="s">
        <v>3607</v>
      </c>
    </row>
    <row r="26" spans="1:11">
      <c r="A26" s="217">
        <v>23</v>
      </c>
      <c r="B26" s="218" t="s">
        <v>2814</v>
      </c>
      <c r="C26" s="217" t="s">
        <v>4465</v>
      </c>
      <c r="D26" s="217" t="s">
        <v>48</v>
      </c>
      <c r="E26" s="209">
        <v>4996000</v>
      </c>
      <c r="F26" s="212">
        <f t="shared" si="0"/>
        <v>4846120</v>
      </c>
      <c r="G26" s="206">
        <f t="shared" si="1"/>
        <v>4696240</v>
      </c>
      <c r="H26" s="258">
        <v>1332.57</v>
      </c>
      <c r="I26" s="258">
        <v>1077.1400000000001</v>
      </c>
      <c r="J26" s="217">
        <v>255.43</v>
      </c>
      <c r="K26" s="217" t="s">
        <v>2792</v>
      </c>
    </row>
    <row r="27" spans="1:11">
      <c r="A27" s="217">
        <v>24</v>
      </c>
      <c r="B27" s="218" t="s">
        <v>2815</v>
      </c>
      <c r="C27" s="217" t="s">
        <v>4465</v>
      </c>
      <c r="D27" s="217" t="s">
        <v>48</v>
      </c>
      <c r="E27" s="209">
        <v>4996000</v>
      </c>
      <c r="F27" s="212">
        <f t="shared" si="0"/>
        <v>4846120</v>
      </c>
      <c r="G27" s="206">
        <f t="shared" si="1"/>
        <v>4696240</v>
      </c>
      <c r="H27" s="258">
        <v>1332.57</v>
      </c>
      <c r="I27" s="258">
        <v>1077.1400000000001</v>
      </c>
      <c r="J27" s="217">
        <v>255.43</v>
      </c>
      <c r="K27" s="217" t="s">
        <v>3608</v>
      </c>
    </row>
    <row r="28" spans="1:11">
      <c r="A28" s="217">
        <v>25</v>
      </c>
      <c r="B28" s="218" t="s">
        <v>2816</v>
      </c>
      <c r="C28" s="217" t="s">
        <v>4466</v>
      </c>
      <c r="D28" s="217" t="s">
        <v>48</v>
      </c>
      <c r="E28" s="209">
        <v>4961000</v>
      </c>
      <c r="F28" s="212">
        <f t="shared" si="0"/>
        <v>4812170</v>
      </c>
      <c r="G28" s="206">
        <f t="shared" si="1"/>
        <v>4663340</v>
      </c>
      <c r="H28" s="258">
        <v>1332.9</v>
      </c>
      <c r="I28" s="258">
        <v>1077.47</v>
      </c>
      <c r="J28" s="217">
        <v>255.43</v>
      </c>
      <c r="K28" s="217" t="s">
        <v>4512</v>
      </c>
    </row>
    <row r="29" spans="1:11">
      <c r="A29" s="217">
        <v>26</v>
      </c>
      <c r="B29" s="218" t="s">
        <v>2817</v>
      </c>
      <c r="C29" s="217" t="s">
        <v>4464</v>
      </c>
      <c r="D29" s="217" t="s">
        <v>48</v>
      </c>
      <c r="E29" s="209">
        <v>4989000</v>
      </c>
      <c r="F29" s="212">
        <f t="shared" si="0"/>
        <v>4839330</v>
      </c>
      <c r="G29" s="206">
        <f t="shared" si="1"/>
        <v>4689660</v>
      </c>
      <c r="H29" s="258">
        <v>1332.9</v>
      </c>
      <c r="I29" s="258">
        <v>1077.47</v>
      </c>
      <c r="J29" s="217">
        <v>255.43</v>
      </c>
      <c r="K29" s="217" t="s">
        <v>3607</v>
      </c>
    </row>
    <row r="30" spans="1:11">
      <c r="A30" s="217">
        <v>27</v>
      </c>
      <c r="B30" s="218" t="s">
        <v>2818</v>
      </c>
      <c r="C30" s="217" t="s">
        <v>4464</v>
      </c>
      <c r="D30" s="217" t="s">
        <v>48</v>
      </c>
      <c r="E30" s="209">
        <v>4987000</v>
      </c>
      <c r="F30" s="212">
        <f t="shared" si="0"/>
        <v>4837390</v>
      </c>
      <c r="G30" s="206">
        <f t="shared" si="1"/>
        <v>4687780</v>
      </c>
      <c r="H30" s="258">
        <v>1332.57</v>
      </c>
      <c r="I30" s="258">
        <v>1077.1400000000001</v>
      </c>
      <c r="J30" s="217">
        <v>255.43</v>
      </c>
      <c r="K30" s="217" t="s">
        <v>2792</v>
      </c>
    </row>
    <row r="31" spans="1:11">
      <c r="A31" s="217">
        <v>28</v>
      </c>
      <c r="B31" s="218" t="s">
        <v>2819</v>
      </c>
      <c r="C31" s="217" t="s">
        <v>4464</v>
      </c>
      <c r="D31" s="217" t="s">
        <v>48</v>
      </c>
      <c r="E31" s="209">
        <v>4987000</v>
      </c>
      <c r="F31" s="212">
        <f t="shared" si="0"/>
        <v>4837390</v>
      </c>
      <c r="G31" s="206">
        <f t="shared" si="1"/>
        <v>4687780</v>
      </c>
      <c r="H31" s="258">
        <v>1332.57</v>
      </c>
      <c r="I31" s="258">
        <v>1077.1400000000001</v>
      </c>
      <c r="J31" s="217">
        <v>255.43</v>
      </c>
      <c r="K31" s="217" t="s">
        <v>3608</v>
      </c>
    </row>
    <row r="32" spans="1:11">
      <c r="A32" s="217">
        <v>29</v>
      </c>
      <c r="B32" s="218" t="s">
        <v>2820</v>
      </c>
      <c r="C32" s="217" t="s">
        <v>4465</v>
      </c>
      <c r="D32" s="217" t="s">
        <v>48</v>
      </c>
      <c r="E32" s="209">
        <v>4950000</v>
      </c>
      <c r="F32" s="212">
        <f t="shared" si="0"/>
        <v>4801500</v>
      </c>
      <c r="G32" s="206">
        <f t="shared" si="1"/>
        <v>4653000</v>
      </c>
      <c r="H32" s="258">
        <v>1332.9</v>
      </c>
      <c r="I32" s="258">
        <v>1077.47</v>
      </c>
      <c r="J32" s="217">
        <v>255.43</v>
      </c>
      <c r="K32" s="217" t="s">
        <v>4512</v>
      </c>
    </row>
    <row r="33" spans="1:11">
      <c r="A33" s="217">
        <v>30</v>
      </c>
      <c r="B33" s="218" t="s">
        <v>2821</v>
      </c>
      <c r="C33" s="217" t="s">
        <v>4464</v>
      </c>
      <c r="D33" s="217" t="s">
        <v>48</v>
      </c>
      <c r="E33" s="209">
        <v>4960000</v>
      </c>
      <c r="F33" s="212">
        <f t="shared" si="0"/>
        <v>4811200</v>
      </c>
      <c r="G33" s="206">
        <f t="shared" si="1"/>
        <v>4662400</v>
      </c>
      <c r="H33" s="258">
        <v>1332.9</v>
      </c>
      <c r="I33" s="258">
        <v>1077.47</v>
      </c>
      <c r="J33" s="217">
        <v>255.43</v>
      </c>
      <c r="K33" s="217" t="s">
        <v>4512</v>
      </c>
    </row>
    <row r="34" spans="1:11">
      <c r="A34" s="217">
        <v>31</v>
      </c>
      <c r="B34" s="218" t="s">
        <v>2822</v>
      </c>
      <c r="C34" s="217" t="s">
        <v>4463</v>
      </c>
      <c r="D34" s="217" t="s">
        <v>24</v>
      </c>
      <c r="E34" s="209">
        <v>3363000</v>
      </c>
      <c r="F34" s="212">
        <f t="shared" si="0"/>
        <v>3262110</v>
      </c>
      <c r="G34" s="206">
        <f t="shared" si="1"/>
        <v>3161220</v>
      </c>
      <c r="H34" s="258">
        <v>980.16</v>
      </c>
      <c r="I34" s="258">
        <v>771.77</v>
      </c>
      <c r="J34" s="217">
        <v>208.39</v>
      </c>
      <c r="K34" s="217" t="s">
        <v>2780</v>
      </c>
    </row>
    <row r="35" spans="1:11">
      <c r="A35" s="217">
        <v>32</v>
      </c>
      <c r="B35" s="218" t="s">
        <v>2823</v>
      </c>
      <c r="C35" s="217" t="s">
        <v>4462</v>
      </c>
      <c r="D35" s="217" t="s">
        <v>24</v>
      </c>
      <c r="E35" s="209">
        <v>3356000</v>
      </c>
      <c r="F35" s="212">
        <f t="shared" si="0"/>
        <v>3255320</v>
      </c>
      <c r="G35" s="206">
        <f t="shared" si="1"/>
        <v>3154640</v>
      </c>
      <c r="H35" s="258">
        <v>980.16</v>
      </c>
      <c r="I35" s="258">
        <v>771.77</v>
      </c>
      <c r="J35" s="217">
        <v>208.39</v>
      </c>
      <c r="K35" s="217" t="s">
        <v>2780</v>
      </c>
    </row>
    <row r="36" spans="1:11">
      <c r="A36" s="217">
        <v>33</v>
      </c>
      <c r="B36" s="218" t="s">
        <v>2824</v>
      </c>
      <c r="C36" s="217" t="s">
        <v>33</v>
      </c>
      <c r="D36" s="217" t="s">
        <v>24</v>
      </c>
      <c r="E36" s="209">
        <v>3338000</v>
      </c>
      <c r="F36" s="212">
        <f t="shared" si="0"/>
        <v>3237860</v>
      </c>
      <c r="G36" s="206">
        <f t="shared" si="1"/>
        <v>3137720</v>
      </c>
      <c r="H36" s="258">
        <v>980.16</v>
      </c>
      <c r="I36" s="258">
        <v>771.77</v>
      </c>
      <c r="J36" s="217">
        <v>208.39</v>
      </c>
      <c r="K36" s="217" t="s">
        <v>2780</v>
      </c>
    </row>
    <row r="37" spans="1:11">
      <c r="A37" s="217">
        <v>34</v>
      </c>
      <c r="B37" s="218" t="s">
        <v>2825</v>
      </c>
      <c r="C37" s="217" t="s">
        <v>4495</v>
      </c>
      <c r="D37" s="217" t="s">
        <v>24</v>
      </c>
      <c r="E37" s="209">
        <v>3303000</v>
      </c>
      <c r="F37" s="212">
        <f t="shared" si="0"/>
        <v>3203910</v>
      </c>
      <c r="G37" s="206">
        <f t="shared" si="1"/>
        <v>3104820</v>
      </c>
      <c r="H37" s="258">
        <v>980.16</v>
      </c>
      <c r="I37" s="258">
        <v>771.77</v>
      </c>
      <c r="J37" s="217">
        <v>208.39</v>
      </c>
      <c r="K37" s="217" t="s">
        <v>2785</v>
      </c>
    </row>
    <row r="38" spans="1:11">
      <c r="A38" s="217">
        <v>35</v>
      </c>
      <c r="B38" s="218" t="s">
        <v>2826</v>
      </c>
      <c r="C38" s="217" t="s">
        <v>4495</v>
      </c>
      <c r="D38" s="217" t="s">
        <v>24</v>
      </c>
      <c r="E38" s="209">
        <v>3303000</v>
      </c>
      <c r="F38" s="212">
        <f t="shared" si="0"/>
        <v>3203910</v>
      </c>
      <c r="G38" s="206">
        <f t="shared" si="1"/>
        <v>3104820</v>
      </c>
      <c r="H38" s="258">
        <v>980.16</v>
      </c>
      <c r="I38" s="258">
        <v>771.77</v>
      </c>
      <c r="J38" s="217">
        <v>208.39</v>
      </c>
      <c r="K38" s="217" t="s">
        <v>2785</v>
      </c>
    </row>
    <row r="39" spans="1:11">
      <c r="A39" s="217">
        <v>36</v>
      </c>
      <c r="B39" s="218" t="s">
        <v>2827</v>
      </c>
      <c r="C39" s="217" t="s">
        <v>34</v>
      </c>
      <c r="D39" s="217" t="s">
        <v>24</v>
      </c>
      <c r="E39" s="209">
        <v>3331000</v>
      </c>
      <c r="F39" s="212">
        <f t="shared" si="0"/>
        <v>3231070</v>
      </c>
      <c r="G39" s="206">
        <f t="shared" si="1"/>
        <v>3131140</v>
      </c>
      <c r="H39" s="258">
        <v>980.16</v>
      </c>
      <c r="I39" s="258">
        <v>771.77</v>
      </c>
      <c r="J39" s="217">
        <v>208.39</v>
      </c>
      <c r="K39" s="217" t="s">
        <v>2780</v>
      </c>
    </row>
    <row r="40" spans="1:11">
      <c r="A40" s="217">
        <v>37</v>
      </c>
      <c r="B40" s="218" t="s">
        <v>2828</v>
      </c>
      <c r="C40" s="217" t="s">
        <v>4494</v>
      </c>
      <c r="D40" s="217" t="s">
        <v>24</v>
      </c>
      <c r="E40" s="209">
        <v>3297000</v>
      </c>
      <c r="F40" s="212">
        <f t="shared" si="0"/>
        <v>3198090</v>
      </c>
      <c r="G40" s="206">
        <f t="shared" si="1"/>
        <v>3099180</v>
      </c>
      <c r="H40" s="258">
        <v>980.16</v>
      </c>
      <c r="I40" s="258">
        <v>771.77</v>
      </c>
      <c r="J40" s="217">
        <v>208.39</v>
      </c>
      <c r="K40" s="217" t="s">
        <v>2785</v>
      </c>
    </row>
    <row r="41" spans="1:11">
      <c r="A41" s="217">
        <v>38</v>
      </c>
      <c r="B41" s="218" t="s">
        <v>2829</v>
      </c>
      <c r="C41" s="217" t="s">
        <v>4494</v>
      </c>
      <c r="D41" s="217" t="s">
        <v>24</v>
      </c>
      <c r="E41" s="209">
        <v>3297000</v>
      </c>
      <c r="F41" s="212">
        <f t="shared" si="0"/>
        <v>3198090</v>
      </c>
      <c r="G41" s="206">
        <f t="shared" si="1"/>
        <v>3099180</v>
      </c>
      <c r="H41" s="258">
        <v>980.16</v>
      </c>
      <c r="I41" s="258">
        <v>771.77</v>
      </c>
      <c r="J41" s="217">
        <v>208.39</v>
      </c>
      <c r="K41" s="217" t="s">
        <v>2785</v>
      </c>
    </row>
    <row r="42" spans="1:11">
      <c r="A42" s="217">
        <v>39</v>
      </c>
      <c r="B42" s="218" t="s">
        <v>2830</v>
      </c>
      <c r="C42" s="217" t="s">
        <v>4461</v>
      </c>
      <c r="D42" s="217" t="s">
        <v>24</v>
      </c>
      <c r="E42" s="209">
        <v>3325000</v>
      </c>
      <c r="F42" s="212">
        <f t="shared" si="0"/>
        <v>3225250</v>
      </c>
      <c r="G42" s="206">
        <f t="shared" si="1"/>
        <v>3125500</v>
      </c>
      <c r="H42" s="258">
        <v>980.16</v>
      </c>
      <c r="I42" s="258">
        <v>771.77</v>
      </c>
      <c r="J42" s="217">
        <v>208.39</v>
      </c>
      <c r="K42" s="217" t="s">
        <v>2780</v>
      </c>
    </row>
    <row r="43" spans="1:11">
      <c r="A43" s="217">
        <v>40</v>
      </c>
      <c r="B43" s="218" t="s">
        <v>2831</v>
      </c>
      <c r="C43" s="217" t="s">
        <v>33</v>
      </c>
      <c r="D43" s="217" t="s">
        <v>24</v>
      </c>
      <c r="E43" s="209">
        <v>3291000</v>
      </c>
      <c r="F43" s="212">
        <f t="shared" si="0"/>
        <v>3192270</v>
      </c>
      <c r="G43" s="206">
        <f t="shared" si="1"/>
        <v>3093540</v>
      </c>
      <c r="H43" s="258">
        <v>980.16</v>
      </c>
      <c r="I43" s="258">
        <v>771.77</v>
      </c>
      <c r="J43" s="217">
        <v>208.39</v>
      </c>
      <c r="K43" s="217" t="s">
        <v>2785</v>
      </c>
    </row>
    <row r="44" spans="1:11">
      <c r="A44" s="217">
        <v>41</v>
      </c>
      <c r="B44" s="218" t="s">
        <v>2832</v>
      </c>
      <c r="C44" s="217" t="s">
        <v>33</v>
      </c>
      <c r="D44" s="217" t="s">
        <v>24</v>
      </c>
      <c r="E44" s="209">
        <v>3291000</v>
      </c>
      <c r="F44" s="212">
        <f t="shared" si="0"/>
        <v>3192270</v>
      </c>
      <c r="G44" s="206">
        <f t="shared" si="1"/>
        <v>3093540</v>
      </c>
      <c r="H44" s="258">
        <v>980.16</v>
      </c>
      <c r="I44" s="258">
        <v>771.77</v>
      </c>
      <c r="J44" s="217">
        <v>208.39</v>
      </c>
      <c r="K44" s="217" t="s">
        <v>2785</v>
      </c>
    </row>
    <row r="45" spans="1:11">
      <c r="A45" s="217">
        <v>42</v>
      </c>
      <c r="B45" s="218" t="s">
        <v>2833</v>
      </c>
      <c r="C45" s="217" t="s">
        <v>4460</v>
      </c>
      <c r="D45" s="217" t="s">
        <v>24</v>
      </c>
      <c r="E45" s="209">
        <v>3319000</v>
      </c>
      <c r="F45" s="212">
        <f t="shared" si="0"/>
        <v>3219430</v>
      </c>
      <c r="G45" s="206">
        <f t="shared" si="1"/>
        <v>3119860</v>
      </c>
      <c r="H45" s="258">
        <v>980.16</v>
      </c>
      <c r="I45" s="258">
        <v>771.77</v>
      </c>
      <c r="J45" s="217">
        <v>208.39</v>
      </c>
      <c r="K45" s="217" t="s">
        <v>2780</v>
      </c>
    </row>
    <row r="46" spans="1:11">
      <c r="A46" s="217">
        <v>43</v>
      </c>
      <c r="B46" s="218" t="s">
        <v>2834</v>
      </c>
      <c r="C46" s="217" t="s">
        <v>4460</v>
      </c>
      <c r="D46" s="217" t="s">
        <v>24</v>
      </c>
      <c r="E46" s="209">
        <v>3319000</v>
      </c>
      <c r="F46" s="212">
        <f t="shared" si="0"/>
        <v>3219430</v>
      </c>
      <c r="G46" s="206">
        <f t="shared" si="1"/>
        <v>3119860</v>
      </c>
      <c r="H46" s="258">
        <v>980.16</v>
      </c>
      <c r="I46" s="258">
        <v>771.77</v>
      </c>
      <c r="J46" s="217">
        <v>208.39</v>
      </c>
      <c r="K46" s="217" t="s">
        <v>2780</v>
      </c>
    </row>
    <row r="47" spans="1:11">
      <c r="A47" s="217">
        <v>44</v>
      </c>
      <c r="B47" s="218" t="s">
        <v>2835</v>
      </c>
      <c r="C47" s="217" t="s">
        <v>34</v>
      </c>
      <c r="D47" s="217" t="s">
        <v>24</v>
      </c>
      <c r="E47" s="209">
        <v>3284000</v>
      </c>
      <c r="F47" s="212">
        <f t="shared" si="0"/>
        <v>3185480</v>
      </c>
      <c r="G47" s="206">
        <f t="shared" si="1"/>
        <v>3086960</v>
      </c>
      <c r="H47" s="258">
        <v>980.16</v>
      </c>
      <c r="I47" s="258">
        <v>771.77</v>
      </c>
      <c r="J47" s="217">
        <v>208.39</v>
      </c>
      <c r="K47" s="217" t="s">
        <v>2785</v>
      </c>
    </row>
    <row r="48" spans="1:11">
      <c r="A48" s="217">
        <v>45</v>
      </c>
      <c r="B48" s="218" t="s">
        <v>2836</v>
      </c>
      <c r="C48" s="217" t="s">
        <v>34</v>
      </c>
      <c r="D48" s="217" t="s">
        <v>24</v>
      </c>
      <c r="E48" s="209">
        <v>3284000</v>
      </c>
      <c r="F48" s="212">
        <f t="shared" si="0"/>
        <v>3185480</v>
      </c>
      <c r="G48" s="206">
        <f t="shared" si="1"/>
        <v>3086960</v>
      </c>
      <c r="H48" s="258">
        <v>980.16</v>
      </c>
      <c r="I48" s="258">
        <v>771.77</v>
      </c>
      <c r="J48" s="217">
        <v>208.39</v>
      </c>
      <c r="K48" s="217" t="s">
        <v>2785</v>
      </c>
    </row>
    <row r="49" spans="1:11">
      <c r="A49" s="217">
        <v>46</v>
      </c>
      <c r="B49" s="218" t="s">
        <v>2837</v>
      </c>
      <c r="C49" s="217" t="s">
        <v>11</v>
      </c>
      <c r="D49" s="217" t="s">
        <v>24</v>
      </c>
      <c r="E49" s="209">
        <v>3313000</v>
      </c>
      <c r="F49" s="212">
        <f t="shared" si="0"/>
        <v>3213610</v>
      </c>
      <c r="G49" s="206">
        <f t="shared" si="1"/>
        <v>3114220</v>
      </c>
      <c r="H49" s="258">
        <v>980.16</v>
      </c>
      <c r="I49" s="258">
        <v>771.77</v>
      </c>
      <c r="J49" s="217">
        <v>208.39</v>
      </c>
      <c r="K49" s="217" t="s">
        <v>2780</v>
      </c>
    </row>
    <row r="50" spans="1:11">
      <c r="A50" s="217">
        <v>47</v>
      </c>
      <c r="B50" s="218" t="s">
        <v>2838</v>
      </c>
      <c r="C50" s="217" t="s">
        <v>11</v>
      </c>
      <c r="D50" s="217" t="s">
        <v>24</v>
      </c>
      <c r="E50" s="209">
        <v>3313000</v>
      </c>
      <c r="F50" s="212">
        <f t="shared" si="0"/>
        <v>3213610</v>
      </c>
      <c r="G50" s="206">
        <f t="shared" si="1"/>
        <v>3114220</v>
      </c>
      <c r="H50" s="258">
        <v>980.16</v>
      </c>
      <c r="I50" s="258">
        <v>771.77</v>
      </c>
      <c r="J50" s="217">
        <v>208.39</v>
      </c>
      <c r="K50" s="217" t="s">
        <v>2780</v>
      </c>
    </row>
    <row r="51" spans="1:11">
      <c r="A51" s="217">
        <v>48</v>
      </c>
      <c r="B51" s="218" t="s">
        <v>2839</v>
      </c>
      <c r="C51" s="217" t="s">
        <v>4461</v>
      </c>
      <c r="D51" s="217" t="s">
        <v>24</v>
      </c>
      <c r="E51" s="209">
        <v>3278000</v>
      </c>
      <c r="F51" s="212">
        <f t="shared" si="0"/>
        <v>3179660</v>
      </c>
      <c r="G51" s="206">
        <f t="shared" si="1"/>
        <v>3081320</v>
      </c>
      <c r="H51" s="258">
        <v>980.16</v>
      </c>
      <c r="I51" s="258">
        <v>771.77</v>
      </c>
      <c r="J51" s="217">
        <v>208.39</v>
      </c>
      <c r="K51" s="217" t="s">
        <v>2785</v>
      </c>
    </row>
    <row r="52" spans="1:11">
      <c r="A52" s="217">
        <v>49</v>
      </c>
      <c r="B52" s="218" t="s">
        <v>2840</v>
      </c>
      <c r="C52" s="217" t="s">
        <v>4461</v>
      </c>
      <c r="D52" s="217" t="s">
        <v>24</v>
      </c>
      <c r="E52" s="209">
        <v>3278000</v>
      </c>
      <c r="F52" s="212">
        <f t="shared" si="0"/>
        <v>3179660</v>
      </c>
      <c r="G52" s="206">
        <f t="shared" si="1"/>
        <v>3081320</v>
      </c>
      <c r="H52" s="258">
        <v>980.16</v>
      </c>
      <c r="I52" s="258">
        <v>771.77</v>
      </c>
      <c r="J52" s="217">
        <v>208.39</v>
      </c>
      <c r="K52" s="217" t="s">
        <v>2785</v>
      </c>
    </row>
    <row r="53" spans="1:11">
      <c r="A53" s="217">
        <v>50</v>
      </c>
      <c r="B53" s="218" t="s">
        <v>2841</v>
      </c>
      <c r="C53" s="217" t="s">
        <v>12</v>
      </c>
      <c r="D53" s="217" t="s">
        <v>24</v>
      </c>
      <c r="E53" s="209">
        <v>3306000</v>
      </c>
      <c r="F53" s="212">
        <f t="shared" si="0"/>
        <v>3206820</v>
      </c>
      <c r="G53" s="206">
        <f t="shared" si="1"/>
        <v>3107640</v>
      </c>
      <c r="H53" s="258">
        <v>980.16</v>
      </c>
      <c r="I53" s="258">
        <v>771.77</v>
      </c>
      <c r="J53" s="217">
        <v>208.39</v>
      </c>
      <c r="K53" s="217" t="s">
        <v>2780</v>
      </c>
    </row>
    <row r="54" spans="1:11">
      <c r="A54" s="217">
        <v>51</v>
      </c>
      <c r="B54" s="218" t="s">
        <v>2842</v>
      </c>
      <c r="C54" s="217" t="s">
        <v>12</v>
      </c>
      <c r="D54" s="217" t="s">
        <v>24</v>
      </c>
      <c r="E54" s="209">
        <v>3306000</v>
      </c>
      <c r="F54" s="212">
        <f t="shared" si="0"/>
        <v>3206820</v>
      </c>
      <c r="G54" s="206">
        <f t="shared" si="1"/>
        <v>3107640</v>
      </c>
      <c r="H54" s="258">
        <v>980.16</v>
      </c>
      <c r="I54" s="258">
        <v>771.77</v>
      </c>
      <c r="J54" s="217">
        <v>208.39</v>
      </c>
      <c r="K54" s="217" t="s">
        <v>2780</v>
      </c>
    </row>
    <row r="55" spans="1:11">
      <c r="A55" s="217">
        <v>52</v>
      </c>
      <c r="B55" s="218" t="s">
        <v>2843</v>
      </c>
      <c r="C55" s="217" t="s">
        <v>4460</v>
      </c>
      <c r="D55" s="217" t="s">
        <v>24</v>
      </c>
      <c r="E55" s="209">
        <v>3272000</v>
      </c>
      <c r="F55" s="212">
        <f t="shared" si="0"/>
        <v>3173840</v>
      </c>
      <c r="G55" s="206">
        <f t="shared" si="1"/>
        <v>3075680</v>
      </c>
      <c r="H55" s="258">
        <v>980.16</v>
      </c>
      <c r="I55" s="258">
        <v>771.77</v>
      </c>
      <c r="J55" s="217">
        <v>208.39</v>
      </c>
      <c r="K55" s="217" t="s">
        <v>2785</v>
      </c>
    </row>
    <row r="56" spans="1:11">
      <c r="A56" s="217">
        <v>53</v>
      </c>
      <c r="B56" s="218" t="s">
        <v>2844</v>
      </c>
      <c r="C56" s="217" t="s">
        <v>4460</v>
      </c>
      <c r="D56" s="217" t="s">
        <v>24</v>
      </c>
      <c r="E56" s="209">
        <v>3272000</v>
      </c>
      <c r="F56" s="212">
        <f t="shared" si="0"/>
        <v>3173840</v>
      </c>
      <c r="G56" s="206">
        <f t="shared" si="1"/>
        <v>3075680</v>
      </c>
      <c r="H56" s="258">
        <v>980.16</v>
      </c>
      <c r="I56" s="258">
        <v>771.77</v>
      </c>
      <c r="J56" s="217">
        <v>208.39</v>
      </c>
      <c r="K56" s="217" t="s">
        <v>2785</v>
      </c>
    </row>
    <row r="57" spans="1:11">
      <c r="A57" s="217">
        <v>54</v>
      </c>
      <c r="B57" s="218" t="s">
        <v>4548</v>
      </c>
      <c r="C57" s="217" t="s">
        <v>32</v>
      </c>
      <c r="D57" s="217" t="s">
        <v>24</v>
      </c>
      <c r="E57" s="209">
        <v>3300000</v>
      </c>
      <c r="F57" s="212">
        <f t="shared" si="0"/>
        <v>3201000</v>
      </c>
      <c r="G57" s="206">
        <f t="shared" si="1"/>
        <v>3102000</v>
      </c>
      <c r="H57" s="258">
        <v>980.16</v>
      </c>
      <c r="I57" s="258">
        <v>771.77</v>
      </c>
      <c r="J57" s="217">
        <v>208.39</v>
      </c>
      <c r="K57" s="217" t="s">
        <v>2780</v>
      </c>
    </row>
    <row r="58" spans="1:11">
      <c r="A58" s="217">
        <v>55</v>
      </c>
      <c r="B58" s="218" t="s">
        <v>2845</v>
      </c>
      <c r="C58" s="217" t="s">
        <v>32</v>
      </c>
      <c r="D58" s="217" t="s">
        <v>24</v>
      </c>
      <c r="E58" s="209">
        <v>3300000</v>
      </c>
      <c r="F58" s="212">
        <f t="shared" si="0"/>
        <v>3201000</v>
      </c>
      <c r="G58" s="206">
        <f t="shared" si="1"/>
        <v>3102000</v>
      </c>
      <c r="H58" s="258">
        <v>980.16</v>
      </c>
      <c r="I58" s="258">
        <v>771.77</v>
      </c>
      <c r="J58" s="217">
        <v>208.39</v>
      </c>
      <c r="K58" s="217" t="s">
        <v>2780</v>
      </c>
    </row>
    <row r="59" spans="1:11">
      <c r="A59" s="217">
        <v>56</v>
      </c>
      <c r="B59" s="218" t="s">
        <v>2846</v>
      </c>
      <c r="C59" s="217" t="s">
        <v>11</v>
      </c>
      <c r="D59" s="217" t="s">
        <v>24</v>
      </c>
      <c r="E59" s="209">
        <v>3265000</v>
      </c>
      <c r="F59" s="212">
        <f t="shared" si="0"/>
        <v>3167050</v>
      </c>
      <c r="G59" s="206">
        <f t="shared" si="1"/>
        <v>3069100</v>
      </c>
      <c r="H59" s="258">
        <v>980.16</v>
      </c>
      <c r="I59" s="258">
        <v>771.77</v>
      </c>
      <c r="J59" s="217">
        <v>208.39</v>
      </c>
      <c r="K59" s="217" t="s">
        <v>2785</v>
      </c>
    </row>
    <row r="60" spans="1:11">
      <c r="A60" s="217">
        <v>57</v>
      </c>
      <c r="B60" s="218" t="s">
        <v>2847</v>
      </c>
      <c r="C60" s="217" t="s">
        <v>12</v>
      </c>
      <c r="D60" s="217" t="s">
        <v>24</v>
      </c>
      <c r="E60" s="209">
        <v>3259000</v>
      </c>
      <c r="F60" s="212">
        <f t="shared" si="0"/>
        <v>3161230</v>
      </c>
      <c r="G60" s="206">
        <f t="shared" si="1"/>
        <v>3063460</v>
      </c>
      <c r="H60" s="258">
        <v>980.16</v>
      </c>
      <c r="I60" s="258">
        <v>771.77</v>
      </c>
      <c r="J60" s="217">
        <v>208.39</v>
      </c>
      <c r="K60" s="217" t="s">
        <v>2785</v>
      </c>
    </row>
    <row r="61" spans="1:11">
      <c r="A61" s="217">
        <v>58</v>
      </c>
      <c r="B61" s="218" t="s">
        <v>2848</v>
      </c>
      <c r="C61" s="217" t="s">
        <v>12</v>
      </c>
      <c r="D61" s="217" t="s">
        <v>24</v>
      </c>
      <c r="E61" s="209">
        <v>3259000</v>
      </c>
      <c r="F61" s="212">
        <f t="shared" si="0"/>
        <v>3161230</v>
      </c>
      <c r="G61" s="206">
        <f t="shared" si="1"/>
        <v>3063460</v>
      </c>
      <c r="H61" s="258">
        <v>980.16</v>
      </c>
      <c r="I61" s="258">
        <v>771.77</v>
      </c>
      <c r="J61" s="217">
        <v>208.39</v>
      </c>
      <c r="K61" s="217" t="s">
        <v>2785</v>
      </c>
    </row>
    <row r="62" spans="1:11">
      <c r="A62" s="217">
        <v>59</v>
      </c>
      <c r="B62" s="218" t="s">
        <v>2849</v>
      </c>
      <c r="C62" s="217" t="s">
        <v>5</v>
      </c>
      <c r="D62" s="217" t="s">
        <v>24</v>
      </c>
      <c r="E62" s="209">
        <v>3287000</v>
      </c>
      <c r="F62" s="212">
        <f t="shared" si="0"/>
        <v>3188390</v>
      </c>
      <c r="G62" s="206">
        <f t="shared" si="1"/>
        <v>3089780</v>
      </c>
      <c r="H62" s="258">
        <v>980.16</v>
      </c>
      <c r="I62" s="258">
        <v>771.77</v>
      </c>
      <c r="J62" s="217">
        <v>208.39</v>
      </c>
      <c r="K62" s="217" t="s">
        <v>2780</v>
      </c>
    </row>
    <row r="63" spans="1:11">
      <c r="A63" s="217">
        <v>60</v>
      </c>
      <c r="B63" s="218" t="s">
        <v>2850</v>
      </c>
      <c r="C63" s="217" t="s">
        <v>5</v>
      </c>
      <c r="D63" s="217" t="s">
        <v>24</v>
      </c>
      <c r="E63" s="209">
        <v>3287000</v>
      </c>
      <c r="F63" s="212">
        <f t="shared" si="0"/>
        <v>3188390</v>
      </c>
      <c r="G63" s="206">
        <f t="shared" si="1"/>
        <v>3089780</v>
      </c>
      <c r="H63" s="258">
        <v>980.16</v>
      </c>
      <c r="I63" s="258">
        <v>771.77</v>
      </c>
      <c r="J63" s="217">
        <v>208.39</v>
      </c>
      <c r="K63" s="217" t="s">
        <v>2780</v>
      </c>
    </row>
    <row r="64" spans="1:11">
      <c r="A64" s="217">
        <v>61</v>
      </c>
      <c r="B64" s="218" t="s">
        <v>2851</v>
      </c>
      <c r="C64" s="217" t="s">
        <v>32</v>
      </c>
      <c r="D64" s="217" t="s">
        <v>24</v>
      </c>
      <c r="E64" s="209">
        <v>3253000</v>
      </c>
      <c r="F64" s="212">
        <f t="shared" si="0"/>
        <v>3155410</v>
      </c>
      <c r="G64" s="206">
        <f t="shared" si="1"/>
        <v>3057820</v>
      </c>
      <c r="H64" s="258">
        <v>980.16</v>
      </c>
      <c r="I64" s="258">
        <v>771.77</v>
      </c>
      <c r="J64" s="217">
        <v>208.39</v>
      </c>
      <c r="K64" s="217" t="s">
        <v>2785</v>
      </c>
    </row>
    <row r="65" spans="1:11">
      <c r="A65" s="217">
        <v>62</v>
      </c>
      <c r="B65" s="218" t="s">
        <v>2852</v>
      </c>
      <c r="C65" s="217" t="s">
        <v>32</v>
      </c>
      <c r="D65" s="217" t="s">
        <v>24</v>
      </c>
      <c r="E65" s="209">
        <v>3253000</v>
      </c>
      <c r="F65" s="212">
        <f t="shared" si="0"/>
        <v>3155410</v>
      </c>
      <c r="G65" s="206">
        <f t="shared" si="1"/>
        <v>3057820</v>
      </c>
      <c r="H65" s="258">
        <v>980.16</v>
      </c>
      <c r="I65" s="258">
        <v>771.77</v>
      </c>
      <c r="J65" s="217">
        <v>208.39</v>
      </c>
      <c r="K65" s="217" t="s">
        <v>2785</v>
      </c>
    </row>
    <row r="66" spans="1:11">
      <c r="A66" s="217">
        <v>63</v>
      </c>
      <c r="B66" s="218" t="s">
        <v>2853</v>
      </c>
      <c r="C66" s="217" t="s">
        <v>4</v>
      </c>
      <c r="D66" s="217" t="s">
        <v>24</v>
      </c>
      <c r="E66" s="209">
        <v>3281000</v>
      </c>
      <c r="F66" s="212">
        <f t="shared" si="0"/>
        <v>3182570</v>
      </c>
      <c r="G66" s="206">
        <f t="shared" si="1"/>
        <v>3084140</v>
      </c>
      <c r="H66" s="258">
        <v>980.16</v>
      </c>
      <c r="I66" s="258">
        <v>771.77</v>
      </c>
      <c r="J66" s="217">
        <v>208.39</v>
      </c>
      <c r="K66" s="217" t="s">
        <v>2780</v>
      </c>
    </row>
    <row r="67" spans="1:11">
      <c r="A67" s="217">
        <v>64</v>
      </c>
      <c r="B67" s="218" t="s">
        <v>2854</v>
      </c>
      <c r="C67" s="217" t="s">
        <v>4</v>
      </c>
      <c r="D67" s="217" t="s">
        <v>24</v>
      </c>
      <c r="E67" s="209">
        <v>3281000</v>
      </c>
      <c r="F67" s="212">
        <f t="shared" si="0"/>
        <v>3182570</v>
      </c>
      <c r="G67" s="206">
        <f t="shared" si="1"/>
        <v>3084140</v>
      </c>
      <c r="H67" s="258">
        <v>980.16</v>
      </c>
      <c r="I67" s="258">
        <v>771.77</v>
      </c>
      <c r="J67" s="217">
        <v>208.39</v>
      </c>
      <c r="K67" s="217" t="s">
        <v>2780</v>
      </c>
    </row>
    <row r="68" spans="1:11">
      <c r="A68" s="217">
        <v>65</v>
      </c>
      <c r="B68" s="218" t="s">
        <v>2855</v>
      </c>
      <c r="C68" s="217" t="s">
        <v>4459</v>
      </c>
      <c r="D68" s="217" t="s">
        <v>24</v>
      </c>
      <c r="E68" s="209">
        <v>3247000</v>
      </c>
      <c r="F68" s="212">
        <f t="shared" si="0"/>
        <v>3149590</v>
      </c>
      <c r="G68" s="206">
        <f t="shared" si="1"/>
        <v>3052180</v>
      </c>
      <c r="H68" s="258">
        <v>980.16</v>
      </c>
      <c r="I68" s="258">
        <v>771.77</v>
      </c>
      <c r="J68" s="217">
        <v>208.39</v>
      </c>
      <c r="K68" s="217" t="s">
        <v>2785</v>
      </c>
    </row>
    <row r="69" spans="1:11">
      <c r="A69" s="217">
        <v>66</v>
      </c>
      <c r="B69" s="218" t="s">
        <v>2856</v>
      </c>
      <c r="C69" s="217" t="s">
        <v>4459</v>
      </c>
      <c r="D69" s="217" t="s">
        <v>24</v>
      </c>
      <c r="E69" s="209">
        <v>3247000</v>
      </c>
      <c r="F69" s="212">
        <f t="shared" ref="F69:F130" si="2">E69*0.97</f>
        <v>3149590</v>
      </c>
      <c r="G69" s="206">
        <f t="shared" ref="G69:G130" si="3">E69*0.94</f>
        <v>3052180</v>
      </c>
      <c r="H69" s="258">
        <v>980.16</v>
      </c>
      <c r="I69" s="258">
        <v>771.77</v>
      </c>
      <c r="J69" s="217">
        <v>208.39</v>
      </c>
      <c r="K69" s="217" t="s">
        <v>2785</v>
      </c>
    </row>
    <row r="70" spans="1:11">
      <c r="A70" s="217">
        <v>67</v>
      </c>
      <c r="B70" s="218" t="s">
        <v>4549</v>
      </c>
      <c r="C70" s="217" t="s">
        <v>4458</v>
      </c>
      <c r="D70" s="217" t="s">
        <v>24</v>
      </c>
      <c r="E70" s="209">
        <v>3275000</v>
      </c>
      <c r="F70" s="212">
        <f t="shared" si="2"/>
        <v>3176750</v>
      </c>
      <c r="G70" s="206">
        <f t="shared" si="3"/>
        <v>3078500</v>
      </c>
      <c r="H70" s="258">
        <v>980.16</v>
      </c>
      <c r="I70" s="258">
        <v>771.77</v>
      </c>
      <c r="J70" s="217">
        <v>208.39</v>
      </c>
      <c r="K70" s="217" t="s">
        <v>2780</v>
      </c>
    </row>
    <row r="71" spans="1:11">
      <c r="A71" s="217">
        <v>68</v>
      </c>
      <c r="B71" s="218" t="s">
        <v>4550</v>
      </c>
      <c r="C71" s="217" t="s">
        <v>4458</v>
      </c>
      <c r="D71" s="217" t="s">
        <v>24</v>
      </c>
      <c r="E71" s="209">
        <v>3275000</v>
      </c>
      <c r="F71" s="212">
        <f t="shared" si="2"/>
        <v>3176750</v>
      </c>
      <c r="G71" s="206">
        <f t="shared" si="3"/>
        <v>3078500</v>
      </c>
      <c r="H71" s="258">
        <v>980.16</v>
      </c>
      <c r="I71" s="258">
        <v>771.77</v>
      </c>
      <c r="J71" s="217">
        <v>208.39</v>
      </c>
      <c r="K71" s="217" t="s">
        <v>2780</v>
      </c>
    </row>
    <row r="72" spans="1:11">
      <c r="A72" s="217">
        <v>69</v>
      </c>
      <c r="B72" s="218" t="s">
        <v>4551</v>
      </c>
      <c r="C72" s="217" t="s">
        <v>5</v>
      </c>
      <c r="D72" s="217" t="s">
        <v>24</v>
      </c>
      <c r="E72" s="209">
        <v>3240000</v>
      </c>
      <c r="F72" s="212">
        <f t="shared" si="2"/>
        <v>3142800</v>
      </c>
      <c r="G72" s="206">
        <f t="shared" si="3"/>
        <v>3045600</v>
      </c>
      <c r="H72" s="258">
        <v>980.16</v>
      </c>
      <c r="I72" s="258">
        <v>771.77</v>
      </c>
      <c r="J72" s="217">
        <v>208.39</v>
      </c>
      <c r="K72" s="217" t="s">
        <v>2785</v>
      </c>
    </row>
    <row r="73" spans="1:11">
      <c r="A73" s="217">
        <v>70</v>
      </c>
      <c r="B73" s="218" t="s">
        <v>2857</v>
      </c>
      <c r="C73" s="217" t="s">
        <v>5</v>
      </c>
      <c r="D73" s="217" t="s">
        <v>24</v>
      </c>
      <c r="E73" s="209">
        <v>3240000</v>
      </c>
      <c r="F73" s="212">
        <f t="shared" si="2"/>
        <v>3142800</v>
      </c>
      <c r="G73" s="206">
        <f t="shared" si="3"/>
        <v>3045600</v>
      </c>
      <c r="H73" s="258">
        <v>980.16</v>
      </c>
      <c r="I73" s="258">
        <v>771.77</v>
      </c>
      <c r="J73" s="217">
        <v>208.39</v>
      </c>
      <c r="K73" s="217" t="s">
        <v>2785</v>
      </c>
    </row>
    <row r="74" spans="1:11">
      <c r="A74" s="217">
        <v>71</v>
      </c>
      <c r="B74" s="218" t="s">
        <v>2858</v>
      </c>
      <c r="C74" s="217" t="s">
        <v>6</v>
      </c>
      <c r="D74" s="217" t="s">
        <v>24</v>
      </c>
      <c r="E74" s="209">
        <v>3269000</v>
      </c>
      <c r="F74" s="212">
        <f t="shared" si="2"/>
        <v>3170930</v>
      </c>
      <c r="G74" s="206">
        <f t="shared" si="3"/>
        <v>3072860</v>
      </c>
      <c r="H74" s="258">
        <v>980.16</v>
      </c>
      <c r="I74" s="258">
        <v>771.77</v>
      </c>
      <c r="J74" s="217">
        <v>208.39</v>
      </c>
      <c r="K74" s="217" t="s">
        <v>2780</v>
      </c>
    </row>
    <row r="75" spans="1:11">
      <c r="A75" s="217">
        <v>72</v>
      </c>
      <c r="B75" s="218" t="s">
        <v>2859</v>
      </c>
      <c r="C75" s="217" t="s">
        <v>6</v>
      </c>
      <c r="D75" s="217" t="s">
        <v>24</v>
      </c>
      <c r="E75" s="209">
        <v>3269000</v>
      </c>
      <c r="F75" s="212">
        <f t="shared" si="2"/>
        <v>3170930</v>
      </c>
      <c r="G75" s="206">
        <f t="shared" si="3"/>
        <v>3072860</v>
      </c>
      <c r="H75" s="258">
        <v>980.16</v>
      </c>
      <c r="I75" s="258">
        <v>771.77</v>
      </c>
      <c r="J75" s="217">
        <v>208.39</v>
      </c>
      <c r="K75" s="217" t="s">
        <v>2780</v>
      </c>
    </row>
    <row r="76" spans="1:11">
      <c r="A76" s="217">
        <v>73</v>
      </c>
      <c r="B76" s="218" t="s">
        <v>2860</v>
      </c>
      <c r="C76" s="217" t="s">
        <v>4</v>
      </c>
      <c r="D76" s="217" t="s">
        <v>24</v>
      </c>
      <c r="E76" s="209">
        <v>3234000</v>
      </c>
      <c r="F76" s="212">
        <f t="shared" si="2"/>
        <v>3136980</v>
      </c>
      <c r="G76" s="206">
        <f t="shared" si="3"/>
        <v>3039960</v>
      </c>
      <c r="H76" s="258">
        <v>980.16</v>
      </c>
      <c r="I76" s="258">
        <v>771.77</v>
      </c>
      <c r="J76" s="217">
        <v>208.39</v>
      </c>
      <c r="K76" s="217" t="s">
        <v>2785</v>
      </c>
    </row>
    <row r="77" spans="1:11">
      <c r="A77" s="217">
        <v>74</v>
      </c>
      <c r="B77" s="218" t="s">
        <v>2861</v>
      </c>
      <c r="C77" s="217" t="s">
        <v>4</v>
      </c>
      <c r="D77" s="217" t="s">
        <v>24</v>
      </c>
      <c r="E77" s="209">
        <v>3234000</v>
      </c>
      <c r="F77" s="212">
        <f t="shared" si="2"/>
        <v>3136980</v>
      </c>
      <c r="G77" s="206">
        <f t="shared" si="3"/>
        <v>3039960</v>
      </c>
      <c r="H77" s="258">
        <v>980.16</v>
      </c>
      <c r="I77" s="258">
        <v>771.77</v>
      </c>
      <c r="J77" s="217">
        <v>208.39</v>
      </c>
      <c r="K77" s="217" t="s">
        <v>2785</v>
      </c>
    </row>
    <row r="78" spans="1:11">
      <c r="A78" s="217">
        <v>75</v>
      </c>
      <c r="B78" s="218" t="s">
        <v>2862</v>
      </c>
      <c r="C78" s="217" t="s">
        <v>7</v>
      </c>
      <c r="D78" s="217" t="s">
        <v>24</v>
      </c>
      <c r="E78" s="209">
        <v>3262000</v>
      </c>
      <c r="F78" s="212">
        <f t="shared" si="2"/>
        <v>3164140</v>
      </c>
      <c r="G78" s="206">
        <f t="shared" si="3"/>
        <v>3066280</v>
      </c>
      <c r="H78" s="258">
        <v>980.16</v>
      </c>
      <c r="I78" s="258">
        <v>771.77</v>
      </c>
      <c r="J78" s="217">
        <v>208.39</v>
      </c>
      <c r="K78" s="217" t="s">
        <v>2780</v>
      </c>
    </row>
    <row r="79" spans="1:11">
      <c r="A79" s="217">
        <v>76</v>
      </c>
      <c r="B79" s="218" t="s">
        <v>2863</v>
      </c>
      <c r="C79" s="217" t="s">
        <v>7</v>
      </c>
      <c r="D79" s="217" t="s">
        <v>24</v>
      </c>
      <c r="E79" s="209">
        <v>3262000</v>
      </c>
      <c r="F79" s="212">
        <f t="shared" si="2"/>
        <v>3164140</v>
      </c>
      <c r="G79" s="206">
        <f t="shared" si="3"/>
        <v>3066280</v>
      </c>
      <c r="H79" s="258">
        <v>980.16</v>
      </c>
      <c r="I79" s="258">
        <v>771.77</v>
      </c>
      <c r="J79" s="217">
        <v>208.39</v>
      </c>
      <c r="K79" s="217" t="s">
        <v>2780</v>
      </c>
    </row>
    <row r="80" spans="1:11">
      <c r="A80" s="217">
        <v>77</v>
      </c>
      <c r="B80" s="218" t="s">
        <v>2864</v>
      </c>
      <c r="C80" s="217" t="s">
        <v>4458</v>
      </c>
      <c r="D80" s="217" t="s">
        <v>24</v>
      </c>
      <c r="E80" s="209">
        <v>3228000</v>
      </c>
      <c r="F80" s="212">
        <f t="shared" si="2"/>
        <v>3131160</v>
      </c>
      <c r="G80" s="206">
        <f t="shared" si="3"/>
        <v>3034320</v>
      </c>
      <c r="H80" s="258">
        <v>980.16</v>
      </c>
      <c r="I80" s="258">
        <v>771.77</v>
      </c>
      <c r="J80" s="217">
        <v>208.39</v>
      </c>
      <c r="K80" s="217" t="s">
        <v>2785</v>
      </c>
    </row>
    <row r="81" spans="1:11">
      <c r="A81" s="217">
        <v>78</v>
      </c>
      <c r="B81" s="218" t="s">
        <v>2865</v>
      </c>
      <c r="C81" s="217" t="s">
        <v>8</v>
      </c>
      <c r="D81" s="217" t="s">
        <v>24</v>
      </c>
      <c r="E81" s="209">
        <v>3256000</v>
      </c>
      <c r="F81" s="212">
        <f t="shared" si="2"/>
        <v>3158320</v>
      </c>
      <c r="G81" s="206">
        <f t="shared" si="3"/>
        <v>3060640</v>
      </c>
      <c r="H81" s="258">
        <v>980.16</v>
      </c>
      <c r="I81" s="258">
        <v>771.77</v>
      </c>
      <c r="J81" s="217">
        <v>208.39</v>
      </c>
      <c r="K81" s="217" t="s">
        <v>2780</v>
      </c>
    </row>
    <row r="82" spans="1:11">
      <c r="A82" s="217">
        <v>79</v>
      </c>
      <c r="B82" s="218" t="s">
        <v>2866</v>
      </c>
      <c r="C82" s="217" t="s">
        <v>8</v>
      </c>
      <c r="D82" s="217" t="s">
        <v>24</v>
      </c>
      <c r="E82" s="209">
        <v>3256000</v>
      </c>
      <c r="F82" s="212">
        <f t="shared" si="2"/>
        <v>3158320</v>
      </c>
      <c r="G82" s="206">
        <f t="shared" si="3"/>
        <v>3060640</v>
      </c>
      <c r="H82" s="258">
        <v>980.16</v>
      </c>
      <c r="I82" s="258">
        <v>771.77</v>
      </c>
      <c r="J82" s="217">
        <v>208.39</v>
      </c>
      <c r="K82" s="217" t="s">
        <v>2780</v>
      </c>
    </row>
    <row r="83" spans="1:11">
      <c r="A83" s="217">
        <v>80</v>
      </c>
      <c r="B83" s="218" t="s">
        <v>2867</v>
      </c>
      <c r="C83" s="217" t="s">
        <v>6</v>
      </c>
      <c r="D83" s="217" t="s">
        <v>24</v>
      </c>
      <c r="E83" s="209">
        <v>3221000</v>
      </c>
      <c r="F83" s="212">
        <f t="shared" si="2"/>
        <v>3124370</v>
      </c>
      <c r="G83" s="206">
        <f t="shared" si="3"/>
        <v>3027740</v>
      </c>
      <c r="H83" s="258">
        <v>980.16</v>
      </c>
      <c r="I83" s="258">
        <v>771.77</v>
      </c>
      <c r="J83" s="217">
        <v>208.39</v>
      </c>
      <c r="K83" s="217" t="s">
        <v>2785</v>
      </c>
    </row>
    <row r="84" spans="1:11">
      <c r="A84" s="217">
        <v>81</v>
      </c>
      <c r="B84" s="218" t="s">
        <v>2868</v>
      </c>
      <c r="C84" s="217" t="s">
        <v>6</v>
      </c>
      <c r="D84" s="217" t="s">
        <v>24</v>
      </c>
      <c r="E84" s="209">
        <v>3221000</v>
      </c>
      <c r="F84" s="212">
        <f t="shared" si="2"/>
        <v>3124370</v>
      </c>
      <c r="G84" s="206">
        <f t="shared" si="3"/>
        <v>3027740</v>
      </c>
      <c r="H84" s="258">
        <v>980.16</v>
      </c>
      <c r="I84" s="258">
        <v>771.77</v>
      </c>
      <c r="J84" s="217">
        <v>208.39</v>
      </c>
      <c r="K84" s="217" t="s">
        <v>2785</v>
      </c>
    </row>
    <row r="85" spans="1:11">
      <c r="A85" s="217">
        <v>82</v>
      </c>
      <c r="B85" s="218" t="s">
        <v>2869</v>
      </c>
      <c r="C85" s="217" t="s">
        <v>9</v>
      </c>
      <c r="D85" s="217" t="s">
        <v>24</v>
      </c>
      <c r="E85" s="209">
        <v>3250000</v>
      </c>
      <c r="F85" s="212">
        <f t="shared" si="2"/>
        <v>3152500</v>
      </c>
      <c r="G85" s="206">
        <f t="shared" si="3"/>
        <v>3055000</v>
      </c>
      <c r="H85" s="258">
        <v>980.16</v>
      </c>
      <c r="I85" s="258">
        <v>771.77</v>
      </c>
      <c r="J85" s="217">
        <v>208.39</v>
      </c>
      <c r="K85" s="217" t="s">
        <v>2780</v>
      </c>
    </row>
    <row r="86" spans="1:11">
      <c r="A86" s="217">
        <v>83</v>
      </c>
      <c r="B86" s="218" t="s">
        <v>2870</v>
      </c>
      <c r="C86" s="217" t="s">
        <v>9</v>
      </c>
      <c r="D86" s="217" t="s">
        <v>24</v>
      </c>
      <c r="E86" s="209">
        <v>3250000</v>
      </c>
      <c r="F86" s="212">
        <f t="shared" si="2"/>
        <v>3152500</v>
      </c>
      <c r="G86" s="206">
        <f t="shared" si="3"/>
        <v>3055000</v>
      </c>
      <c r="H86" s="258">
        <v>980.16</v>
      </c>
      <c r="I86" s="258">
        <v>771.77</v>
      </c>
      <c r="J86" s="217">
        <v>208.39</v>
      </c>
      <c r="K86" s="217" t="s">
        <v>2780</v>
      </c>
    </row>
    <row r="87" spans="1:11">
      <c r="A87" s="217">
        <v>84</v>
      </c>
      <c r="B87" s="218" t="s">
        <v>2871</v>
      </c>
      <c r="C87" s="217" t="s">
        <v>7</v>
      </c>
      <c r="D87" s="217" t="s">
        <v>24</v>
      </c>
      <c r="E87" s="209">
        <v>3215000</v>
      </c>
      <c r="F87" s="212">
        <f t="shared" si="2"/>
        <v>3118550</v>
      </c>
      <c r="G87" s="206">
        <f t="shared" si="3"/>
        <v>3022100</v>
      </c>
      <c r="H87" s="258">
        <v>980.16</v>
      </c>
      <c r="I87" s="258">
        <v>771.77</v>
      </c>
      <c r="J87" s="217">
        <v>208.39</v>
      </c>
      <c r="K87" s="217" t="s">
        <v>2785</v>
      </c>
    </row>
    <row r="88" spans="1:11">
      <c r="A88" s="217">
        <v>85</v>
      </c>
      <c r="B88" s="218" t="s">
        <v>2872</v>
      </c>
      <c r="C88" s="217" t="s">
        <v>7</v>
      </c>
      <c r="D88" s="217" t="s">
        <v>24</v>
      </c>
      <c r="E88" s="209">
        <v>3215000</v>
      </c>
      <c r="F88" s="212">
        <f t="shared" si="2"/>
        <v>3118550</v>
      </c>
      <c r="G88" s="206">
        <f t="shared" si="3"/>
        <v>3022100</v>
      </c>
      <c r="H88" s="258">
        <v>980.16</v>
      </c>
      <c r="I88" s="258">
        <v>771.77</v>
      </c>
      <c r="J88" s="217">
        <v>208.39</v>
      </c>
      <c r="K88" s="217" t="s">
        <v>2785</v>
      </c>
    </row>
    <row r="89" spans="1:11">
      <c r="A89" s="217">
        <v>86</v>
      </c>
      <c r="B89" s="218" t="s">
        <v>2873</v>
      </c>
      <c r="C89" s="217" t="s">
        <v>10</v>
      </c>
      <c r="D89" s="217" t="s">
        <v>24</v>
      </c>
      <c r="E89" s="209">
        <v>3243000</v>
      </c>
      <c r="F89" s="212">
        <f t="shared" si="2"/>
        <v>3145710</v>
      </c>
      <c r="G89" s="206">
        <f t="shared" si="3"/>
        <v>3048420</v>
      </c>
      <c r="H89" s="258">
        <v>980.16</v>
      </c>
      <c r="I89" s="258">
        <v>771.77</v>
      </c>
      <c r="J89" s="217">
        <v>208.39</v>
      </c>
      <c r="K89" s="217" t="s">
        <v>2780</v>
      </c>
    </row>
    <row r="90" spans="1:11">
      <c r="A90" s="217">
        <v>87</v>
      </c>
      <c r="B90" s="218" t="s">
        <v>2874</v>
      </c>
      <c r="C90" s="217" t="s">
        <v>10</v>
      </c>
      <c r="D90" s="217" t="s">
        <v>24</v>
      </c>
      <c r="E90" s="209">
        <v>3243000</v>
      </c>
      <c r="F90" s="212">
        <f t="shared" si="2"/>
        <v>3145710</v>
      </c>
      <c r="G90" s="206">
        <f t="shared" si="3"/>
        <v>3048420</v>
      </c>
      <c r="H90" s="258">
        <v>980.16</v>
      </c>
      <c r="I90" s="258">
        <v>771.77</v>
      </c>
      <c r="J90" s="217">
        <v>208.39</v>
      </c>
      <c r="K90" s="217" t="s">
        <v>2780</v>
      </c>
    </row>
    <row r="91" spans="1:11">
      <c r="A91" s="217">
        <v>88</v>
      </c>
      <c r="B91" s="218" t="s">
        <v>2875</v>
      </c>
      <c r="C91" s="217" t="s">
        <v>8</v>
      </c>
      <c r="D91" s="217" t="s">
        <v>24</v>
      </c>
      <c r="E91" s="209">
        <v>3209000</v>
      </c>
      <c r="F91" s="212">
        <f t="shared" si="2"/>
        <v>3112730</v>
      </c>
      <c r="G91" s="206">
        <f t="shared" si="3"/>
        <v>3016460</v>
      </c>
      <c r="H91" s="258">
        <v>980.16</v>
      </c>
      <c r="I91" s="258">
        <v>771.77</v>
      </c>
      <c r="J91" s="217">
        <v>208.39</v>
      </c>
      <c r="K91" s="217" t="s">
        <v>2785</v>
      </c>
    </row>
    <row r="92" spans="1:11">
      <c r="A92" s="217">
        <v>89</v>
      </c>
      <c r="B92" s="218" t="s">
        <v>2876</v>
      </c>
      <c r="C92" s="217" t="s">
        <v>8</v>
      </c>
      <c r="D92" s="217" t="s">
        <v>24</v>
      </c>
      <c r="E92" s="209">
        <v>3209000</v>
      </c>
      <c r="F92" s="212">
        <f t="shared" si="2"/>
        <v>3112730</v>
      </c>
      <c r="G92" s="206">
        <f t="shared" si="3"/>
        <v>3016460</v>
      </c>
      <c r="H92" s="258">
        <v>980.16</v>
      </c>
      <c r="I92" s="258">
        <v>771.77</v>
      </c>
      <c r="J92" s="217">
        <v>208.39</v>
      </c>
      <c r="K92" s="217" t="s">
        <v>2785</v>
      </c>
    </row>
    <row r="93" spans="1:11">
      <c r="A93" s="217">
        <v>90</v>
      </c>
      <c r="B93" s="218" t="s">
        <v>2877</v>
      </c>
      <c r="C93" s="217" t="s">
        <v>9</v>
      </c>
      <c r="D93" s="217" t="s">
        <v>24</v>
      </c>
      <c r="E93" s="209">
        <v>3203000</v>
      </c>
      <c r="F93" s="212">
        <f t="shared" si="2"/>
        <v>3106910</v>
      </c>
      <c r="G93" s="206">
        <f t="shared" si="3"/>
        <v>3010820</v>
      </c>
      <c r="H93" s="258">
        <v>980.16</v>
      </c>
      <c r="I93" s="258">
        <v>771.77</v>
      </c>
      <c r="J93" s="217">
        <v>208.39</v>
      </c>
      <c r="K93" s="217" t="s">
        <v>2785</v>
      </c>
    </row>
    <row r="94" spans="1:11">
      <c r="A94" s="217">
        <v>91</v>
      </c>
      <c r="B94" s="218" t="s">
        <v>2878</v>
      </c>
      <c r="C94" s="217" t="s">
        <v>9</v>
      </c>
      <c r="D94" s="217" t="s">
        <v>24</v>
      </c>
      <c r="E94" s="209">
        <v>3203000</v>
      </c>
      <c r="F94" s="212">
        <f t="shared" si="2"/>
        <v>3106910</v>
      </c>
      <c r="G94" s="206">
        <f t="shared" si="3"/>
        <v>3010820</v>
      </c>
      <c r="H94" s="258">
        <v>980.16</v>
      </c>
      <c r="I94" s="258">
        <v>771.77</v>
      </c>
      <c r="J94" s="217">
        <v>208.39</v>
      </c>
      <c r="K94" s="217" t="s">
        <v>2785</v>
      </c>
    </row>
    <row r="95" spans="1:11">
      <c r="A95" s="217">
        <v>92</v>
      </c>
      <c r="B95" s="218" t="s">
        <v>2879</v>
      </c>
      <c r="C95" s="217" t="s">
        <v>10</v>
      </c>
      <c r="D95" s="217" t="s">
        <v>24</v>
      </c>
      <c r="E95" s="209">
        <v>3200000</v>
      </c>
      <c r="F95" s="212">
        <f t="shared" si="2"/>
        <v>3104000</v>
      </c>
      <c r="G95" s="206">
        <f t="shared" si="3"/>
        <v>3008000</v>
      </c>
      <c r="H95" s="258">
        <v>980.16</v>
      </c>
      <c r="I95" s="258">
        <v>771.77</v>
      </c>
      <c r="J95" s="217">
        <v>208.39</v>
      </c>
      <c r="K95" s="217" t="s">
        <v>2785</v>
      </c>
    </row>
    <row r="96" spans="1:11">
      <c r="A96" s="217">
        <v>93</v>
      </c>
      <c r="B96" s="218" t="s">
        <v>2880</v>
      </c>
      <c r="C96" s="217" t="s">
        <v>10</v>
      </c>
      <c r="D96" s="217" t="s">
        <v>24</v>
      </c>
      <c r="E96" s="209">
        <v>3200000</v>
      </c>
      <c r="F96" s="212">
        <f t="shared" si="2"/>
        <v>3104000</v>
      </c>
      <c r="G96" s="206">
        <f t="shared" si="3"/>
        <v>3008000</v>
      </c>
      <c r="H96" s="258">
        <v>980.16</v>
      </c>
      <c r="I96" s="258">
        <v>771.77</v>
      </c>
      <c r="J96" s="217">
        <v>208.39</v>
      </c>
      <c r="K96" s="217" t="s">
        <v>2785</v>
      </c>
    </row>
    <row r="97" spans="1:11">
      <c r="A97" s="217">
        <v>94</v>
      </c>
      <c r="B97" s="218" t="s">
        <v>4552</v>
      </c>
      <c r="C97" s="217" t="s">
        <v>4459</v>
      </c>
      <c r="D97" s="217" t="s">
        <v>36</v>
      </c>
      <c r="E97" s="209">
        <v>2366000</v>
      </c>
      <c r="F97" s="212">
        <f t="shared" si="2"/>
        <v>2295020</v>
      </c>
      <c r="G97" s="206">
        <f t="shared" si="3"/>
        <v>2224040</v>
      </c>
      <c r="H97" s="258">
        <v>617.30999999999995</v>
      </c>
      <c r="I97" s="258">
        <v>549.82000000000005</v>
      </c>
      <c r="J97" s="217">
        <v>67.489999999999995</v>
      </c>
      <c r="K97" s="217" t="s">
        <v>2780</v>
      </c>
    </row>
    <row r="98" spans="1:11">
      <c r="A98" s="217">
        <v>95</v>
      </c>
      <c r="B98" s="218" t="s">
        <v>4553</v>
      </c>
      <c r="C98" s="217" t="s">
        <v>32</v>
      </c>
      <c r="D98" s="217" t="s">
        <v>36</v>
      </c>
      <c r="E98" s="209">
        <v>2337000</v>
      </c>
      <c r="F98" s="212">
        <f t="shared" si="2"/>
        <v>2266890</v>
      </c>
      <c r="G98" s="206">
        <f t="shared" si="3"/>
        <v>2196780</v>
      </c>
      <c r="H98" s="258">
        <v>617.30999999999995</v>
      </c>
      <c r="I98" s="258">
        <v>549.82000000000005</v>
      </c>
      <c r="J98" s="217">
        <v>67.489999999999995</v>
      </c>
      <c r="K98" s="217" t="s">
        <v>2785</v>
      </c>
    </row>
    <row r="99" spans="1:11">
      <c r="A99" s="217">
        <v>96</v>
      </c>
      <c r="B99" s="218" t="s">
        <v>2881</v>
      </c>
      <c r="C99" s="217" t="s">
        <v>10</v>
      </c>
      <c r="D99" s="217" t="s">
        <v>36</v>
      </c>
      <c r="E99" s="209">
        <v>2300000</v>
      </c>
      <c r="F99" s="212">
        <f t="shared" si="2"/>
        <v>2231000</v>
      </c>
      <c r="G99" s="206">
        <f t="shared" si="3"/>
        <v>2162000</v>
      </c>
      <c r="H99" s="258">
        <v>617.30999999999995</v>
      </c>
      <c r="I99" s="258">
        <v>549.82000000000005</v>
      </c>
      <c r="J99" s="217">
        <v>67.489999999999995</v>
      </c>
      <c r="K99" s="217" t="s">
        <v>2785</v>
      </c>
    </row>
    <row r="100" spans="1:11">
      <c r="A100" s="217">
        <v>97</v>
      </c>
      <c r="B100" s="218" t="s">
        <v>2882</v>
      </c>
      <c r="C100" s="217" t="s">
        <v>10</v>
      </c>
      <c r="D100" s="217" t="s">
        <v>36</v>
      </c>
      <c r="E100" s="209">
        <v>2300000</v>
      </c>
      <c r="F100" s="212">
        <f t="shared" si="2"/>
        <v>2231000</v>
      </c>
      <c r="G100" s="206">
        <f t="shared" si="3"/>
        <v>2162000</v>
      </c>
      <c r="H100" s="258">
        <v>617.30999999999995</v>
      </c>
      <c r="I100" s="258">
        <v>549.82000000000005</v>
      </c>
      <c r="J100" s="217">
        <v>67.489999999999995</v>
      </c>
      <c r="K100" s="217" t="s">
        <v>2785</v>
      </c>
    </row>
    <row r="101" spans="1:11">
      <c r="A101" s="217">
        <v>98</v>
      </c>
      <c r="B101" s="218" t="s">
        <v>2883</v>
      </c>
      <c r="C101" s="217" t="s">
        <v>4463</v>
      </c>
      <c r="D101" s="217" t="s">
        <v>35</v>
      </c>
      <c r="E101" s="209">
        <v>1403000</v>
      </c>
      <c r="F101" s="212">
        <f t="shared" si="2"/>
        <v>1360910</v>
      </c>
      <c r="G101" s="206">
        <f t="shared" si="3"/>
        <v>1318820</v>
      </c>
      <c r="H101" s="258">
        <v>401.82</v>
      </c>
      <c r="I101" s="258">
        <v>292.45999999999998</v>
      </c>
      <c r="J101" s="217">
        <v>109.36</v>
      </c>
      <c r="K101" s="217" t="s">
        <v>2461</v>
      </c>
    </row>
    <row r="102" spans="1:11">
      <c r="A102" s="217">
        <v>99</v>
      </c>
      <c r="B102" s="218" t="s">
        <v>2884</v>
      </c>
      <c r="C102" s="217" t="s">
        <v>4463</v>
      </c>
      <c r="D102" s="217" t="s">
        <v>35</v>
      </c>
      <c r="E102" s="209">
        <v>1400000</v>
      </c>
      <c r="F102" s="212">
        <f t="shared" si="2"/>
        <v>1358000</v>
      </c>
      <c r="G102" s="206">
        <f t="shared" si="3"/>
        <v>1316000</v>
      </c>
      <c r="H102" s="258">
        <v>386.85</v>
      </c>
      <c r="I102" s="258">
        <v>292.45999999999998</v>
      </c>
      <c r="J102" s="217">
        <v>94.4</v>
      </c>
      <c r="K102" s="217" t="s">
        <v>2461</v>
      </c>
    </row>
    <row r="103" spans="1:11">
      <c r="A103" s="217">
        <v>100</v>
      </c>
      <c r="B103" s="218" t="s">
        <v>2885</v>
      </c>
      <c r="C103" s="217" t="s">
        <v>4463</v>
      </c>
      <c r="D103" s="217" t="s">
        <v>35</v>
      </c>
      <c r="E103" s="209">
        <v>1400000</v>
      </c>
      <c r="F103" s="212">
        <f t="shared" si="2"/>
        <v>1358000</v>
      </c>
      <c r="G103" s="206">
        <f t="shared" si="3"/>
        <v>1316000</v>
      </c>
      <c r="H103" s="258">
        <v>386.85</v>
      </c>
      <c r="I103" s="258">
        <v>292.45999999999998</v>
      </c>
      <c r="J103" s="217">
        <v>94.4</v>
      </c>
      <c r="K103" s="217" t="s">
        <v>2461</v>
      </c>
    </row>
    <row r="104" spans="1:11">
      <c r="A104" s="217">
        <v>101</v>
      </c>
      <c r="B104" s="218" t="s">
        <v>2886</v>
      </c>
      <c r="C104" s="217" t="s">
        <v>4463</v>
      </c>
      <c r="D104" s="217" t="s">
        <v>35</v>
      </c>
      <c r="E104" s="209">
        <v>1400000</v>
      </c>
      <c r="F104" s="212">
        <f t="shared" si="2"/>
        <v>1358000</v>
      </c>
      <c r="G104" s="206">
        <f t="shared" si="3"/>
        <v>1316000</v>
      </c>
      <c r="H104" s="258">
        <v>386.85</v>
      </c>
      <c r="I104" s="258">
        <v>292.45999999999998</v>
      </c>
      <c r="J104" s="217">
        <v>94.4</v>
      </c>
      <c r="K104" s="217" t="s">
        <v>3607</v>
      </c>
    </row>
    <row r="105" spans="1:11">
      <c r="A105" s="217">
        <v>102</v>
      </c>
      <c r="B105" s="218" t="s">
        <v>2887</v>
      </c>
      <c r="C105" s="217" t="s">
        <v>4463</v>
      </c>
      <c r="D105" s="217" t="s">
        <v>35</v>
      </c>
      <c r="E105" s="209">
        <v>1400000</v>
      </c>
      <c r="F105" s="212">
        <f t="shared" si="2"/>
        <v>1358000</v>
      </c>
      <c r="G105" s="206">
        <f t="shared" si="3"/>
        <v>1316000</v>
      </c>
      <c r="H105" s="258">
        <v>386.85</v>
      </c>
      <c r="I105" s="258">
        <v>292.45999999999998</v>
      </c>
      <c r="J105" s="217">
        <v>94.4</v>
      </c>
      <c r="K105" s="217" t="s">
        <v>3607</v>
      </c>
    </row>
    <row r="106" spans="1:11">
      <c r="A106" s="217">
        <v>103</v>
      </c>
      <c r="B106" s="218" t="s">
        <v>2888</v>
      </c>
      <c r="C106" s="217" t="s">
        <v>4462</v>
      </c>
      <c r="D106" s="217" t="s">
        <v>35</v>
      </c>
      <c r="E106" s="209">
        <v>1404000</v>
      </c>
      <c r="F106" s="212">
        <f t="shared" si="2"/>
        <v>1361880</v>
      </c>
      <c r="G106" s="206">
        <f t="shared" si="3"/>
        <v>1319760</v>
      </c>
      <c r="H106" s="258">
        <v>361.13</v>
      </c>
      <c r="I106" s="258">
        <v>292.45999999999998</v>
      </c>
      <c r="J106" s="217">
        <v>68.67</v>
      </c>
      <c r="K106" s="217" t="s">
        <v>2461</v>
      </c>
    </row>
    <row r="107" spans="1:11">
      <c r="A107" s="217">
        <v>104</v>
      </c>
      <c r="B107" s="218" t="s">
        <v>2889</v>
      </c>
      <c r="C107" s="217" t="s">
        <v>4462</v>
      </c>
      <c r="D107" s="217" t="s">
        <v>35</v>
      </c>
      <c r="E107" s="209">
        <v>1404000</v>
      </c>
      <c r="F107" s="212">
        <f t="shared" si="2"/>
        <v>1361880</v>
      </c>
      <c r="G107" s="206">
        <f t="shared" si="3"/>
        <v>1319760</v>
      </c>
      <c r="H107" s="258">
        <v>361.13</v>
      </c>
      <c r="I107" s="258">
        <v>292.45999999999998</v>
      </c>
      <c r="J107" s="217">
        <v>68.67</v>
      </c>
      <c r="K107" s="217" t="s">
        <v>3607</v>
      </c>
    </row>
    <row r="108" spans="1:11">
      <c r="A108" s="217">
        <v>105</v>
      </c>
      <c r="B108" s="218" t="s">
        <v>2890</v>
      </c>
      <c r="C108" s="217" t="s">
        <v>4462</v>
      </c>
      <c r="D108" s="217" t="s">
        <v>35</v>
      </c>
      <c r="E108" s="209">
        <v>1400000</v>
      </c>
      <c r="F108" s="212">
        <f t="shared" si="2"/>
        <v>1358000</v>
      </c>
      <c r="G108" s="206">
        <f t="shared" si="3"/>
        <v>1316000</v>
      </c>
      <c r="H108" s="258">
        <v>401.82</v>
      </c>
      <c r="I108" s="258">
        <v>292.45999999999998</v>
      </c>
      <c r="J108" s="217">
        <v>109.36</v>
      </c>
      <c r="K108" s="217" t="s">
        <v>2461</v>
      </c>
    </row>
    <row r="109" spans="1:11">
      <c r="A109" s="217">
        <v>106</v>
      </c>
      <c r="B109" s="218" t="s">
        <v>2891</v>
      </c>
      <c r="C109" s="217" t="s">
        <v>4462</v>
      </c>
      <c r="D109" s="217" t="s">
        <v>35</v>
      </c>
      <c r="E109" s="209">
        <v>1400000</v>
      </c>
      <c r="F109" s="212">
        <f t="shared" si="2"/>
        <v>1358000</v>
      </c>
      <c r="G109" s="206">
        <f t="shared" si="3"/>
        <v>1316000</v>
      </c>
      <c r="H109" s="258">
        <v>401.82</v>
      </c>
      <c r="I109" s="258">
        <v>292.45999999999998</v>
      </c>
      <c r="J109" s="217">
        <v>109.36</v>
      </c>
      <c r="K109" s="217" t="s">
        <v>2461</v>
      </c>
    </row>
    <row r="110" spans="1:11">
      <c r="A110" s="217">
        <v>107</v>
      </c>
      <c r="B110" s="218" t="s">
        <v>2892</v>
      </c>
      <c r="C110" s="217" t="s">
        <v>4462</v>
      </c>
      <c r="D110" s="217" t="s">
        <v>35</v>
      </c>
      <c r="E110" s="209">
        <v>1400000</v>
      </c>
      <c r="F110" s="212">
        <f t="shared" si="2"/>
        <v>1358000</v>
      </c>
      <c r="G110" s="206">
        <f t="shared" si="3"/>
        <v>1316000</v>
      </c>
      <c r="H110" s="258">
        <v>401.82</v>
      </c>
      <c r="I110" s="258">
        <v>292.45999999999998</v>
      </c>
      <c r="J110" s="217">
        <v>109.36</v>
      </c>
      <c r="K110" s="217" t="s">
        <v>3607</v>
      </c>
    </row>
    <row r="111" spans="1:11">
      <c r="A111" s="217">
        <v>108</v>
      </c>
      <c r="B111" s="218" t="s">
        <v>2893</v>
      </c>
      <c r="C111" s="217" t="s">
        <v>4463</v>
      </c>
      <c r="D111" s="217" t="s">
        <v>35</v>
      </c>
      <c r="E111" s="209">
        <v>1398000</v>
      </c>
      <c r="F111" s="212">
        <f t="shared" si="2"/>
        <v>1356060</v>
      </c>
      <c r="G111" s="206">
        <f t="shared" si="3"/>
        <v>1314120</v>
      </c>
      <c r="H111" s="258">
        <v>341.11</v>
      </c>
      <c r="I111" s="258">
        <v>293.95999999999998</v>
      </c>
      <c r="J111" s="217">
        <v>47.15</v>
      </c>
      <c r="K111" s="217" t="s">
        <v>2461</v>
      </c>
    </row>
    <row r="112" spans="1:11">
      <c r="A112" s="217">
        <v>109</v>
      </c>
      <c r="B112" s="218" t="s">
        <v>2894</v>
      </c>
      <c r="C112" s="217" t="s">
        <v>4463</v>
      </c>
      <c r="D112" s="217" t="s">
        <v>35</v>
      </c>
      <c r="E112" s="209">
        <v>1397000</v>
      </c>
      <c r="F112" s="212">
        <f t="shared" si="2"/>
        <v>1355090</v>
      </c>
      <c r="G112" s="206">
        <f t="shared" si="3"/>
        <v>1313180</v>
      </c>
      <c r="H112" s="258">
        <v>375.34</v>
      </c>
      <c r="I112" s="258">
        <v>292.45999999999998</v>
      </c>
      <c r="J112" s="217">
        <v>82.88</v>
      </c>
      <c r="K112" s="217" t="s">
        <v>2461</v>
      </c>
    </row>
    <row r="113" spans="1:11">
      <c r="A113" s="217">
        <v>110</v>
      </c>
      <c r="B113" s="218" t="s">
        <v>2895</v>
      </c>
      <c r="C113" s="217" t="s">
        <v>4463</v>
      </c>
      <c r="D113" s="217" t="s">
        <v>35</v>
      </c>
      <c r="E113" s="209">
        <v>1397000</v>
      </c>
      <c r="F113" s="212">
        <f t="shared" si="2"/>
        <v>1355090</v>
      </c>
      <c r="G113" s="206">
        <f t="shared" si="3"/>
        <v>1313180</v>
      </c>
      <c r="H113" s="258">
        <v>375.34</v>
      </c>
      <c r="I113" s="258">
        <v>292.45999999999998</v>
      </c>
      <c r="J113" s="217">
        <v>82.88</v>
      </c>
      <c r="K113" s="217" t="s">
        <v>2461</v>
      </c>
    </row>
    <row r="114" spans="1:11">
      <c r="A114" s="217">
        <v>111</v>
      </c>
      <c r="B114" s="218" t="s">
        <v>2896</v>
      </c>
      <c r="C114" s="217" t="s">
        <v>4463</v>
      </c>
      <c r="D114" s="217" t="s">
        <v>35</v>
      </c>
      <c r="E114" s="209">
        <v>1397000</v>
      </c>
      <c r="F114" s="212">
        <f t="shared" si="2"/>
        <v>1355090</v>
      </c>
      <c r="G114" s="206">
        <f t="shared" si="3"/>
        <v>1313180</v>
      </c>
      <c r="H114" s="258">
        <v>375.34</v>
      </c>
      <c r="I114" s="258">
        <v>292.45999999999998</v>
      </c>
      <c r="J114" s="217">
        <v>82.88</v>
      </c>
      <c r="K114" s="217" t="s">
        <v>3607</v>
      </c>
    </row>
    <row r="115" spans="1:11">
      <c r="A115" s="217">
        <v>112</v>
      </c>
      <c r="B115" s="218" t="s">
        <v>2897</v>
      </c>
      <c r="C115" s="217" t="s">
        <v>4462</v>
      </c>
      <c r="D115" s="217" t="s">
        <v>35</v>
      </c>
      <c r="E115" s="209">
        <v>1399000</v>
      </c>
      <c r="F115" s="212">
        <f t="shared" si="2"/>
        <v>1357030</v>
      </c>
      <c r="G115" s="206">
        <f t="shared" si="3"/>
        <v>1315060</v>
      </c>
      <c r="H115" s="258">
        <v>395.68</v>
      </c>
      <c r="I115" s="258">
        <v>292.45999999999998</v>
      </c>
      <c r="J115" s="217">
        <v>103.23</v>
      </c>
      <c r="K115" s="217" t="s">
        <v>2461</v>
      </c>
    </row>
    <row r="116" spans="1:11">
      <c r="A116" s="217">
        <v>113</v>
      </c>
      <c r="B116" s="218" t="s">
        <v>2898</v>
      </c>
      <c r="C116" s="217" t="s">
        <v>4462</v>
      </c>
      <c r="D116" s="217" t="s">
        <v>35</v>
      </c>
      <c r="E116" s="209">
        <v>1399000</v>
      </c>
      <c r="F116" s="212">
        <f t="shared" si="2"/>
        <v>1357030</v>
      </c>
      <c r="G116" s="206">
        <f t="shared" si="3"/>
        <v>1315060</v>
      </c>
      <c r="H116" s="258">
        <v>395.68</v>
      </c>
      <c r="I116" s="258">
        <v>292.45999999999998</v>
      </c>
      <c r="J116" s="217">
        <v>103.23</v>
      </c>
      <c r="K116" s="217" t="s">
        <v>2461</v>
      </c>
    </row>
    <row r="117" spans="1:11">
      <c r="A117" s="217">
        <v>114</v>
      </c>
      <c r="B117" s="218" t="s">
        <v>2899</v>
      </c>
      <c r="C117" s="217" t="s">
        <v>4462</v>
      </c>
      <c r="D117" s="217" t="s">
        <v>35</v>
      </c>
      <c r="E117" s="209">
        <v>1399000</v>
      </c>
      <c r="F117" s="212">
        <f t="shared" si="2"/>
        <v>1357030</v>
      </c>
      <c r="G117" s="206">
        <f t="shared" si="3"/>
        <v>1315060</v>
      </c>
      <c r="H117" s="258">
        <v>395.68</v>
      </c>
      <c r="I117" s="258">
        <v>292.45999999999998</v>
      </c>
      <c r="J117" s="217">
        <v>103.23</v>
      </c>
      <c r="K117" s="217" t="s">
        <v>3607</v>
      </c>
    </row>
    <row r="118" spans="1:11">
      <c r="A118" s="217">
        <v>115</v>
      </c>
      <c r="B118" s="218" t="s">
        <v>2900</v>
      </c>
      <c r="C118" s="217" t="s">
        <v>4462</v>
      </c>
      <c r="D118" s="217" t="s">
        <v>35</v>
      </c>
      <c r="E118" s="209">
        <v>1399000</v>
      </c>
      <c r="F118" s="212">
        <f t="shared" si="2"/>
        <v>1357030</v>
      </c>
      <c r="G118" s="206">
        <f t="shared" si="3"/>
        <v>1315060</v>
      </c>
      <c r="H118" s="258">
        <v>395.68</v>
      </c>
      <c r="I118" s="258">
        <v>292.45999999999998</v>
      </c>
      <c r="J118" s="217">
        <v>103.23</v>
      </c>
      <c r="K118" s="217" t="s">
        <v>3607</v>
      </c>
    </row>
    <row r="119" spans="1:11">
      <c r="A119" s="217">
        <v>116</v>
      </c>
      <c r="B119" s="218" t="s">
        <v>2901</v>
      </c>
      <c r="C119" s="217" t="s">
        <v>4462</v>
      </c>
      <c r="D119" s="217" t="s">
        <v>35</v>
      </c>
      <c r="E119" s="209">
        <v>1398000</v>
      </c>
      <c r="F119" s="212">
        <f t="shared" si="2"/>
        <v>1356060</v>
      </c>
      <c r="G119" s="206">
        <f t="shared" si="3"/>
        <v>1314120</v>
      </c>
      <c r="H119" s="258">
        <v>386.85</v>
      </c>
      <c r="I119" s="258">
        <v>292.45999999999998</v>
      </c>
      <c r="J119" s="217">
        <v>94.4</v>
      </c>
      <c r="K119" s="217" t="s">
        <v>2461</v>
      </c>
    </row>
    <row r="120" spans="1:11">
      <c r="A120" s="217">
        <v>117</v>
      </c>
      <c r="B120" s="218" t="s">
        <v>2902</v>
      </c>
      <c r="C120" s="217" t="s">
        <v>4462</v>
      </c>
      <c r="D120" s="217" t="s">
        <v>35</v>
      </c>
      <c r="E120" s="209">
        <v>1398000</v>
      </c>
      <c r="F120" s="212">
        <f t="shared" si="2"/>
        <v>1356060</v>
      </c>
      <c r="G120" s="206">
        <f t="shared" si="3"/>
        <v>1314120</v>
      </c>
      <c r="H120" s="258">
        <v>386.85</v>
      </c>
      <c r="I120" s="258">
        <v>292.45999999999998</v>
      </c>
      <c r="J120" s="217">
        <v>94.4</v>
      </c>
      <c r="K120" s="217" t="s">
        <v>2461</v>
      </c>
    </row>
    <row r="121" spans="1:11">
      <c r="A121" s="217">
        <v>118</v>
      </c>
      <c r="B121" s="218" t="s">
        <v>2903</v>
      </c>
      <c r="C121" s="217" t="s">
        <v>4462</v>
      </c>
      <c r="D121" s="217" t="s">
        <v>35</v>
      </c>
      <c r="E121" s="209">
        <v>1398000</v>
      </c>
      <c r="F121" s="212">
        <f t="shared" si="2"/>
        <v>1356060</v>
      </c>
      <c r="G121" s="206">
        <f t="shared" si="3"/>
        <v>1314120</v>
      </c>
      <c r="H121" s="258">
        <v>386.85</v>
      </c>
      <c r="I121" s="258">
        <v>292.45999999999998</v>
      </c>
      <c r="J121" s="217">
        <v>94.4</v>
      </c>
      <c r="K121" s="217" t="s">
        <v>3607</v>
      </c>
    </row>
    <row r="122" spans="1:11">
      <c r="A122" s="217">
        <v>119</v>
      </c>
      <c r="B122" s="218" t="s">
        <v>2904</v>
      </c>
      <c r="C122" s="217" t="s">
        <v>4462</v>
      </c>
      <c r="D122" s="217" t="s">
        <v>35</v>
      </c>
      <c r="E122" s="209">
        <v>1398000</v>
      </c>
      <c r="F122" s="212">
        <f t="shared" si="2"/>
        <v>1356060</v>
      </c>
      <c r="G122" s="206">
        <f t="shared" si="3"/>
        <v>1314120</v>
      </c>
      <c r="H122" s="258">
        <v>386.85</v>
      </c>
      <c r="I122" s="258">
        <v>292.45999999999998</v>
      </c>
      <c r="J122" s="217">
        <v>94.4</v>
      </c>
      <c r="K122" s="217" t="s">
        <v>3607</v>
      </c>
    </row>
    <row r="123" spans="1:11">
      <c r="A123" s="217">
        <v>120</v>
      </c>
      <c r="B123" s="218" t="s">
        <v>2905</v>
      </c>
      <c r="C123" s="217" t="s">
        <v>4495</v>
      </c>
      <c r="D123" s="217" t="s">
        <v>35</v>
      </c>
      <c r="E123" s="209">
        <v>1401000</v>
      </c>
      <c r="F123" s="212">
        <f t="shared" si="2"/>
        <v>1358970</v>
      </c>
      <c r="G123" s="206">
        <f t="shared" si="3"/>
        <v>1316940</v>
      </c>
      <c r="H123" s="258">
        <v>361.13</v>
      </c>
      <c r="I123" s="258">
        <v>292.45999999999998</v>
      </c>
      <c r="J123" s="217">
        <v>68.67</v>
      </c>
      <c r="K123" s="217" t="s">
        <v>2461</v>
      </c>
    </row>
    <row r="124" spans="1:11">
      <c r="A124" s="217">
        <v>121</v>
      </c>
      <c r="B124" s="218" t="s">
        <v>2906</v>
      </c>
      <c r="C124" s="217" t="s">
        <v>4495</v>
      </c>
      <c r="D124" s="217" t="s">
        <v>35</v>
      </c>
      <c r="E124" s="209">
        <v>1401000</v>
      </c>
      <c r="F124" s="212">
        <f t="shared" si="2"/>
        <v>1358970</v>
      </c>
      <c r="G124" s="206">
        <f t="shared" si="3"/>
        <v>1316940</v>
      </c>
      <c r="H124" s="258">
        <v>361.13</v>
      </c>
      <c r="I124" s="258">
        <v>292.45999999999998</v>
      </c>
      <c r="J124" s="217">
        <v>68.67</v>
      </c>
      <c r="K124" s="217" t="s">
        <v>2461</v>
      </c>
    </row>
    <row r="125" spans="1:11">
      <c r="A125" s="217">
        <v>122</v>
      </c>
      <c r="B125" s="218" t="s">
        <v>2907</v>
      </c>
      <c r="C125" s="217" t="s">
        <v>4495</v>
      </c>
      <c r="D125" s="217" t="s">
        <v>35</v>
      </c>
      <c r="E125" s="209">
        <v>1401000</v>
      </c>
      <c r="F125" s="212">
        <f t="shared" si="2"/>
        <v>1358970</v>
      </c>
      <c r="G125" s="206">
        <f t="shared" si="3"/>
        <v>1316940</v>
      </c>
      <c r="H125" s="258">
        <v>361.13</v>
      </c>
      <c r="I125" s="258">
        <v>292.45999999999998</v>
      </c>
      <c r="J125" s="217">
        <v>68.67</v>
      </c>
      <c r="K125" s="217" t="s">
        <v>3607</v>
      </c>
    </row>
    <row r="126" spans="1:11">
      <c r="A126" s="217">
        <v>123</v>
      </c>
      <c r="B126" s="218" t="s">
        <v>2908</v>
      </c>
      <c r="C126" s="217" t="s">
        <v>4495</v>
      </c>
      <c r="D126" s="217" t="s">
        <v>35</v>
      </c>
      <c r="E126" s="209">
        <v>1398000</v>
      </c>
      <c r="F126" s="212">
        <f t="shared" si="2"/>
        <v>1356060</v>
      </c>
      <c r="G126" s="206">
        <f t="shared" si="3"/>
        <v>1314120</v>
      </c>
      <c r="H126" s="258">
        <v>401.82</v>
      </c>
      <c r="I126" s="258">
        <v>292.45999999999998</v>
      </c>
      <c r="J126" s="217">
        <v>109.36</v>
      </c>
      <c r="K126" s="217" t="s">
        <v>2461</v>
      </c>
    </row>
    <row r="127" spans="1:11">
      <c r="A127" s="217">
        <v>124</v>
      </c>
      <c r="B127" s="218" t="s">
        <v>2909</v>
      </c>
      <c r="C127" s="217" t="s">
        <v>4495</v>
      </c>
      <c r="D127" s="217" t="s">
        <v>35</v>
      </c>
      <c r="E127" s="209">
        <v>1398000</v>
      </c>
      <c r="F127" s="212">
        <f t="shared" si="2"/>
        <v>1356060</v>
      </c>
      <c r="G127" s="206">
        <f t="shared" si="3"/>
        <v>1314120</v>
      </c>
      <c r="H127" s="258">
        <v>401.82</v>
      </c>
      <c r="I127" s="258">
        <v>292.45999999999998</v>
      </c>
      <c r="J127" s="217">
        <v>109.36</v>
      </c>
      <c r="K127" s="217" t="s">
        <v>2461</v>
      </c>
    </row>
    <row r="128" spans="1:11">
      <c r="A128" s="217">
        <v>125</v>
      </c>
      <c r="B128" s="218" t="s">
        <v>2910</v>
      </c>
      <c r="C128" s="217" t="s">
        <v>4495</v>
      </c>
      <c r="D128" s="217" t="s">
        <v>35</v>
      </c>
      <c r="E128" s="209">
        <v>1398000</v>
      </c>
      <c r="F128" s="212">
        <f t="shared" si="2"/>
        <v>1356060</v>
      </c>
      <c r="G128" s="206">
        <f t="shared" si="3"/>
        <v>1314120</v>
      </c>
      <c r="H128" s="258">
        <v>401.82</v>
      </c>
      <c r="I128" s="258">
        <v>292.45999999999998</v>
      </c>
      <c r="J128" s="217">
        <v>109.36</v>
      </c>
      <c r="K128" s="217" t="s">
        <v>3607</v>
      </c>
    </row>
    <row r="129" spans="1:11">
      <c r="A129" s="217">
        <v>126</v>
      </c>
      <c r="B129" s="218" t="s">
        <v>2911</v>
      </c>
      <c r="C129" s="217" t="s">
        <v>4495</v>
      </c>
      <c r="D129" s="217" t="s">
        <v>35</v>
      </c>
      <c r="E129" s="209">
        <v>1398000</v>
      </c>
      <c r="F129" s="212">
        <f t="shared" si="2"/>
        <v>1356060</v>
      </c>
      <c r="G129" s="206">
        <f t="shared" si="3"/>
        <v>1314120</v>
      </c>
      <c r="H129" s="258">
        <v>401.82</v>
      </c>
      <c r="I129" s="258">
        <v>292.45999999999998</v>
      </c>
      <c r="J129" s="217">
        <v>109.36</v>
      </c>
      <c r="K129" s="217" t="s">
        <v>3607</v>
      </c>
    </row>
    <row r="130" spans="1:11">
      <c r="A130" s="217">
        <v>127</v>
      </c>
      <c r="B130" s="218" t="s">
        <v>2912</v>
      </c>
      <c r="C130" s="217" t="s">
        <v>4462</v>
      </c>
      <c r="D130" s="217" t="s">
        <v>35</v>
      </c>
      <c r="E130" s="209">
        <v>1395000</v>
      </c>
      <c r="F130" s="212">
        <f t="shared" si="2"/>
        <v>1353150</v>
      </c>
      <c r="G130" s="206">
        <f t="shared" si="3"/>
        <v>1311300</v>
      </c>
      <c r="H130" s="258">
        <v>341.11</v>
      </c>
      <c r="I130" s="258">
        <v>293.95999999999998</v>
      </c>
      <c r="J130" s="217">
        <v>47.15</v>
      </c>
      <c r="K130" s="217" t="s">
        <v>2461</v>
      </c>
    </row>
    <row r="131" spans="1:11">
      <c r="A131" s="217">
        <v>128</v>
      </c>
      <c r="B131" s="218" t="s">
        <v>2913</v>
      </c>
      <c r="C131" s="217" t="s">
        <v>4462</v>
      </c>
      <c r="D131" s="217" t="s">
        <v>35</v>
      </c>
      <c r="E131" s="209">
        <v>1394000</v>
      </c>
      <c r="F131" s="212">
        <f t="shared" ref="F131:F194" si="4">E131*0.97</f>
        <v>1352180</v>
      </c>
      <c r="G131" s="206">
        <f t="shared" ref="G131:G194" si="5">E131*0.94</f>
        <v>1310360</v>
      </c>
      <c r="H131" s="258">
        <v>375.34</v>
      </c>
      <c r="I131" s="258">
        <v>292.45999999999998</v>
      </c>
      <c r="J131" s="217">
        <v>82.88</v>
      </c>
      <c r="K131" s="217" t="s">
        <v>2461</v>
      </c>
    </row>
    <row r="132" spans="1:11">
      <c r="A132" s="217">
        <v>129</v>
      </c>
      <c r="B132" s="218" t="s">
        <v>2914</v>
      </c>
      <c r="C132" s="217" t="s">
        <v>4462</v>
      </c>
      <c r="D132" s="217" t="s">
        <v>35</v>
      </c>
      <c r="E132" s="209">
        <v>1394000</v>
      </c>
      <c r="F132" s="212">
        <f t="shared" si="4"/>
        <v>1352180</v>
      </c>
      <c r="G132" s="206">
        <f t="shared" si="5"/>
        <v>1310360</v>
      </c>
      <c r="H132" s="258">
        <v>375.34</v>
      </c>
      <c r="I132" s="258">
        <v>292.45999999999998</v>
      </c>
      <c r="J132" s="217">
        <v>82.88</v>
      </c>
      <c r="K132" s="217" t="s">
        <v>2461</v>
      </c>
    </row>
    <row r="133" spans="1:11">
      <c r="A133" s="217">
        <v>130</v>
      </c>
      <c r="B133" s="218" t="s">
        <v>2915</v>
      </c>
      <c r="C133" s="217" t="s">
        <v>4462</v>
      </c>
      <c r="D133" s="217" t="s">
        <v>35</v>
      </c>
      <c r="E133" s="209">
        <v>1394000</v>
      </c>
      <c r="F133" s="212">
        <f t="shared" si="4"/>
        <v>1352180</v>
      </c>
      <c r="G133" s="206">
        <f t="shared" si="5"/>
        <v>1310360</v>
      </c>
      <c r="H133" s="258">
        <v>375.34</v>
      </c>
      <c r="I133" s="258">
        <v>292.45999999999998</v>
      </c>
      <c r="J133" s="217">
        <v>82.88</v>
      </c>
      <c r="K133" s="217" t="s">
        <v>3607</v>
      </c>
    </row>
    <row r="134" spans="1:11">
      <c r="A134" s="217">
        <v>131</v>
      </c>
      <c r="B134" s="218" t="s">
        <v>2916</v>
      </c>
      <c r="C134" s="217" t="s">
        <v>4494</v>
      </c>
      <c r="D134" s="217" t="s">
        <v>35</v>
      </c>
      <c r="E134" s="209">
        <v>1398000</v>
      </c>
      <c r="F134" s="212">
        <f t="shared" si="4"/>
        <v>1356060</v>
      </c>
      <c r="G134" s="206">
        <f t="shared" si="5"/>
        <v>1314120</v>
      </c>
      <c r="H134" s="258">
        <v>361.13</v>
      </c>
      <c r="I134" s="258">
        <v>292.45999999999998</v>
      </c>
      <c r="J134" s="217">
        <v>68.67</v>
      </c>
      <c r="K134" s="217" t="s">
        <v>3607</v>
      </c>
    </row>
    <row r="135" spans="1:11">
      <c r="A135" s="217">
        <v>132</v>
      </c>
      <c r="B135" s="218" t="s">
        <v>4637</v>
      </c>
      <c r="C135" s="217" t="s">
        <v>4495</v>
      </c>
      <c r="D135" s="217" t="s">
        <v>35</v>
      </c>
      <c r="E135" s="209">
        <v>1396000</v>
      </c>
      <c r="F135" s="212">
        <f t="shared" si="4"/>
        <v>1354120</v>
      </c>
      <c r="G135" s="206">
        <f t="shared" si="5"/>
        <v>1312240</v>
      </c>
      <c r="H135" s="258">
        <v>395.68</v>
      </c>
      <c r="I135" s="258">
        <v>292.45999999999998</v>
      </c>
      <c r="J135" s="217">
        <v>103.23</v>
      </c>
      <c r="K135" s="217" t="s">
        <v>2461</v>
      </c>
    </row>
    <row r="136" spans="1:11">
      <c r="A136" s="217">
        <v>133</v>
      </c>
      <c r="B136" s="218" t="s">
        <v>2917</v>
      </c>
      <c r="C136" s="217" t="s">
        <v>4495</v>
      </c>
      <c r="D136" s="217" t="s">
        <v>35</v>
      </c>
      <c r="E136" s="209">
        <v>1396000</v>
      </c>
      <c r="F136" s="212">
        <f t="shared" si="4"/>
        <v>1354120</v>
      </c>
      <c r="G136" s="206">
        <f t="shared" si="5"/>
        <v>1312240</v>
      </c>
      <c r="H136" s="258">
        <v>395.68</v>
      </c>
      <c r="I136" s="258">
        <v>292.45999999999998</v>
      </c>
      <c r="J136" s="217">
        <v>103.23</v>
      </c>
      <c r="K136" s="217" t="s">
        <v>2461</v>
      </c>
    </row>
    <row r="137" spans="1:11">
      <c r="A137" s="217">
        <v>134</v>
      </c>
      <c r="B137" s="218" t="s">
        <v>2918</v>
      </c>
      <c r="C137" s="217" t="s">
        <v>4495</v>
      </c>
      <c r="D137" s="217" t="s">
        <v>35</v>
      </c>
      <c r="E137" s="209">
        <v>1396000</v>
      </c>
      <c r="F137" s="212">
        <f t="shared" si="4"/>
        <v>1354120</v>
      </c>
      <c r="G137" s="206">
        <f t="shared" si="5"/>
        <v>1312240</v>
      </c>
      <c r="H137" s="258">
        <v>395.68</v>
      </c>
      <c r="I137" s="258">
        <v>292.45999999999998</v>
      </c>
      <c r="J137" s="217">
        <v>103.23</v>
      </c>
      <c r="K137" s="217" t="s">
        <v>3607</v>
      </c>
    </row>
    <row r="138" spans="1:11">
      <c r="A138" s="217">
        <v>135</v>
      </c>
      <c r="B138" s="218" t="s">
        <v>2919</v>
      </c>
      <c r="C138" s="217" t="s">
        <v>4495</v>
      </c>
      <c r="D138" s="217" t="s">
        <v>35</v>
      </c>
      <c r="E138" s="209">
        <v>1396000</v>
      </c>
      <c r="F138" s="212">
        <f t="shared" si="4"/>
        <v>1354120</v>
      </c>
      <c r="G138" s="206">
        <f t="shared" si="5"/>
        <v>1312240</v>
      </c>
      <c r="H138" s="258">
        <v>395.68</v>
      </c>
      <c r="I138" s="258">
        <v>292.45999999999998</v>
      </c>
      <c r="J138" s="217">
        <v>103.23</v>
      </c>
      <c r="K138" s="217" t="s">
        <v>3607</v>
      </c>
    </row>
    <row r="139" spans="1:11">
      <c r="A139" s="217">
        <v>136</v>
      </c>
      <c r="B139" s="218" t="s">
        <v>2920</v>
      </c>
      <c r="C139" s="217" t="s">
        <v>4494</v>
      </c>
      <c r="D139" s="217" t="s">
        <v>35</v>
      </c>
      <c r="E139" s="209">
        <v>1398000</v>
      </c>
      <c r="F139" s="212">
        <f t="shared" si="4"/>
        <v>1356060</v>
      </c>
      <c r="G139" s="206">
        <f t="shared" si="5"/>
        <v>1314120</v>
      </c>
      <c r="H139" s="258">
        <v>361.13</v>
      </c>
      <c r="I139" s="258">
        <v>292.45999999999998</v>
      </c>
      <c r="J139" s="217">
        <v>68.67</v>
      </c>
      <c r="K139" s="217" t="s">
        <v>2461</v>
      </c>
    </row>
    <row r="140" spans="1:11">
      <c r="A140" s="217">
        <v>137</v>
      </c>
      <c r="B140" s="218" t="s">
        <v>2921</v>
      </c>
      <c r="C140" s="217" t="s">
        <v>4494</v>
      </c>
      <c r="D140" s="217" t="s">
        <v>35</v>
      </c>
      <c r="E140" s="209">
        <v>1398000</v>
      </c>
      <c r="F140" s="212">
        <f t="shared" si="4"/>
        <v>1356060</v>
      </c>
      <c r="G140" s="206">
        <f t="shared" si="5"/>
        <v>1314120</v>
      </c>
      <c r="H140" s="258">
        <v>361.13</v>
      </c>
      <c r="I140" s="258">
        <v>292.45999999999998</v>
      </c>
      <c r="J140" s="217">
        <v>68.67</v>
      </c>
      <c r="K140" s="217" t="s">
        <v>2461</v>
      </c>
    </row>
    <row r="141" spans="1:11">
      <c r="A141" s="217">
        <v>138</v>
      </c>
      <c r="B141" s="218" t="s">
        <v>2922</v>
      </c>
      <c r="C141" s="217" t="s">
        <v>4494</v>
      </c>
      <c r="D141" s="217" t="s">
        <v>35</v>
      </c>
      <c r="E141" s="209">
        <v>1398000</v>
      </c>
      <c r="F141" s="212">
        <f t="shared" si="4"/>
        <v>1356060</v>
      </c>
      <c r="G141" s="206">
        <f t="shared" si="5"/>
        <v>1314120</v>
      </c>
      <c r="H141" s="258">
        <v>361.13</v>
      </c>
      <c r="I141" s="258">
        <v>292.45999999999998</v>
      </c>
      <c r="J141" s="217">
        <v>68.67</v>
      </c>
      <c r="K141" s="217" t="s">
        <v>3607</v>
      </c>
    </row>
    <row r="142" spans="1:11">
      <c r="A142" s="217">
        <v>139</v>
      </c>
      <c r="B142" s="218" t="s">
        <v>2923</v>
      </c>
      <c r="C142" s="217" t="s">
        <v>4495</v>
      </c>
      <c r="D142" s="217" t="s">
        <v>35</v>
      </c>
      <c r="E142" s="209">
        <v>1395000</v>
      </c>
      <c r="F142" s="212">
        <f t="shared" si="4"/>
        <v>1353150</v>
      </c>
      <c r="G142" s="206">
        <f t="shared" si="5"/>
        <v>1311300</v>
      </c>
      <c r="H142" s="258">
        <v>386.85</v>
      </c>
      <c r="I142" s="258">
        <v>292.45999999999998</v>
      </c>
      <c r="J142" s="217">
        <v>94.4</v>
      </c>
      <c r="K142" s="217" t="s">
        <v>2461</v>
      </c>
    </row>
    <row r="143" spans="1:11">
      <c r="A143" s="217">
        <v>140</v>
      </c>
      <c r="B143" s="218" t="s">
        <v>2924</v>
      </c>
      <c r="C143" s="217" t="s">
        <v>4495</v>
      </c>
      <c r="D143" s="217" t="s">
        <v>35</v>
      </c>
      <c r="E143" s="209">
        <v>1395000</v>
      </c>
      <c r="F143" s="212">
        <f t="shared" si="4"/>
        <v>1353150</v>
      </c>
      <c r="G143" s="206">
        <f t="shared" si="5"/>
        <v>1311300</v>
      </c>
      <c r="H143" s="258">
        <v>386.85</v>
      </c>
      <c r="I143" s="258">
        <v>292.45999999999998</v>
      </c>
      <c r="J143" s="217">
        <v>94.4</v>
      </c>
      <c r="K143" s="217" t="s">
        <v>2461</v>
      </c>
    </row>
    <row r="144" spans="1:11">
      <c r="A144" s="217">
        <v>141</v>
      </c>
      <c r="B144" s="218" t="s">
        <v>2925</v>
      </c>
      <c r="C144" s="217" t="s">
        <v>4495</v>
      </c>
      <c r="D144" s="217" t="s">
        <v>35</v>
      </c>
      <c r="E144" s="209">
        <v>1395000</v>
      </c>
      <c r="F144" s="212">
        <f t="shared" si="4"/>
        <v>1353150</v>
      </c>
      <c r="G144" s="206">
        <f t="shared" si="5"/>
        <v>1311300</v>
      </c>
      <c r="H144" s="258">
        <v>386.85</v>
      </c>
      <c r="I144" s="258">
        <v>292.45999999999998</v>
      </c>
      <c r="J144" s="217">
        <v>94.4</v>
      </c>
      <c r="K144" s="217" t="s">
        <v>3607</v>
      </c>
    </row>
    <row r="145" spans="1:11">
      <c r="A145" s="217">
        <v>142</v>
      </c>
      <c r="B145" s="218" t="s">
        <v>2926</v>
      </c>
      <c r="C145" s="217" t="s">
        <v>4495</v>
      </c>
      <c r="D145" s="217" t="s">
        <v>35</v>
      </c>
      <c r="E145" s="209">
        <v>1395000</v>
      </c>
      <c r="F145" s="212">
        <f t="shared" si="4"/>
        <v>1353150</v>
      </c>
      <c r="G145" s="206">
        <f t="shared" si="5"/>
        <v>1311300</v>
      </c>
      <c r="H145" s="258">
        <v>386.85</v>
      </c>
      <c r="I145" s="258">
        <v>292.45999999999998</v>
      </c>
      <c r="J145" s="217">
        <v>94.4</v>
      </c>
      <c r="K145" s="217" t="s">
        <v>3607</v>
      </c>
    </row>
    <row r="146" spans="1:11">
      <c r="A146" s="217">
        <v>143</v>
      </c>
      <c r="B146" s="218" t="s">
        <v>2927</v>
      </c>
      <c r="C146" s="217" t="s">
        <v>4494</v>
      </c>
      <c r="D146" s="217" t="s">
        <v>35</v>
      </c>
      <c r="E146" s="209">
        <v>1395000</v>
      </c>
      <c r="F146" s="212">
        <f t="shared" si="4"/>
        <v>1353150</v>
      </c>
      <c r="G146" s="206">
        <f t="shared" si="5"/>
        <v>1311300</v>
      </c>
      <c r="H146" s="258">
        <v>401.82</v>
      </c>
      <c r="I146" s="258">
        <v>292.45999999999998</v>
      </c>
      <c r="J146" s="217">
        <v>109.36</v>
      </c>
      <c r="K146" s="217" t="s">
        <v>3607</v>
      </c>
    </row>
    <row r="147" spans="1:11">
      <c r="A147" s="217">
        <v>144</v>
      </c>
      <c r="B147" s="218" t="s">
        <v>2928</v>
      </c>
      <c r="C147" s="217" t="s">
        <v>4494</v>
      </c>
      <c r="D147" s="217" t="s">
        <v>35</v>
      </c>
      <c r="E147" s="209">
        <v>1395000</v>
      </c>
      <c r="F147" s="212">
        <f t="shared" si="4"/>
        <v>1353150</v>
      </c>
      <c r="G147" s="206">
        <f t="shared" si="5"/>
        <v>1311300</v>
      </c>
      <c r="H147" s="258">
        <v>401.82</v>
      </c>
      <c r="I147" s="258">
        <v>292.45999999999998</v>
      </c>
      <c r="J147" s="217">
        <v>109.36</v>
      </c>
      <c r="K147" s="217" t="s">
        <v>3607</v>
      </c>
    </row>
    <row r="148" spans="1:11">
      <c r="A148" s="217">
        <v>145</v>
      </c>
      <c r="B148" s="218" t="s">
        <v>2929</v>
      </c>
      <c r="C148" s="217" t="s">
        <v>4495</v>
      </c>
      <c r="D148" s="217" t="s">
        <v>35</v>
      </c>
      <c r="E148" s="209">
        <v>1392000</v>
      </c>
      <c r="F148" s="212">
        <f t="shared" si="4"/>
        <v>1350240</v>
      </c>
      <c r="G148" s="206">
        <f t="shared" si="5"/>
        <v>1308480</v>
      </c>
      <c r="H148" s="258">
        <v>375.34</v>
      </c>
      <c r="I148" s="258">
        <v>292.45999999999998</v>
      </c>
      <c r="J148" s="217">
        <v>82.88</v>
      </c>
      <c r="K148" s="217" t="s">
        <v>2461</v>
      </c>
    </row>
    <row r="149" spans="1:11">
      <c r="A149" s="217">
        <v>146</v>
      </c>
      <c r="B149" s="218" t="s">
        <v>2930</v>
      </c>
      <c r="C149" s="217" t="s">
        <v>4495</v>
      </c>
      <c r="D149" s="217" t="s">
        <v>35</v>
      </c>
      <c r="E149" s="209">
        <v>1392000</v>
      </c>
      <c r="F149" s="212">
        <f t="shared" si="4"/>
        <v>1350240</v>
      </c>
      <c r="G149" s="206">
        <f t="shared" si="5"/>
        <v>1308480</v>
      </c>
      <c r="H149" s="258">
        <v>375.34</v>
      </c>
      <c r="I149" s="258">
        <v>292.45999999999998</v>
      </c>
      <c r="J149" s="217">
        <v>82.88</v>
      </c>
      <c r="K149" s="217" t="s">
        <v>2461</v>
      </c>
    </row>
    <row r="150" spans="1:11">
      <c r="A150" s="217">
        <v>147</v>
      </c>
      <c r="B150" s="218" t="s">
        <v>2931</v>
      </c>
      <c r="C150" s="217" t="s">
        <v>4495</v>
      </c>
      <c r="D150" s="217" t="s">
        <v>35</v>
      </c>
      <c r="E150" s="209">
        <v>1392000</v>
      </c>
      <c r="F150" s="212">
        <f t="shared" si="4"/>
        <v>1350240</v>
      </c>
      <c r="G150" s="206">
        <f t="shared" si="5"/>
        <v>1308480</v>
      </c>
      <c r="H150" s="258">
        <v>375.34</v>
      </c>
      <c r="I150" s="258">
        <v>292.45999999999998</v>
      </c>
      <c r="J150" s="217">
        <v>82.88</v>
      </c>
      <c r="K150" s="217" t="s">
        <v>3607</v>
      </c>
    </row>
    <row r="151" spans="1:11">
      <c r="A151" s="217">
        <v>148</v>
      </c>
      <c r="B151" s="218" t="s">
        <v>2932</v>
      </c>
      <c r="C151" s="217" t="s">
        <v>4495</v>
      </c>
      <c r="D151" s="217" t="s">
        <v>35</v>
      </c>
      <c r="E151" s="209">
        <v>1392000</v>
      </c>
      <c r="F151" s="212">
        <f t="shared" si="4"/>
        <v>1350240</v>
      </c>
      <c r="G151" s="206">
        <f t="shared" si="5"/>
        <v>1308480</v>
      </c>
      <c r="H151" s="258">
        <v>375.34</v>
      </c>
      <c r="I151" s="258">
        <v>292.45999999999998</v>
      </c>
      <c r="J151" s="217">
        <v>82.88</v>
      </c>
      <c r="K151" s="217" t="s">
        <v>3607</v>
      </c>
    </row>
    <row r="152" spans="1:11">
      <c r="A152" s="217">
        <v>149</v>
      </c>
      <c r="B152" s="218" t="s">
        <v>2933</v>
      </c>
      <c r="C152" s="217" t="s">
        <v>4494</v>
      </c>
      <c r="D152" s="217" t="s">
        <v>35</v>
      </c>
      <c r="E152" s="209">
        <v>1395000</v>
      </c>
      <c r="F152" s="212">
        <f t="shared" si="4"/>
        <v>1353150</v>
      </c>
      <c r="G152" s="206">
        <f t="shared" si="5"/>
        <v>1311300</v>
      </c>
      <c r="H152" s="258">
        <v>401.82</v>
      </c>
      <c r="I152" s="258">
        <v>292.45999999999998</v>
      </c>
      <c r="J152" s="217">
        <v>109.36</v>
      </c>
      <c r="K152" s="217" t="s">
        <v>2461</v>
      </c>
    </row>
    <row r="153" spans="1:11">
      <c r="A153" s="217">
        <v>150</v>
      </c>
      <c r="B153" s="218" t="s">
        <v>2934</v>
      </c>
      <c r="C153" s="217" t="s">
        <v>4494</v>
      </c>
      <c r="D153" s="217" t="s">
        <v>35</v>
      </c>
      <c r="E153" s="209">
        <v>1395000</v>
      </c>
      <c r="F153" s="212">
        <f t="shared" si="4"/>
        <v>1353150</v>
      </c>
      <c r="G153" s="206">
        <f t="shared" si="5"/>
        <v>1311300</v>
      </c>
      <c r="H153" s="258">
        <v>401.82</v>
      </c>
      <c r="I153" s="258">
        <v>292.45999999999998</v>
      </c>
      <c r="J153" s="217">
        <v>109.36</v>
      </c>
      <c r="K153" s="217" t="s">
        <v>2461</v>
      </c>
    </row>
    <row r="154" spans="1:11">
      <c r="A154" s="217">
        <v>151</v>
      </c>
      <c r="B154" s="218" t="s">
        <v>2935</v>
      </c>
      <c r="C154" s="217" t="s">
        <v>4495</v>
      </c>
      <c r="D154" s="217" t="s">
        <v>35</v>
      </c>
      <c r="E154" s="209">
        <v>1392000</v>
      </c>
      <c r="F154" s="212">
        <f t="shared" si="4"/>
        <v>1350240</v>
      </c>
      <c r="G154" s="206">
        <f t="shared" si="5"/>
        <v>1308480</v>
      </c>
      <c r="H154" s="258">
        <v>341.11</v>
      </c>
      <c r="I154" s="258">
        <v>293.95999999999998</v>
      </c>
      <c r="J154" s="217">
        <v>47.15</v>
      </c>
      <c r="K154" s="217" t="s">
        <v>2461</v>
      </c>
    </row>
    <row r="155" spans="1:11">
      <c r="A155" s="217">
        <v>152</v>
      </c>
      <c r="B155" s="218" t="s">
        <v>2936</v>
      </c>
      <c r="C155" s="217" t="s">
        <v>4495</v>
      </c>
      <c r="D155" s="217" t="s">
        <v>35</v>
      </c>
      <c r="E155" s="209">
        <v>1392000</v>
      </c>
      <c r="F155" s="212">
        <f t="shared" si="4"/>
        <v>1350240</v>
      </c>
      <c r="G155" s="206">
        <f t="shared" si="5"/>
        <v>1308480</v>
      </c>
      <c r="H155" s="258">
        <v>341.11</v>
      </c>
      <c r="I155" s="258">
        <v>293.95999999999998</v>
      </c>
      <c r="J155" s="217">
        <v>47.15</v>
      </c>
      <c r="K155" s="217" t="s">
        <v>3607</v>
      </c>
    </row>
    <row r="156" spans="1:11">
      <c r="A156" s="217">
        <v>153</v>
      </c>
      <c r="B156" s="218" t="s">
        <v>2937</v>
      </c>
      <c r="C156" s="217" t="s">
        <v>4494</v>
      </c>
      <c r="D156" s="217" t="s">
        <v>35</v>
      </c>
      <c r="E156" s="209">
        <v>1393000</v>
      </c>
      <c r="F156" s="212">
        <f t="shared" si="4"/>
        <v>1351210</v>
      </c>
      <c r="G156" s="206">
        <f t="shared" si="5"/>
        <v>1309420</v>
      </c>
      <c r="H156" s="258">
        <v>395.68</v>
      </c>
      <c r="I156" s="258">
        <v>292.45999999999998</v>
      </c>
      <c r="J156" s="217">
        <v>103.23</v>
      </c>
      <c r="K156" s="217" t="s">
        <v>3607</v>
      </c>
    </row>
    <row r="157" spans="1:11">
      <c r="A157" s="217">
        <v>154</v>
      </c>
      <c r="B157" s="218" t="s">
        <v>2938</v>
      </c>
      <c r="C157" s="217" t="s">
        <v>4494</v>
      </c>
      <c r="D157" s="217" t="s">
        <v>35</v>
      </c>
      <c r="E157" s="209">
        <v>1393000</v>
      </c>
      <c r="F157" s="212">
        <f t="shared" si="4"/>
        <v>1351210</v>
      </c>
      <c r="G157" s="206">
        <f t="shared" si="5"/>
        <v>1309420</v>
      </c>
      <c r="H157" s="258">
        <v>395.68</v>
      </c>
      <c r="I157" s="258">
        <v>292.45999999999998</v>
      </c>
      <c r="J157" s="217">
        <v>103.23</v>
      </c>
      <c r="K157" s="217" t="s">
        <v>3607</v>
      </c>
    </row>
    <row r="158" spans="1:11">
      <c r="A158" s="217">
        <v>155</v>
      </c>
      <c r="B158" s="218" t="s">
        <v>2939</v>
      </c>
      <c r="C158" s="217" t="s">
        <v>33</v>
      </c>
      <c r="D158" s="217" t="s">
        <v>35</v>
      </c>
      <c r="E158" s="209">
        <v>1396000</v>
      </c>
      <c r="F158" s="212">
        <f t="shared" si="4"/>
        <v>1354120</v>
      </c>
      <c r="G158" s="206">
        <f t="shared" si="5"/>
        <v>1312240</v>
      </c>
      <c r="H158" s="258">
        <v>361.13</v>
      </c>
      <c r="I158" s="258">
        <v>292.45999999999998</v>
      </c>
      <c r="J158" s="217">
        <v>68.67</v>
      </c>
      <c r="K158" s="217" t="s">
        <v>3607</v>
      </c>
    </row>
    <row r="159" spans="1:11">
      <c r="A159" s="217">
        <v>156</v>
      </c>
      <c r="B159" s="218" t="s">
        <v>2940</v>
      </c>
      <c r="C159" s="217" t="s">
        <v>4494</v>
      </c>
      <c r="D159" s="217" t="s">
        <v>35</v>
      </c>
      <c r="E159" s="209">
        <v>1393000</v>
      </c>
      <c r="F159" s="212">
        <f t="shared" si="4"/>
        <v>1351210</v>
      </c>
      <c r="G159" s="206">
        <f t="shared" si="5"/>
        <v>1309420</v>
      </c>
      <c r="H159" s="258">
        <v>395.68</v>
      </c>
      <c r="I159" s="258">
        <v>292.45999999999998</v>
      </c>
      <c r="J159" s="217">
        <v>103.23</v>
      </c>
      <c r="K159" s="217" t="s">
        <v>2461</v>
      </c>
    </row>
    <row r="160" spans="1:11">
      <c r="A160" s="217">
        <v>157</v>
      </c>
      <c r="B160" s="218" t="s">
        <v>2941</v>
      </c>
      <c r="C160" s="217" t="s">
        <v>4494</v>
      </c>
      <c r="D160" s="217" t="s">
        <v>35</v>
      </c>
      <c r="E160" s="209">
        <v>1393000</v>
      </c>
      <c r="F160" s="212">
        <f t="shared" si="4"/>
        <v>1351210</v>
      </c>
      <c r="G160" s="206">
        <f t="shared" si="5"/>
        <v>1309420</v>
      </c>
      <c r="H160" s="258">
        <v>395.68</v>
      </c>
      <c r="I160" s="258">
        <v>292.45999999999998</v>
      </c>
      <c r="J160" s="217">
        <v>103.23</v>
      </c>
      <c r="K160" s="217" t="s">
        <v>2461</v>
      </c>
    </row>
    <row r="161" spans="1:11">
      <c r="A161" s="217">
        <v>158</v>
      </c>
      <c r="B161" s="218" t="s">
        <v>2942</v>
      </c>
      <c r="C161" s="217" t="s">
        <v>33</v>
      </c>
      <c r="D161" s="217" t="s">
        <v>35</v>
      </c>
      <c r="E161" s="209">
        <v>1396000</v>
      </c>
      <c r="F161" s="212">
        <f t="shared" si="4"/>
        <v>1354120</v>
      </c>
      <c r="G161" s="206">
        <f t="shared" si="5"/>
        <v>1312240</v>
      </c>
      <c r="H161" s="258">
        <v>361.13</v>
      </c>
      <c r="I161" s="258">
        <v>292.45999999999998</v>
      </c>
      <c r="J161" s="217">
        <v>68.67</v>
      </c>
      <c r="K161" s="217" t="s">
        <v>2461</v>
      </c>
    </row>
    <row r="162" spans="1:11">
      <c r="A162" s="217">
        <v>159</v>
      </c>
      <c r="B162" s="218" t="s">
        <v>2943</v>
      </c>
      <c r="C162" s="217" t="s">
        <v>33</v>
      </c>
      <c r="D162" s="217" t="s">
        <v>35</v>
      </c>
      <c r="E162" s="209">
        <v>1396000</v>
      </c>
      <c r="F162" s="212">
        <f t="shared" si="4"/>
        <v>1354120</v>
      </c>
      <c r="G162" s="206">
        <f t="shared" si="5"/>
        <v>1312240</v>
      </c>
      <c r="H162" s="258">
        <v>361.13</v>
      </c>
      <c r="I162" s="258">
        <v>292.45999999999998</v>
      </c>
      <c r="J162" s="217">
        <v>68.67</v>
      </c>
      <c r="K162" s="217" t="s">
        <v>2461</v>
      </c>
    </row>
    <row r="163" spans="1:11">
      <c r="A163" s="217">
        <v>160</v>
      </c>
      <c r="B163" s="218" t="s">
        <v>2944</v>
      </c>
      <c r="C163" s="217" t="s">
        <v>33</v>
      </c>
      <c r="D163" s="217" t="s">
        <v>35</v>
      </c>
      <c r="E163" s="209">
        <v>1396000</v>
      </c>
      <c r="F163" s="212">
        <f t="shared" si="4"/>
        <v>1354120</v>
      </c>
      <c r="G163" s="206">
        <f t="shared" si="5"/>
        <v>1312240</v>
      </c>
      <c r="H163" s="258">
        <v>361.13</v>
      </c>
      <c r="I163" s="258">
        <v>292.45999999999998</v>
      </c>
      <c r="J163" s="217">
        <v>68.67</v>
      </c>
      <c r="K163" s="217" t="s">
        <v>3607</v>
      </c>
    </row>
    <row r="164" spans="1:11">
      <c r="A164" s="217">
        <v>161</v>
      </c>
      <c r="B164" s="218" t="s">
        <v>2945</v>
      </c>
      <c r="C164" s="217" t="s">
        <v>4494</v>
      </c>
      <c r="D164" s="217" t="s">
        <v>35</v>
      </c>
      <c r="E164" s="209">
        <v>1392000</v>
      </c>
      <c r="F164" s="212">
        <f t="shared" si="4"/>
        <v>1350240</v>
      </c>
      <c r="G164" s="206">
        <f t="shared" si="5"/>
        <v>1308480</v>
      </c>
      <c r="H164" s="258">
        <v>386.85</v>
      </c>
      <c r="I164" s="258">
        <v>292.45999999999998</v>
      </c>
      <c r="J164" s="217">
        <v>94.4</v>
      </c>
      <c r="K164" s="217" t="s">
        <v>3607</v>
      </c>
    </row>
    <row r="165" spans="1:11">
      <c r="A165" s="217">
        <v>162</v>
      </c>
      <c r="B165" s="218" t="s">
        <v>2946</v>
      </c>
      <c r="C165" s="217" t="s">
        <v>4494</v>
      </c>
      <c r="D165" s="217" t="s">
        <v>35</v>
      </c>
      <c r="E165" s="209">
        <v>1392000</v>
      </c>
      <c r="F165" s="212">
        <f t="shared" si="4"/>
        <v>1350240</v>
      </c>
      <c r="G165" s="206">
        <f t="shared" si="5"/>
        <v>1308480</v>
      </c>
      <c r="H165" s="258">
        <v>386.85</v>
      </c>
      <c r="I165" s="258">
        <v>292.45999999999998</v>
      </c>
      <c r="J165" s="217">
        <v>94.4</v>
      </c>
      <c r="K165" s="217" t="s">
        <v>3607</v>
      </c>
    </row>
    <row r="166" spans="1:11">
      <c r="A166" s="217">
        <v>163</v>
      </c>
      <c r="B166" s="218" t="s">
        <v>2947</v>
      </c>
      <c r="C166" s="217" t="s">
        <v>4494</v>
      </c>
      <c r="D166" s="217" t="s">
        <v>35</v>
      </c>
      <c r="E166" s="209">
        <v>1392000</v>
      </c>
      <c r="F166" s="212">
        <f t="shared" si="4"/>
        <v>1350240</v>
      </c>
      <c r="G166" s="206">
        <f t="shared" si="5"/>
        <v>1308480</v>
      </c>
      <c r="H166" s="258">
        <v>386.85</v>
      </c>
      <c r="I166" s="258">
        <v>292.45999999999998</v>
      </c>
      <c r="J166" s="217">
        <v>94.4</v>
      </c>
      <c r="K166" s="217" t="s">
        <v>2461</v>
      </c>
    </row>
    <row r="167" spans="1:11">
      <c r="A167" s="217">
        <v>164</v>
      </c>
      <c r="B167" s="218" t="s">
        <v>2948</v>
      </c>
      <c r="C167" s="217" t="s">
        <v>4494</v>
      </c>
      <c r="D167" s="217" t="s">
        <v>35</v>
      </c>
      <c r="E167" s="209">
        <v>1392000</v>
      </c>
      <c r="F167" s="212">
        <f t="shared" si="4"/>
        <v>1350240</v>
      </c>
      <c r="G167" s="206">
        <f t="shared" si="5"/>
        <v>1308480</v>
      </c>
      <c r="H167" s="258">
        <v>386.85</v>
      </c>
      <c r="I167" s="258">
        <v>292.45999999999998</v>
      </c>
      <c r="J167" s="217">
        <v>94.4</v>
      </c>
      <c r="K167" s="217" t="s">
        <v>2461</v>
      </c>
    </row>
    <row r="168" spans="1:11">
      <c r="A168" s="217">
        <v>165</v>
      </c>
      <c r="B168" s="218" t="s">
        <v>2949</v>
      </c>
      <c r="C168" s="217" t="s">
        <v>4494</v>
      </c>
      <c r="D168" s="217" t="s">
        <v>35</v>
      </c>
      <c r="E168" s="209">
        <v>1389000</v>
      </c>
      <c r="F168" s="212">
        <f t="shared" si="4"/>
        <v>1347330</v>
      </c>
      <c r="G168" s="206">
        <f t="shared" si="5"/>
        <v>1305660</v>
      </c>
      <c r="H168" s="258">
        <v>375.34</v>
      </c>
      <c r="I168" s="258">
        <v>292.45999999999998</v>
      </c>
      <c r="J168" s="217">
        <v>82.88</v>
      </c>
      <c r="K168" s="217" t="s">
        <v>3607</v>
      </c>
    </row>
    <row r="169" spans="1:11">
      <c r="A169" s="217">
        <v>166</v>
      </c>
      <c r="B169" s="218" t="s">
        <v>2950</v>
      </c>
      <c r="C169" s="217" t="s">
        <v>4494</v>
      </c>
      <c r="D169" s="217" t="s">
        <v>35</v>
      </c>
      <c r="E169" s="209">
        <v>1390000</v>
      </c>
      <c r="F169" s="212">
        <f t="shared" si="4"/>
        <v>1348300</v>
      </c>
      <c r="G169" s="206">
        <f t="shared" si="5"/>
        <v>1306600</v>
      </c>
      <c r="H169" s="258">
        <v>341.11</v>
      </c>
      <c r="I169" s="258">
        <v>293.95999999999998</v>
      </c>
      <c r="J169" s="217">
        <v>47.15</v>
      </c>
      <c r="K169" s="217" t="s">
        <v>3607</v>
      </c>
    </row>
    <row r="170" spans="1:11">
      <c r="A170" s="217">
        <v>167</v>
      </c>
      <c r="B170" s="218" t="s">
        <v>2951</v>
      </c>
      <c r="C170" s="217" t="s">
        <v>4494</v>
      </c>
      <c r="D170" s="217" t="s">
        <v>35</v>
      </c>
      <c r="E170" s="209">
        <v>1390000</v>
      </c>
      <c r="F170" s="212">
        <f t="shared" si="4"/>
        <v>1348300</v>
      </c>
      <c r="G170" s="206">
        <f t="shared" si="5"/>
        <v>1306600</v>
      </c>
      <c r="H170" s="258">
        <v>341.11</v>
      </c>
      <c r="I170" s="258">
        <v>293.95999999999998</v>
      </c>
      <c r="J170" s="217">
        <v>47.15</v>
      </c>
      <c r="K170" s="217" t="s">
        <v>2461</v>
      </c>
    </row>
    <row r="171" spans="1:11">
      <c r="A171" s="217">
        <v>168</v>
      </c>
      <c r="B171" s="218" t="s">
        <v>2952</v>
      </c>
      <c r="C171" s="217" t="s">
        <v>4494</v>
      </c>
      <c r="D171" s="217" t="s">
        <v>35</v>
      </c>
      <c r="E171" s="209">
        <v>1389000</v>
      </c>
      <c r="F171" s="212">
        <f t="shared" si="4"/>
        <v>1347330</v>
      </c>
      <c r="G171" s="206">
        <f t="shared" si="5"/>
        <v>1305660</v>
      </c>
      <c r="H171" s="258">
        <v>375.34</v>
      </c>
      <c r="I171" s="258">
        <v>292.45999999999998</v>
      </c>
      <c r="J171" s="217">
        <v>82.88</v>
      </c>
      <c r="K171" s="217" t="s">
        <v>2461</v>
      </c>
    </row>
    <row r="172" spans="1:11">
      <c r="A172" s="217">
        <v>169</v>
      </c>
      <c r="B172" s="218" t="s">
        <v>2953</v>
      </c>
      <c r="C172" s="217" t="s">
        <v>4494</v>
      </c>
      <c r="D172" s="217" t="s">
        <v>35</v>
      </c>
      <c r="E172" s="209">
        <v>1389000</v>
      </c>
      <c r="F172" s="212">
        <f t="shared" si="4"/>
        <v>1347330</v>
      </c>
      <c r="G172" s="206">
        <f t="shared" si="5"/>
        <v>1305660</v>
      </c>
      <c r="H172" s="258">
        <v>375.34</v>
      </c>
      <c r="I172" s="258">
        <v>292.45999999999998</v>
      </c>
      <c r="J172" s="217">
        <v>82.88</v>
      </c>
      <c r="K172" s="217" t="s">
        <v>3607</v>
      </c>
    </row>
    <row r="173" spans="1:11">
      <c r="A173" s="217">
        <v>170</v>
      </c>
      <c r="B173" s="218" t="s">
        <v>2954</v>
      </c>
      <c r="C173" s="217" t="s">
        <v>33</v>
      </c>
      <c r="D173" s="217" t="s">
        <v>35</v>
      </c>
      <c r="E173" s="209">
        <v>1392000</v>
      </c>
      <c r="F173" s="212">
        <f t="shared" si="4"/>
        <v>1350240</v>
      </c>
      <c r="G173" s="206">
        <f t="shared" si="5"/>
        <v>1308480</v>
      </c>
      <c r="H173" s="258">
        <v>401.82</v>
      </c>
      <c r="I173" s="258">
        <v>292.45999999999998</v>
      </c>
      <c r="J173" s="217">
        <v>109.36</v>
      </c>
      <c r="K173" s="217" t="s">
        <v>2461</v>
      </c>
    </row>
    <row r="174" spans="1:11">
      <c r="A174" s="217">
        <v>171</v>
      </c>
      <c r="B174" s="218" t="s">
        <v>2955</v>
      </c>
      <c r="C174" s="217" t="s">
        <v>33</v>
      </c>
      <c r="D174" s="217" t="s">
        <v>35</v>
      </c>
      <c r="E174" s="209">
        <v>1392000</v>
      </c>
      <c r="F174" s="212">
        <f t="shared" si="4"/>
        <v>1350240</v>
      </c>
      <c r="G174" s="206">
        <f t="shared" si="5"/>
        <v>1308480</v>
      </c>
      <c r="H174" s="258">
        <v>401.82</v>
      </c>
      <c r="I174" s="258">
        <v>292.45999999999998</v>
      </c>
      <c r="J174" s="217">
        <v>109.36</v>
      </c>
      <c r="K174" s="217" t="s">
        <v>2461</v>
      </c>
    </row>
    <row r="175" spans="1:11">
      <c r="A175" s="217">
        <v>172</v>
      </c>
      <c r="B175" s="218" t="s">
        <v>2956</v>
      </c>
      <c r="C175" s="217" t="s">
        <v>33</v>
      </c>
      <c r="D175" s="217" t="s">
        <v>35</v>
      </c>
      <c r="E175" s="209">
        <v>1392000</v>
      </c>
      <c r="F175" s="212">
        <f t="shared" si="4"/>
        <v>1350240</v>
      </c>
      <c r="G175" s="206">
        <f t="shared" si="5"/>
        <v>1308480</v>
      </c>
      <c r="H175" s="258">
        <v>401.82</v>
      </c>
      <c r="I175" s="258">
        <v>292.45999999999998</v>
      </c>
      <c r="J175" s="217">
        <v>109.36</v>
      </c>
      <c r="K175" s="217" t="s">
        <v>3607</v>
      </c>
    </row>
    <row r="176" spans="1:11">
      <c r="A176" s="217">
        <v>173</v>
      </c>
      <c r="B176" s="218" t="s">
        <v>2957</v>
      </c>
      <c r="C176" s="217" t="s">
        <v>33</v>
      </c>
      <c r="D176" s="217" t="s">
        <v>35</v>
      </c>
      <c r="E176" s="209">
        <v>1392000</v>
      </c>
      <c r="F176" s="212">
        <f t="shared" si="4"/>
        <v>1350240</v>
      </c>
      <c r="G176" s="206">
        <f t="shared" si="5"/>
        <v>1308480</v>
      </c>
      <c r="H176" s="258">
        <v>401.82</v>
      </c>
      <c r="I176" s="258">
        <v>292.45999999999998</v>
      </c>
      <c r="J176" s="217">
        <v>109.36</v>
      </c>
      <c r="K176" s="217" t="s">
        <v>3607</v>
      </c>
    </row>
    <row r="177" spans="1:11">
      <c r="A177" s="217">
        <v>174</v>
      </c>
      <c r="B177" s="218" t="s">
        <v>2958</v>
      </c>
      <c r="C177" s="217" t="s">
        <v>33</v>
      </c>
      <c r="D177" s="217" t="s">
        <v>35</v>
      </c>
      <c r="E177" s="209">
        <v>1391000</v>
      </c>
      <c r="F177" s="212">
        <f t="shared" si="4"/>
        <v>1349270</v>
      </c>
      <c r="G177" s="206">
        <f t="shared" si="5"/>
        <v>1307540</v>
      </c>
      <c r="H177" s="258">
        <v>395.68</v>
      </c>
      <c r="I177" s="258">
        <v>292.45999999999998</v>
      </c>
      <c r="J177" s="217">
        <v>103.23</v>
      </c>
      <c r="K177" s="217" t="s">
        <v>2461</v>
      </c>
    </row>
    <row r="178" spans="1:11">
      <c r="A178" s="217">
        <v>175</v>
      </c>
      <c r="B178" s="218" t="s">
        <v>2959</v>
      </c>
      <c r="C178" s="217" t="s">
        <v>33</v>
      </c>
      <c r="D178" s="217" t="s">
        <v>35</v>
      </c>
      <c r="E178" s="209">
        <v>1391000</v>
      </c>
      <c r="F178" s="212">
        <f t="shared" si="4"/>
        <v>1349270</v>
      </c>
      <c r="G178" s="206">
        <f t="shared" si="5"/>
        <v>1307540</v>
      </c>
      <c r="H178" s="258">
        <v>395.68</v>
      </c>
      <c r="I178" s="258">
        <v>292.45999999999998</v>
      </c>
      <c r="J178" s="217">
        <v>103.23</v>
      </c>
      <c r="K178" s="217" t="s">
        <v>2461</v>
      </c>
    </row>
    <row r="179" spans="1:11">
      <c r="A179" s="217">
        <v>176</v>
      </c>
      <c r="B179" s="218" t="s">
        <v>2960</v>
      </c>
      <c r="C179" s="217" t="s">
        <v>33</v>
      </c>
      <c r="D179" s="217" t="s">
        <v>35</v>
      </c>
      <c r="E179" s="209">
        <v>1391000</v>
      </c>
      <c r="F179" s="212">
        <f t="shared" si="4"/>
        <v>1349270</v>
      </c>
      <c r="G179" s="206">
        <f t="shared" si="5"/>
        <v>1307540</v>
      </c>
      <c r="H179" s="258">
        <v>395.68</v>
      </c>
      <c r="I179" s="258">
        <v>292.45999999999998</v>
      </c>
      <c r="J179" s="217">
        <v>103.23</v>
      </c>
      <c r="K179" s="217" t="s">
        <v>3607</v>
      </c>
    </row>
    <row r="180" spans="1:11">
      <c r="A180" s="217">
        <v>177</v>
      </c>
      <c r="B180" s="218" t="s">
        <v>2961</v>
      </c>
      <c r="C180" s="217" t="s">
        <v>34</v>
      </c>
      <c r="D180" s="217" t="s">
        <v>35</v>
      </c>
      <c r="E180" s="209">
        <v>1393000</v>
      </c>
      <c r="F180" s="212">
        <f t="shared" si="4"/>
        <v>1351210</v>
      </c>
      <c r="G180" s="206">
        <f t="shared" si="5"/>
        <v>1309420</v>
      </c>
      <c r="H180" s="258">
        <v>361.13</v>
      </c>
      <c r="I180" s="258">
        <v>292.45999999999998</v>
      </c>
      <c r="J180" s="217">
        <v>68.67</v>
      </c>
      <c r="K180" s="217" t="s">
        <v>2461</v>
      </c>
    </row>
    <row r="181" spans="1:11">
      <c r="A181" s="217">
        <v>178</v>
      </c>
      <c r="B181" s="218" t="s">
        <v>2962</v>
      </c>
      <c r="C181" s="217" t="s">
        <v>34</v>
      </c>
      <c r="D181" s="217" t="s">
        <v>35</v>
      </c>
      <c r="E181" s="209">
        <v>1393000</v>
      </c>
      <c r="F181" s="212">
        <f t="shared" si="4"/>
        <v>1351210</v>
      </c>
      <c r="G181" s="206">
        <f t="shared" si="5"/>
        <v>1309420</v>
      </c>
      <c r="H181" s="258">
        <v>361.13</v>
      </c>
      <c r="I181" s="258">
        <v>292.45999999999998</v>
      </c>
      <c r="J181" s="217">
        <v>68.67</v>
      </c>
      <c r="K181" s="217" t="s">
        <v>2461</v>
      </c>
    </row>
    <row r="182" spans="1:11">
      <c r="A182" s="217">
        <v>179</v>
      </c>
      <c r="B182" s="218" t="s">
        <v>2963</v>
      </c>
      <c r="C182" s="217" t="s">
        <v>34</v>
      </c>
      <c r="D182" s="217" t="s">
        <v>35</v>
      </c>
      <c r="E182" s="209">
        <v>1393000</v>
      </c>
      <c r="F182" s="212">
        <f t="shared" si="4"/>
        <v>1351210</v>
      </c>
      <c r="G182" s="206">
        <f t="shared" si="5"/>
        <v>1309420</v>
      </c>
      <c r="H182" s="258">
        <v>361.13</v>
      </c>
      <c r="I182" s="258">
        <v>292.45999999999998</v>
      </c>
      <c r="J182" s="217">
        <v>68.67</v>
      </c>
      <c r="K182" s="217" t="s">
        <v>3607</v>
      </c>
    </row>
    <row r="183" spans="1:11">
      <c r="A183" s="217">
        <v>180</v>
      </c>
      <c r="B183" s="218" t="s">
        <v>2964</v>
      </c>
      <c r="C183" s="217" t="s">
        <v>34</v>
      </c>
      <c r="D183" s="217" t="s">
        <v>35</v>
      </c>
      <c r="E183" s="209">
        <v>1393000</v>
      </c>
      <c r="F183" s="212">
        <f t="shared" si="4"/>
        <v>1351210</v>
      </c>
      <c r="G183" s="206">
        <f t="shared" si="5"/>
        <v>1309420</v>
      </c>
      <c r="H183" s="258">
        <v>361.13</v>
      </c>
      <c r="I183" s="258">
        <v>292.45999999999998</v>
      </c>
      <c r="J183" s="217">
        <v>68.67</v>
      </c>
      <c r="K183" s="217" t="s">
        <v>3607</v>
      </c>
    </row>
    <row r="184" spans="1:11">
      <c r="A184" s="217">
        <v>181</v>
      </c>
      <c r="B184" s="218" t="s">
        <v>2965</v>
      </c>
      <c r="C184" s="217" t="s">
        <v>33</v>
      </c>
      <c r="D184" s="217" t="s">
        <v>35</v>
      </c>
      <c r="E184" s="209">
        <v>1390000</v>
      </c>
      <c r="F184" s="212">
        <f t="shared" si="4"/>
        <v>1348300</v>
      </c>
      <c r="G184" s="206">
        <f t="shared" si="5"/>
        <v>1306600</v>
      </c>
      <c r="H184" s="258">
        <v>386.85</v>
      </c>
      <c r="I184" s="258">
        <v>292.45999999999998</v>
      </c>
      <c r="J184" s="217">
        <v>94.4</v>
      </c>
      <c r="K184" s="217" t="s">
        <v>2461</v>
      </c>
    </row>
    <row r="185" spans="1:11">
      <c r="A185" s="217">
        <v>182</v>
      </c>
      <c r="B185" s="218" t="s">
        <v>2966</v>
      </c>
      <c r="C185" s="217" t="s">
        <v>33</v>
      </c>
      <c r="D185" s="217" t="s">
        <v>35</v>
      </c>
      <c r="E185" s="209">
        <v>1390000</v>
      </c>
      <c r="F185" s="212">
        <f t="shared" si="4"/>
        <v>1348300</v>
      </c>
      <c r="G185" s="206">
        <f t="shared" si="5"/>
        <v>1306600</v>
      </c>
      <c r="H185" s="258">
        <v>386.85</v>
      </c>
      <c r="I185" s="258">
        <v>292.45999999999998</v>
      </c>
      <c r="J185" s="217">
        <v>94.4</v>
      </c>
      <c r="K185" s="217" t="s">
        <v>2461</v>
      </c>
    </row>
    <row r="186" spans="1:11">
      <c r="A186" s="217">
        <v>183</v>
      </c>
      <c r="B186" s="218" t="s">
        <v>2967</v>
      </c>
      <c r="C186" s="217" t="s">
        <v>33</v>
      </c>
      <c r="D186" s="217" t="s">
        <v>35</v>
      </c>
      <c r="E186" s="209">
        <v>1390000</v>
      </c>
      <c r="F186" s="212">
        <f t="shared" si="4"/>
        <v>1348300</v>
      </c>
      <c r="G186" s="206">
        <f t="shared" si="5"/>
        <v>1306600</v>
      </c>
      <c r="H186" s="258">
        <v>386.85</v>
      </c>
      <c r="I186" s="258">
        <v>292.45999999999998</v>
      </c>
      <c r="J186" s="217">
        <v>94.4</v>
      </c>
      <c r="K186" s="217" t="s">
        <v>3607</v>
      </c>
    </row>
    <row r="187" spans="1:11">
      <c r="A187" s="217">
        <v>184</v>
      </c>
      <c r="B187" s="218" t="s">
        <v>2968</v>
      </c>
      <c r="C187" s="217" t="s">
        <v>33</v>
      </c>
      <c r="D187" s="217" t="s">
        <v>35</v>
      </c>
      <c r="E187" s="209">
        <v>1390000</v>
      </c>
      <c r="F187" s="212">
        <f t="shared" si="4"/>
        <v>1348300</v>
      </c>
      <c r="G187" s="206">
        <f t="shared" si="5"/>
        <v>1306600</v>
      </c>
      <c r="H187" s="258">
        <v>386.85</v>
      </c>
      <c r="I187" s="258">
        <v>292.45999999999998</v>
      </c>
      <c r="J187" s="217">
        <v>94.4</v>
      </c>
      <c r="K187" s="217" t="s">
        <v>3607</v>
      </c>
    </row>
    <row r="188" spans="1:11">
      <c r="A188" s="217">
        <v>185</v>
      </c>
      <c r="B188" s="218" t="s">
        <v>2969</v>
      </c>
      <c r="C188" s="217" t="s">
        <v>33</v>
      </c>
      <c r="D188" s="217" t="s">
        <v>35</v>
      </c>
      <c r="E188" s="209">
        <v>1387000</v>
      </c>
      <c r="F188" s="212">
        <f t="shared" si="4"/>
        <v>1345390</v>
      </c>
      <c r="G188" s="206">
        <f t="shared" si="5"/>
        <v>1303780</v>
      </c>
      <c r="H188" s="258">
        <v>375.34</v>
      </c>
      <c r="I188" s="258">
        <v>292.45999999999998</v>
      </c>
      <c r="J188" s="217">
        <v>82.88</v>
      </c>
      <c r="K188" s="217" t="s">
        <v>3607</v>
      </c>
    </row>
    <row r="189" spans="1:11">
      <c r="A189" s="217">
        <v>186</v>
      </c>
      <c r="B189" s="218" t="s">
        <v>2970</v>
      </c>
      <c r="C189" s="217" t="s">
        <v>33</v>
      </c>
      <c r="D189" s="217" t="s">
        <v>35</v>
      </c>
      <c r="E189" s="209">
        <v>1387000</v>
      </c>
      <c r="F189" s="212">
        <f t="shared" si="4"/>
        <v>1345390</v>
      </c>
      <c r="G189" s="206">
        <f t="shared" si="5"/>
        <v>1303780</v>
      </c>
      <c r="H189" s="258">
        <v>341.11</v>
      </c>
      <c r="I189" s="258">
        <v>293.95999999999998</v>
      </c>
      <c r="J189" s="217">
        <v>47.15</v>
      </c>
      <c r="K189" s="217" t="s">
        <v>2461</v>
      </c>
    </row>
    <row r="190" spans="1:11">
      <c r="A190" s="217">
        <v>187</v>
      </c>
      <c r="B190" s="218" t="s">
        <v>2971</v>
      </c>
      <c r="C190" s="217" t="s">
        <v>33</v>
      </c>
      <c r="D190" s="217" t="s">
        <v>35</v>
      </c>
      <c r="E190" s="209">
        <v>1387000</v>
      </c>
      <c r="F190" s="212">
        <f t="shared" si="4"/>
        <v>1345390</v>
      </c>
      <c r="G190" s="206">
        <f t="shared" si="5"/>
        <v>1303780</v>
      </c>
      <c r="H190" s="258">
        <v>375.34</v>
      </c>
      <c r="I190" s="258">
        <v>292.45999999999998</v>
      </c>
      <c r="J190" s="217">
        <v>82.88</v>
      </c>
      <c r="K190" s="217" t="s">
        <v>2461</v>
      </c>
    </row>
    <row r="191" spans="1:11">
      <c r="A191" s="217">
        <v>188</v>
      </c>
      <c r="B191" s="218" t="s">
        <v>2972</v>
      </c>
      <c r="C191" s="217" t="s">
        <v>33</v>
      </c>
      <c r="D191" s="217" t="s">
        <v>35</v>
      </c>
      <c r="E191" s="209">
        <v>1387000</v>
      </c>
      <c r="F191" s="212">
        <f t="shared" si="4"/>
        <v>1345390</v>
      </c>
      <c r="G191" s="206">
        <f t="shared" si="5"/>
        <v>1303780</v>
      </c>
      <c r="H191" s="258">
        <v>375.34</v>
      </c>
      <c r="I191" s="258">
        <v>292.45999999999998</v>
      </c>
      <c r="J191" s="217">
        <v>82.88</v>
      </c>
      <c r="K191" s="217" t="s">
        <v>2461</v>
      </c>
    </row>
    <row r="192" spans="1:11">
      <c r="A192" s="217">
        <v>189</v>
      </c>
      <c r="B192" s="218" t="s">
        <v>2973</v>
      </c>
      <c r="C192" s="217" t="s">
        <v>33</v>
      </c>
      <c r="D192" s="217" t="s">
        <v>35</v>
      </c>
      <c r="E192" s="209">
        <v>1387000</v>
      </c>
      <c r="F192" s="212">
        <f t="shared" si="4"/>
        <v>1345390</v>
      </c>
      <c r="G192" s="206">
        <f t="shared" si="5"/>
        <v>1303780</v>
      </c>
      <c r="H192" s="258">
        <v>375.34</v>
      </c>
      <c r="I192" s="258">
        <v>292.45999999999998</v>
      </c>
      <c r="J192" s="217">
        <v>82.88</v>
      </c>
      <c r="K192" s="217" t="s">
        <v>3607</v>
      </c>
    </row>
    <row r="193" spans="1:11">
      <c r="A193" s="217">
        <v>190</v>
      </c>
      <c r="B193" s="218" t="s">
        <v>2974</v>
      </c>
      <c r="C193" s="217" t="s">
        <v>33</v>
      </c>
      <c r="D193" s="217" t="s">
        <v>35</v>
      </c>
      <c r="E193" s="209">
        <v>1387000</v>
      </c>
      <c r="F193" s="212">
        <f t="shared" si="4"/>
        <v>1345390</v>
      </c>
      <c r="G193" s="206">
        <f t="shared" si="5"/>
        <v>1303780</v>
      </c>
      <c r="H193" s="258">
        <v>341.11</v>
      </c>
      <c r="I193" s="258">
        <v>293.95999999999998</v>
      </c>
      <c r="J193" s="217">
        <v>47.15</v>
      </c>
      <c r="K193" s="217" t="s">
        <v>3607</v>
      </c>
    </row>
    <row r="194" spans="1:11">
      <c r="A194" s="217">
        <v>191</v>
      </c>
      <c r="B194" s="218" t="s">
        <v>2975</v>
      </c>
      <c r="C194" s="217" t="s">
        <v>34</v>
      </c>
      <c r="D194" s="217" t="s">
        <v>35</v>
      </c>
      <c r="E194" s="209">
        <v>1390000</v>
      </c>
      <c r="F194" s="212">
        <f t="shared" si="4"/>
        <v>1348300</v>
      </c>
      <c r="G194" s="206">
        <f t="shared" si="5"/>
        <v>1306600</v>
      </c>
      <c r="H194" s="258">
        <v>401.82</v>
      </c>
      <c r="I194" s="258">
        <v>292.45999999999998</v>
      </c>
      <c r="J194" s="217">
        <v>109.36</v>
      </c>
      <c r="K194" s="217" t="s">
        <v>2461</v>
      </c>
    </row>
    <row r="195" spans="1:11">
      <c r="A195" s="217">
        <v>192</v>
      </c>
      <c r="B195" s="218" t="s">
        <v>2976</v>
      </c>
      <c r="C195" s="217" t="s">
        <v>34</v>
      </c>
      <c r="D195" s="217" t="s">
        <v>35</v>
      </c>
      <c r="E195" s="209">
        <v>1390000</v>
      </c>
      <c r="F195" s="212">
        <f t="shared" ref="F195:F258" si="6">E195*0.97</f>
        <v>1348300</v>
      </c>
      <c r="G195" s="206">
        <f t="shared" ref="G195:G258" si="7">E195*0.94</f>
        <v>1306600</v>
      </c>
      <c r="H195" s="258">
        <v>401.82</v>
      </c>
      <c r="I195" s="258">
        <v>292.45999999999998</v>
      </c>
      <c r="J195" s="217">
        <v>109.36</v>
      </c>
      <c r="K195" s="217" t="s">
        <v>2461</v>
      </c>
    </row>
    <row r="196" spans="1:11">
      <c r="A196" s="217">
        <v>193</v>
      </c>
      <c r="B196" s="218" t="s">
        <v>2977</v>
      </c>
      <c r="C196" s="217" t="s">
        <v>34</v>
      </c>
      <c r="D196" s="217" t="s">
        <v>35</v>
      </c>
      <c r="E196" s="209">
        <v>1390000</v>
      </c>
      <c r="F196" s="212">
        <f t="shared" si="6"/>
        <v>1348300</v>
      </c>
      <c r="G196" s="206">
        <f t="shared" si="7"/>
        <v>1306600</v>
      </c>
      <c r="H196" s="258">
        <v>401.82</v>
      </c>
      <c r="I196" s="258">
        <v>292.45999999999998</v>
      </c>
      <c r="J196" s="217">
        <v>109.36</v>
      </c>
      <c r="K196" s="217" t="s">
        <v>3607</v>
      </c>
    </row>
    <row r="197" spans="1:11">
      <c r="A197" s="217">
        <v>194</v>
      </c>
      <c r="B197" s="218" t="s">
        <v>2978</v>
      </c>
      <c r="C197" s="217" t="s">
        <v>34</v>
      </c>
      <c r="D197" s="217" t="s">
        <v>35</v>
      </c>
      <c r="E197" s="209">
        <v>1390000</v>
      </c>
      <c r="F197" s="212">
        <f t="shared" si="6"/>
        <v>1348300</v>
      </c>
      <c r="G197" s="206">
        <f t="shared" si="7"/>
        <v>1306600</v>
      </c>
      <c r="H197" s="258">
        <v>401.82</v>
      </c>
      <c r="I197" s="258">
        <v>292.45999999999998</v>
      </c>
      <c r="J197" s="217">
        <v>109.36</v>
      </c>
      <c r="K197" s="217" t="s">
        <v>3607</v>
      </c>
    </row>
    <row r="198" spans="1:11">
      <c r="A198" s="217">
        <v>195</v>
      </c>
      <c r="B198" s="218" t="s">
        <v>2979</v>
      </c>
      <c r="C198" s="217" t="s">
        <v>34</v>
      </c>
      <c r="D198" s="217" t="s">
        <v>35</v>
      </c>
      <c r="E198" s="209">
        <v>1388000</v>
      </c>
      <c r="F198" s="212">
        <f t="shared" si="6"/>
        <v>1346360</v>
      </c>
      <c r="G198" s="206">
        <f t="shared" si="7"/>
        <v>1304720</v>
      </c>
      <c r="H198" s="258">
        <v>395.68</v>
      </c>
      <c r="I198" s="258">
        <v>292.45999999999998</v>
      </c>
      <c r="J198" s="217">
        <v>103.23</v>
      </c>
      <c r="K198" s="217" t="s">
        <v>2461</v>
      </c>
    </row>
    <row r="199" spans="1:11">
      <c r="A199" s="217">
        <v>196</v>
      </c>
      <c r="B199" s="218" t="s">
        <v>2980</v>
      </c>
      <c r="C199" s="217" t="s">
        <v>34</v>
      </c>
      <c r="D199" s="217" t="s">
        <v>35</v>
      </c>
      <c r="E199" s="209">
        <v>1388000</v>
      </c>
      <c r="F199" s="212">
        <f t="shared" si="6"/>
        <v>1346360</v>
      </c>
      <c r="G199" s="206">
        <f t="shared" si="7"/>
        <v>1304720</v>
      </c>
      <c r="H199" s="258">
        <v>395.68</v>
      </c>
      <c r="I199" s="258">
        <v>292.45999999999998</v>
      </c>
      <c r="J199" s="217">
        <v>103.23</v>
      </c>
      <c r="K199" s="217" t="s">
        <v>2461</v>
      </c>
    </row>
    <row r="200" spans="1:11">
      <c r="A200" s="217">
        <v>197</v>
      </c>
      <c r="B200" s="218" t="s">
        <v>2981</v>
      </c>
      <c r="C200" s="217" t="s">
        <v>34</v>
      </c>
      <c r="D200" s="217" t="s">
        <v>35</v>
      </c>
      <c r="E200" s="209">
        <v>1388000</v>
      </c>
      <c r="F200" s="212">
        <f t="shared" si="6"/>
        <v>1346360</v>
      </c>
      <c r="G200" s="206">
        <f t="shared" si="7"/>
        <v>1304720</v>
      </c>
      <c r="H200" s="258">
        <v>395.68</v>
      </c>
      <c r="I200" s="258">
        <v>292.45999999999998</v>
      </c>
      <c r="J200" s="217">
        <v>103.23</v>
      </c>
      <c r="K200" s="217" t="s">
        <v>3607</v>
      </c>
    </row>
    <row r="201" spans="1:11">
      <c r="A201" s="217">
        <v>198</v>
      </c>
      <c r="B201" s="218" t="s">
        <v>2982</v>
      </c>
      <c r="C201" s="217" t="s">
        <v>34</v>
      </c>
      <c r="D201" s="217" t="s">
        <v>35</v>
      </c>
      <c r="E201" s="209">
        <v>1388000</v>
      </c>
      <c r="F201" s="212">
        <f t="shared" si="6"/>
        <v>1346360</v>
      </c>
      <c r="G201" s="206">
        <f t="shared" si="7"/>
        <v>1304720</v>
      </c>
      <c r="H201" s="258">
        <v>395.68</v>
      </c>
      <c r="I201" s="258">
        <v>292.45999999999998</v>
      </c>
      <c r="J201" s="217">
        <v>103.23</v>
      </c>
      <c r="K201" s="217" t="s">
        <v>3607</v>
      </c>
    </row>
    <row r="202" spans="1:11">
      <c r="A202" s="217">
        <v>199</v>
      </c>
      <c r="B202" s="218" t="s">
        <v>2983</v>
      </c>
      <c r="C202" s="217" t="s">
        <v>4461</v>
      </c>
      <c r="D202" s="217" t="s">
        <v>35</v>
      </c>
      <c r="E202" s="209">
        <v>1391000</v>
      </c>
      <c r="F202" s="212">
        <f t="shared" si="6"/>
        <v>1349270</v>
      </c>
      <c r="G202" s="206">
        <f t="shared" si="7"/>
        <v>1307540</v>
      </c>
      <c r="H202" s="258">
        <v>361.13</v>
      </c>
      <c r="I202" s="258">
        <v>292.45999999999998</v>
      </c>
      <c r="J202" s="217">
        <v>68.67</v>
      </c>
      <c r="K202" s="217" t="s">
        <v>3607</v>
      </c>
    </row>
    <row r="203" spans="1:11">
      <c r="A203" s="217">
        <v>200</v>
      </c>
      <c r="B203" s="218" t="s">
        <v>2984</v>
      </c>
      <c r="C203" s="217" t="s">
        <v>34</v>
      </c>
      <c r="D203" s="217" t="s">
        <v>35</v>
      </c>
      <c r="E203" s="209">
        <v>1387000</v>
      </c>
      <c r="F203" s="212">
        <f t="shared" si="6"/>
        <v>1345390</v>
      </c>
      <c r="G203" s="206">
        <f t="shared" si="7"/>
        <v>1303780</v>
      </c>
      <c r="H203" s="258">
        <v>386.85</v>
      </c>
      <c r="I203" s="258">
        <v>292.45999999999998</v>
      </c>
      <c r="J203" s="217">
        <v>94.4</v>
      </c>
      <c r="K203" s="217" t="s">
        <v>2461</v>
      </c>
    </row>
    <row r="204" spans="1:11">
      <c r="A204" s="217">
        <v>201</v>
      </c>
      <c r="B204" s="218" t="s">
        <v>2985</v>
      </c>
      <c r="C204" s="217" t="s">
        <v>34</v>
      </c>
      <c r="D204" s="217" t="s">
        <v>35</v>
      </c>
      <c r="E204" s="209">
        <v>1387000</v>
      </c>
      <c r="F204" s="212">
        <f t="shared" si="6"/>
        <v>1345390</v>
      </c>
      <c r="G204" s="206">
        <f t="shared" si="7"/>
        <v>1303780</v>
      </c>
      <c r="H204" s="258">
        <v>386.85</v>
      </c>
      <c r="I204" s="258">
        <v>292.45999999999998</v>
      </c>
      <c r="J204" s="217">
        <v>94.4</v>
      </c>
      <c r="K204" s="217" t="s">
        <v>2461</v>
      </c>
    </row>
    <row r="205" spans="1:11">
      <c r="A205" s="217">
        <v>202</v>
      </c>
      <c r="B205" s="218" t="s">
        <v>2986</v>
      </c>
      <c r="C205" s="217" t="s">
        <v>34</v>
      </c>
      <c r="D205" s="217" t="s">
        <v>35</v>
      </c>
      <c r="E205" s="209">
        <v>1387000</v>
      </c>
      <c r="F205" s="212">
        <f t="shared" si="6"/>
        <v>1345390</v>
      </c>
      <c r="G205" s="206">
        <f t="shared" si="7"/>
        <v>1303780</v>
      </c>
      <c r="H205" s="258">
        <v>386.85</v>
      </c>
      <c r="I205" s="258">
        <v>292.45999999999998</v>
      </c>
      <c r="J205" s="217">
        <v>94.4</v>
      </c>
      <c r="K205" s="217" t="s">
        <v>3607</v>
      </c>
    </row>
    <row r="206" spans="1:11">
      <c r="A206" s="217">
        <v>203</v>
      </c>
      <c r="B206" s="218" t="s">
        <v>2987</v>
      </c>
      <c r="C206" s="217" t="s">
        <v>34</v>
      </c>
      <c r="D206" s="217" t="s">
        <v>35</v>
      </c>
      <c r="E206" s="209">
        <v>1387000</v>
      </c>
      <c r="F206" s="212">
        <f t="shared" si="6"/>
        <v>1345390</v>
      </c>
      <c r="G206" s="206">
        <f t="shared" si="7"/>
        <v>1303780</v>
      </c>
      <c r="H206" s="258">
        <v>386.85</v>
      </c>
      <c r="I206" s="258">
        <v>292.45999999999998</v>
      </c>
      <c r="J206" s="217">
        <v>94.4</v>
      </c>
      <c r="K206" s="217" t="s">
        <v>3607</v>
      </c>
    </row>
    <row r="207" spans="1:11">
      <c r="A207" s="217">
        <v>204</v>
      </c>
      <c r="B207" s="218" t="s">
        <v>2988</v>
      </c>
      <c r="C207" s="217" t="s">
        <v>4461</v>
      </c>
      <c r="D207" s="217" t="s">
        <v>35</v>
      </c>
      <c r="E207" s="209">
        <v>1391000</v>
      </c>
      <c r="F207" s="212">
        <f t="shared" si="6"/>
        <v>1349270</v>
      </c>
      <c r="G207" s="206">
        <f t="shared" si="7"/>
        <v>1307540</v>
      </c>
      <c r="H207" s="258">
        <v>361.13</v>
      </c>
      <c r="I207" s="258">
        <v>292.45999999999998</v>
      </c>
      <c r="J207" s="217">
        <v>68.67</v>
      </c>
      <c r="K207" s="217" t="s">
        <v>2461</v>
      </c>
    </row>
    <row r="208" spans="1:11">
      <c r="A208" s="217">
        <v>205</v>
      </c>
      <c r="B208" s="218" t="s">
        <v>2989</v>
      </c>
      <c r="C208" s="217" t="s">
        <v>4461</v>
      </c>
      <c r="D208" s="217" t="s">
        <v>35</v>
      </c>
      <c r="E208" s="209">
        <v>1391000</v>
      </c>
      <c r="F208" s="212">
        <f t="shared" si="6"/>
        <v>1349270</v>
      </c>
      <c r="G208" s="206">
        <f t="shared" si="7"/>
        <v>1307540</v>
      </c>
      <c r="H208" s="258">
        <v>361.13</v>
      </c>
      <c r="I208" s="258">
        <v>292.45999999999998</v>
      </c>
      <c r="J208" s="217">
        <v>68.67</v>
      </c>
      <c r="K208" s="217" t="s">
        <v>2461</v>
      </c>
    </row>
    <row r="209" spans="1:11">
      <c r="A209" s="217">
        <v>206</v>
      </c>
      <c r="B209" s="218" t="s">
        <v>2990</v>
      </c>
      <c r="C209" s="217" t="s">
        <v>4461</v>
      </c>
      <c r="D209" s="217" t="s">
        <v>35</v>
      </c>
      <c r="E209" s="209">
        <v>1391000</v>
      </c>
      <c r="F209" s="212">
        <f t="shared" si="6"/>
        <v>1349270</v>
      </c>
      <c r="G209" s="206">
        <f t="shared" si="7"/>
        <v>1307540</v>
      </c>
      <c r="H209" s="258">
        <v>361.13</v>
      </c>
      <c r="I209" s="258">
        <v>292.45999999999998</v>
      </c>
      <c r="J209" s="217">
        <v>68.67</v>
      </c>
      <c r="K209" s="217" t="s">
        <v>3607</v>
      </c>
    </row>
    <row r="210" spans="1:11">
      <c r="A210" s="217">
        <v>207</v>
      </c>
      <c r="B210" s="218" t="s">
        <v>2991</v>
      </c>
      <c r="C210" s="217" t="s">
        <v>4461</v>
      </c>
      <c r="D210" s="217" t="s">
        <v>35</v>
      </c>
      <c r="E210" s="209">
        <v>1387000</v>
      </c>
      <c r="F210" s="212">
        <f t="shared" si="6"/>
        <v>1345390</v>
      </c>
      <c r="G210" s="206">
        <f t="shared" si="7"/>
        <v>1303780</v>
      </c>
      <c r="H210" s="258">
        <v>401.82</v>
      </c>
      <c r="I210" s="258">
        <v>292.45999999999998</v>
      </c>
      <c r="J210" s="217">
        <v>109.36</v>
      </c>
      <c r="K210" s="217" t="s">
        <v>2461</v>
      </c>
    </row>
    <row r="211" spans="1:11">
      <c r="A211" s="217">
        <v>208</v>
      </c>
      <c r="B211" s="218" t="s">
        <v>2992</v>
      </c>
      <c r="C211" s="217" t="s">
        <v>4461</v>
      </c>
      <c r="D211" s="217" t="s">
        <v>35</v>
      </c>
      <c r="E211" s="209">
        <v>1387000</v>
      </c>
      <c r="F211" s="212">
        <f t="shared" si="6"/>
        <v>1345390</v>
      </c>
      <c r="G211" s="206">
        <f t="shared" si="7"/>
        <v>1303780</v>
      </c>
      <c r="H211" s="258">
        <v>401.82</v>
      </c>
      <c r="I211" s="258">
        <v>292.45999999999998</v>
      </c>
      <c r="J211" s="217">
        <v>109.36</v>
      </c>
      <c r="K211" s="217" t="s">
        <v>2461</v>
      </c>
    </row>
    <row r="212" spans="1:11">
      <c r="A212" s="217">
        <v>209</v>
      </c>
      <c r="B212" s="218" t="s">
        <v>2993</v>
      </c>
      <c r="C212" s="217" t="s">
        <v>4461</v>
      </c>
      <c r="D212" s="217" t="s">
        <v>35</v>
      </c>
      <c r="E212" s="209">
        <v>1387000</v>
      </c>
      <c r="F212" s="212">
        <f t="shared" si="6"/>
        <v>1345390</v>
      </c>
      <c r="G212" s="206">
        <f t="shared" si="7"/>
        <v>1303780</v>
      </c>
      <c r="H212" s="258">
        <v>401.82</v>
      </c>
      <c r="I212" s="258">
        <v>292.45999999999998</v>
      </c>
      <c r="J212" s="217">
        <v>109.36</v>
      </c>
      <c r="K212" s="217" t="s">
        <v>3607</v>
      </c>
    </row>
    <row r="213" spans="1:11">
      <c r="A213" s="217">
        <v>210</v>
      </c>
      <c r="B213" s="218" t="s">
        <v>2994</v>
      </c>
      <c r="C213" s="217" t="s">
        <v>4461</v>
      </c>
      <c r="D213" s="217" t="s">
        <v>35</v>
      </c>
      <c r="E213" s="209">
        <v>1387000</v>
      </c>
      <c r="F213" s="212">
        <f t="shared" si="6"/>
        <v>1345390</v>
      </c>
      <c r="G213" s="206">
        <f t="shared" si="7"/>
        <v>1303780</v>
      </c>
      <c r="H213" s="258">
        <v>401.82</v>
      </c>
      <c r="I213" s="258">
        <v>292.45999999999998</v>
      </c>
      <c r="J213" s="217">
        <v>109.36</v>
      </c>
      <c r="K213" s="217" t="s">
        <v>3607</v>
      </c>
    </row>
    <row r="214" spans="1:11">
      <c r="A214" s="217">
        <v>211</v>
      </c>
      <c r="B214" s="218" t="s">
        <v>2995</v>
      </c>
      <c r="C214" s="217" t="s">
        <v>34</v>
      </c>
      <c r="D214" s="217" t="s">
        <v>35</v>
      </c>
      <c r="E214" s="209">
        <v>1385000</v>
      </c>
      <c r="F214" s="212">
        <f t="shared" si="6"/>
        <v>1343450</v>
      </c>
      <c r="G214" s="206">
        <f t="shared" si="7"/>
        <v>1301900</v>
      </c>
      <c r="H214" s="258">
        <v>341.11</v>
      </c>
      <c r="I214" s="258">
        <v>293.95999999999998</v>
      </c>
      <c r="J214" s="217">
        <v>47.15</v>
      </c>
      <c r="K214" s="217" t="s">
        <v>2461</v>
      </c>
    </row>
    <row r="215" spans="1:11">
      <c r="A215" s="217">
        <v>212</v>
      </c>
      <c r="B215" s="218" t="s">
        <v>2996</v>
      </c>
      <c r="C215" s="217" t="s">
        <v>34</v>
      </c>
      <c r="D215" s="217" t="s">
        <v>35</v>
      </c>
      <c r="E215" s="209">
        <v>1384000</v>
      </c>
      <c r="F215" s="212">
        <f t="shared" si="6"/>
        <v>1342480</v>
      </c>
      <c r="G215" s="206">
        <f t="shared" si="7"/>
        <v>1300960</v>
      </c>
      <c r="H215" s="258">
        <v>375.34</v>
      </c>
      <c r="I215" s="258">
        <v>292.45999999999998</v>
      </c>
      <c r="J215" s="217">
        <v>82.88</v>
      </c>
      <c r="K215" s="217" t="s">
        <v>2461</v>
      </c>
    </row>
    <row r="216" spans="1:11">
      <c r="A216" s="217">
        <v>213</v>
      </c>
      <c r="B216" s="218" t="s">
        <v>2997</v>
      </c>
      <c r="C216" s="217" t="s">
        <v>34</v>
      </c>
      <c r="D216" s="217" t="s">
        <v>35</v>
      </c>
      <c r="E216" s="209">
        <v>1385000</v>
      </c>
      <c r="F216" s="212">
        <f t="shared" si="6"/>
        <v>1343450</v>
      </c>
      <c r="G216" s="206">
        <f t="shared" si="7"/>
        <v>1301900</v>
      </c>
      <c r="H216" s="258">
        <v>341.11</v>
      </c>
      <c r="I216" s="258">
        <v>293.95999999999998</v>
      </c>
      <c r="J216" s="217">
        <v>47.15</v>
      </c>
      <c r="K216" s="217" t="s">
        <v>2461</v>
      </c>
    </row>
    <row r="217" spans="1:11">
      <c r="A217" s="217">
        <v>214</v>
      </c>
      <c r="B217" s="218" t="s">
        <v>2998</v>
      </c>
      <c r="C217" s="217" t="s">
        <v>34</v>
      </c>
      <c r="D217" s="217" t="s">
        <v>35</v>
      </c>
      <c r="E217" s="209">
        <v>1385000</v>
      </c>
      <c r="F217" s="212">
        <f t="shared" si="6"/>
        <v>1343450</v>
      </c>
      <c r="G217" s="206">
        <f t="shared" si="7"/>
        <v>1301900</v>
      </c>
      <c r="H217" s="258">
        <v>341.11</v>
      </c>
      <c r="I217" s="258">
        <v>293.95999999999998</v>
      </c>
      <c r="J217" s="217">
        <v>47.15</v>
      </c>
      <c r="K217" s="217" t="s">
        <v>3607</v>
      </c>
    </row>
    <row r="218" spans="1:11">
      <c r="A218" s="217">
        <v>215</v>
      </c>
      <c r="B218" s="218" t="s">
        <v>2999</v>
      </c>
      <c r="C218" s="217" t="s">
        <v>34</v>
      </c>
      <c r="D218" s="217" t="s">
        <v>35</v>
      </c>
      <c r="E218" s="209">
        <v>1384000</v>
      </c>
      <c r="F218" s="212">
        <f t="shared" si="6"/>
        <v>1342480</v>
      </c>
      <c r="G218" s="206">
        <f t="shared" si="7"/>
        <v>1300960</v>
      </c>
      <c r="H218" s="258">
        <v>375.34</v>
      </c>
      <c r="I218" s="258">
        <v>292.45999999999998</v>
      </c>
      <c r="J218" s="217">
        <v>82.88</v>
      </c>
      <c r="K218" s="217" t="s">
        <v>3607</v>
      </c>
    </row>
    <row r="219" spans="1:11">
      <c r="A219" s="217">
        <v>216</v>
      </c>
      <c r="B219" s="218" t="s">
        <v>3000</v>
      </c>
      <c r="C219" s="217" t="s">
        <v>34</v>
      </c>
      <c r="D219" s="217" t="s">
        <v>35</v>
      </c>
      <c r="E219" s="209">
        <v>1384000</v>
      </c>
      <c r="F219" s="212">
        <f t="shared" si="6"/>
        <v>1342480</v>
      </c>
      <c r="G219" s="206">
        <f t="shared" si="7"/>
        <v>1300960</v>
      </c>
      <c r="H219" s="258">
        <v>375.34</v>
      </c>
      <c r="I219" s="258">
        <v>292.45999999999998</v>
      </c>
      <c r="J219" s="217">
        <v>82.88</v>
      </c>
      <c r="K219" s="217" t="s">
        <v>3607</v>
      </c>
    </row>
    <row r="220" spans="1:11">
      <c r="A220" s="217">
        <v>217</v>
      </c>
      <c r="B220" s="218" t="s">
        <v>3001</v>
      </c>
      <c r="C220" s="217" t="s">
        <v>4461</v>
      </c>
      <c r="D220" s="217" t="s">
        <v>35</v>
      </c>
      <c r="E220" s="209">
        <v>1385000</v>
      </c>
      <c r="F220" s="212">
        <f t="shared" si="6"/>
        <v>1343450</v>
      </c>
      <c r="G220" s="206">
        <f t="shared" si="7"/>
        <v>1301900</v>
      </c>
      <c r="H220" s="258">
        <v>395.68</v>
      </c>
      <c r="I220" s="258">
        <v>292.45999999999998</v>
      </c>
      <c r="J220" s="217">
        <v>103.23</v>
      </c>
      <c r="K220" s="217" t="s">
        <v>2461</v>
      </c>
    </row>
    <row r="221" spans="1:11">
      <c r="A221" s="217">
        <v>218</v>
      </c>
      <c r="B221" s="218" t="s">
        <v>3002</v>
      </c>
      <c r="C221" s="217" t="s">
        <v>4461</v>
      </c>
      <c r="D221" s="217" t="s">
        <v>35</v>
      </c>
      <c r="E221" s="209">
        <v>1385000</v>
      </c>
      <c r="F221" s="212">
        <f t="shared" si="6"/>
        <v>1343450</v>
      </c>
      <c r="G221" s="206">
        <f t="shared" si="7"/>
        <v>1301900</v>
      </c>
      <c r="H221" s="258">
        <v>395.68</v>
      </c>
      <c r="I221" s="258">
        <v>292.45999999999998</v>
      </c>
      <c r="J221" s="217">
        <v>103.23</v>
      </c>
      <c r="K221" s="217" t="s">
        <v>2461</v>
      </c>
    </row>
    <row r="222" spans="1:11">
      <c r="A222" s="217">
        <v>219</v>
      </c>
      <c r="B222" s="218" t="s">
        <v>3003</v>
      </c>
      <c r="C222" s="217" t="s">
        <v>4461</v>
      </c>
      <c r="D222" s="217" t="s">
        <v>35</v>
      </c>
      <c r="E222" s="209">
        <v>1385000</v>
      </c>
      <c r="F222" s="212">
        <f t="shared" si="6"/>
        <v>1343450</v>
      </c>
      <c r="G222" s="206">
        <f t="shared" si="7"/>
        <v>1301900</v>
      </c>
      <c r="H222" s="258">
        <v>395.68</v>
      </c>
      <c r="I222" s="258">
        <v>292.45999999999998</v>
      </c>
      <c r="J222" s="217">
        <v>103.23</v>
      </c>
      <c r="K222" s="217" t="s">
        <v>3607</v>
      </c>
    </row>
    <row r="223" spans="1:11">
      <c r="A223" s="217">
        <v>220</v>
      </c>
      <c r="B223" s="218" t="s">
        <v>3004</v>
      </c>
      <c r="C223" s="217" t="s">
        <v>4461</v>
      </c>
      <c r="D223" s="217" t="s">
        <v>35</v>
      </c>
      <c r="E223" s="209">
        <v>1385000</v>
      </c>
      <c r="F223" s="212">
        <f t="shared" si="6"/>
        <v>1343450</v>
      </c>
      <c r="G223" s="206">
        <f t="shared" si="7"/>
        <v>1301900</v>
      </c>
      <c r="H223" s="258">
        <v>395.68</v>
      </c>
      <c r="I223" s="258">
        <v>292.45999999999998</v>
      </c>
      <c r="J223" s="217">
        <v>103.23</v>
      </c>
      <c r="K223" s="217" t="s">
        <v>3607</v>
      </c>
    </row>
    <row r="224" spans="1:11">
      <c r="A224" s="217">
        <v>221</v>
      </c>
      <c r="B224" s="218" t="s">
        <v>3005</v>
      </c>
      <c r="C224" s="217" t="s">
        <v>4461</v>
      </c>
      <c r="D224" s="217" t="s">
        <v>35</v>
      </c>
      <c r="E224" s="209">
        <v>1385000</v>
      </c>
      <c r="F224" s="212">
        <f t="shared" si="6"/>
        <v>1343450</v>
      </c>
      <c r="G224" s="206">
        <f t="shared" si="7"/>
        <v>1301900</v>
      </c>
      <c r="H224" s="258">
        <v>386.85</v>
      </c>
      <c r="I224" s="258">
        <v>292.45999999999998</v>
      </c>
      <c r="J224" s="217">
        <v>94.4</v>
      </c>
      <c r="K224" s="217" t="s">
        <v>2461</v>
      </c>
    </row>
    <row r="225" spans="1:11">
      <c r="A225" s="217">
        <v>222</v>
      </c>
      <c r="B225" s="218" t="s">
        <v>3006</v>
      </c>
      <c r="C225" s="217" t="s">
        <v>4461</v>
      </c>
      <c r="D225" s="217" t="s">
        <v>35</v>
      </c>
      <c r="E225" s="209">
        <v>1385000</v>
      </c>
      <c r="F225" s="212">
        <f t="shared" si="6"/>
        <v>1343450</v>
      </c>
      <c r="G225" s="206">
        <f t="shared" si="7"/>
        <v>1301900</v>
      </c>
      <c r="H225" s="258">
        <v>386.85</v>
      </c>
      <c r="I225" s="258">
        <v>292.45999999999998</v>
      </c>
      <c r="J225" s="217">
        <v>94.4</v>
      </c>
      <c r="K225" s="217" t="s">
        <v>3607</v>
      </c>
    </row>
    <row r="226" spans="1:11">
      <c r="A226" s="217">
        <v>223</v>
      </c>
      <c r="B226" s="218" t="s">
        <v>3007</v>
      </c>
      <c r="C226" s="217" t="s">
        <v>4461</v>
      </c>
      <c r="D226" s="217" t="s">
        <v>35</v>
      </c>
      <c r="E226" s="209">
        <v>1385000</v>
      </c>
      <c r="F226" s="212">
        <f t="shared" si="6"/>
        <v>1343450</v>
      </c>
      <c r="G226" s="206">
        <f t="shared" si="7"/>
        <v>1301900</v>
      </c>
      <c r="H226" s="258">
        <v>386.85</v>
      </c>
      <c r="I226" s="258">
        <v>292.45999999999998</v>
      </c>
      <c r="J226" s="217">
        <v>94.4</v>
      </c>
      <c r="K226" s="217" t="s">
        <v>3607</v>
      </c>
    </row>
    <row r="227" spans="1:11">
      <c r="A227" s="217">
        <v>224</v>
      </c>
      <c r="B227" s="218" t="s">
        <v>3008</v>
      </c>
      <c r="C227" s="217" t="s">
        <v>4460</v>
      </c>
      <c r="D227" s="217" t="s">
        <v>35</v>
      </c>
      <c r="E227" s="209">
        <v>1388000</v>
      </c>
      <c r="F227" s="212">
        <f t="shared" si="6"/>
        <v>1346360</v>
      </c>
      <c r="G227" s="206">
        <f t="shared" si="7"/>
        <v>1304720</v>
      </c>
      <c r="H227" s="258">
        <v>361.13</v>
      </c>
      <c r="I227" s="258">
        <v>292.45999999999998</v>
      </c>
      <c r="J227" s="217">
        <v>68.67</v>
      </c>
      <c r="K227" s="217" t="s">
        <v>2461</v>
      </c>
    </row>
    <row r="228" spans="1:11">
      <c r="A228" s="217">
        <v>225</v>
      </c>
      <c r="B228" s="218" t="s">
        <v>3009</v>
      </c>
      <c r="C228" s="217" t="s">
        <v>4460</v>
      </c>
      <c r="D228" s="217" t="s">
        <v>35</v>
      </c>
      <c r="E228" s="209">
        <v>1388000</v>
      </c>
      <c r="F228" s="212">
        <f t="shared" si="6"/>
        <v>1346360</v>
      </c>
      <c r="G228" s="206">
        <f t="shared" si="7"/>
        <v>1304720</v>
      </c>
      <c r="H228" s="258">
        <v>361.13</v>
      </c>
      <c r="I228" s="258">
        <v>292.45999999999998</v>
      </c>
      <c r="J228" s="217">
        <v>68.67</v>
      </c>
      <c r="K228" s="217" t="s">
        <v>2461</v>
      </c>
    </row>
    <row r="229" spans="1:11">
      <c r="A229" s="217">
        <v>226</v>
      </c>
      <c r="B229" s="218" t="s">
        <v>3010</v>
      </c>
      <c r="C229" s="217" t="s">
        <v>4460</v>
      </c>
      <c r="D229" s="217" t="s">
        <v>35</v>
      </c>
      <c r="E229" s="209">
        <v>1388000</v>
      </c>
      <c r="F229" s="212">
        <f t="shared" si="6"/>
        <v>1346360</v>
      </c>
      <c r="G229" s="206">
        <f t="shared" si="7"/>
        <v>1304720</v>
      </c>
      <c r="H229" s="258">
        <v>361.13</v>
      </c>
      <c r="I229" s="258">
        <v>292.45999999999998</v>
      </c>
      <c r="J229" s="217">
        <v>68.67</v>
      </c>
      <c r="K229" s="217" t="s">
        <v>3607</v>
      </c>
    </row>
    <row r="230" spans="1:11">
      <c r="A230" s="217">
        <v>227</v>
      </c>
      <c r="B230" s="218" t="s">
        <v>3011</v>
      </c>
      <c r="C230" s="217" t="s">
        <v>4461</v>
      </c>
      <c r="D230" s="217" t="s">
        <v>35</v>
      </c>
      <c r="E230" s="209">
        <v>1381000</v>
      </c>
      <c r="F230" s="212">
        <f t="shared" si="6"/>
        <v>1339570</v>
      </c>
      <c r="G230" s="206">
        <f t="shared" si="7"/>
        <v>1298140</v>
      </c>
      <c r="H230" s="258">
        <v>375.34</v>
      </c>
      <c r="I230" s="258">
        <v>292.45999999999998</v>
      </c>
      <c r="J230" s="217">
        <v>82.88</v>
      </c>
      <c r="K230" s="217" t="s">
        <v>3607</v>
      </c>
    </row>
    <row r="231" spans="1:11">
      <c r="A231" s="217">
        <v>228</v>
      </c>
      <c r="B231" s="218" t="s">
        <v>3012</v>
      </c>
      <c r="C231" s="217" t="s">
        <v>4461</v>
      </c>
      <c r="D231" s="217" t="s">
        <v>35</v>
      </c>
      <c r="E231" s="209">
        <v>1381000</v>
      </c>
      <c r="F231" s="212">
        <f t="shared" si="6"/>
        <v>1339570</v>
      </c>
      <c r="G231" s="206">
        <f t="shared" si="7"/>
        <v>1298140</v>
      </c>
      <c r="H231" s="258">
        <v>375.34</v>
      </c>
      <c r="I231" s="258">
        <v>292.45999999999998</v>
      </c>
      <c r="J231" s="217">
        <v>82.88</v>
      </c>
      <c r="K231" s="217" t="s">
        <v>2461</v>
      </c>
    </row>
    <row r="232" spans="1:11">
      <c r="A232" s="217">
        <v>229</v>
      </c>
      <c r="B232" s="218" t="s">
        <v>3013</v>
      </c>
      <c r="C232" s="217" t="s">
        <v>4461</v>
      </c>
      <c r="D232" s="217" t="s">
        <v>35</v>
      </c>
      <c r="E232" s="209">
        <v>1381000</v>
      </c>
      <c r="F232" s="212">
        <f t="shared" si="6"/>
        <v>1339570</v>
      </c>
      <c r="G232" s="206">
        <f t="shared" si="7"/>
        <v>1298140</v>
      </c>
      <c r="H232" s="258">
        <v>375.34</v>
      </c>
      <c r="I232" s="258">
        <v>292.45999999999998</v>
      </c>
      <c r="J232" s="217">
        <v>82.88</v>
      </c>
      <c r="K232" s="217" t="s">
        <v>2461</v>
      </c>
    </row>
    <row r="233" spans="1:11">
      <c r="A233" s="217">
        <v>230</v>
      </c>
      <c r="B233" s="218" t="s">
        <v>3014</v>
      </c>
      <c r="C233" s="217" t="s">
        <v>4461</v>
      </c>
      <c r="D233" s="217" t="s">
        <v>35</v>
      </c>
      <c r="E233" s="209">
        <v>1381000</v>
      </c>
      <c r="F233" s="212">
        <f t="shared" si="6"/>
        <v>1339570</v>
      </c>
      <c r="G233" s="206">
        <f t="shared" si="7"/>
        <v>1298140</v>
      </c>
      <c r="H233" s="258">
        <v>375.34</v>
      </c>
      <c r="I233" s="258">
        <v>292.45999999999998</v>
      </c>
      <c r="J233" s="217">
        <v>82.88</v>
      </c>
      <c r="K233" s="217" t="s">
        <v>3607</v>
      </c>
    </row>
    <row r="234" spans="1:11">
      <c r="A234" s="217">
        <v>231</v>
      </c>
      <c r="B234" s="218" t="s">
        <v>3015</v>
      </c>
      <c r="C234" s="217" t="s">
        <v>4460</v>
      </c>
      <c r="D234" s="217" t="s">
        <v>35</v>
      </c>
      <c r="E234" s="209">
        <v>1385000</v>
      </c>
      <c r="F234" s="212">
        <f t="shared" si="6"/>
        <v>1343450</v>
      </c>
      <c r="G234" s="206">
        <f t="shared" si="7"/>
        <v>1301900</v>
      </c>
      <c r="H234" s="258">
        <v>401.82</v>
      </c>
      <c r="I234" s="258">
        <v>292.45999999999998</v>
      </c>
      <c r="J234" s="217">
        <v>109.36</v>
      </c>
      <c r="K234" s="217" t="s">
        <v>2461</v>
      </c>
    </row>
    <row r="235" spans="1:11">
      <c r="A235" s="217">
        <v>232</v>
      </c>
      <c r="B235" s="218" t="s">
        <v>3016</v>
      </c>
      <c r="C235" s="217" t="s">
        <v>4460</v>
      </c>
      <c r="D235" s="217" t="s">
        <v>35</v>
      </c>
      <c r="E235" s="209">
        <v>1385000</v>
      </c>
      <c r="F235" s="212">
        <f t="shared" si="6"/>
        <v>1343450</v>
      </c>
      <c r="G235" s="206">
        <f t="shared" si="7"/>
        <v>1301900</v>
      </c>
      <c r="H235" s="258">
        <v>401.82</v>
      </c>
      <c r="I235" s="258">
        <v>292.45999999999998</v>
      </c>
      <c r="J235" s="217">
        <v>109.36</v>
      </c>
      <c r="K235" s="217" t="s">
        <v>2461</v>
      </c>
    </row>
    <row r="236" spans="1:11">
      <c r="A236" s="217">
        <v>233</v>
      </c>
      <c r="B236" s="218" t="s">
        <v>3017</v>
      </c>
      <c r="C236" s="217" t="s">
        <v>4460</v>
      </c>
      <c r="D236" s="217" t="s">
        <v>35</v>
      </c>
      <c r="E236" s="209">
        <v>1385000</v>
      </c>
      <c r="F236" s="212">
        <f t="shared" si="6"/>
        <v>1343450</v>
      </c>
      <c r="G236" s="206">
        <f t="shared" si="7"/>
        <v>1301900</v>
      </c>
      <c r="H236" s="258">
        <v>401.82</v>
      </c>
      <c r="I236" s="258">
        <v>292.45999999999998</v>
      </c>
      <c r="J236" s="217">
        <v>109.36</v>
      </c>
      <c r="K236" s="217" t="s">
        <v>3607</v>
      </c>
    </row>
    <row r="237" spans="1:11">
      <c r="A237" s="217">
        <v>234</v>
      </c>
      <c r="B237" s="218" t="s">
        <v>3018</v>
      </c>
      <c r="C237" s="217" t="s">
        <v>4460</v>
      </c>
      <c r="D237" s="217" t="s">
        <v>35</v>
      </c>
      <c r="E237" s="209">
        <v>1385000</v>
      </c>
      <c r="F237" s="212">
        <f t="shared" si="6"/>
        <v>1343450</v>
      </c>
      <c r="G237" s="206">
        <f t="shared" si="7"/>
        <v>1301900</v>
      </c>
      <c r="H237" s="258">
        <v>401.82</v>
      </c>
      <c r="I237" s="258">
        <v>292.45999999999998</v>
      </c>
      <c r="J237" s="217">
        <v>109.36</v>
      </c>
      <c r="K237" s="217" t="s">
        <v>3607</v>
      </c>
    </row>
    <row r="238" spans="1:11">
      <c r="A238" s="217">
        <v>235</v>
      </c>
      <c r="B238" s="218" t="s">
        <v>3019</v>
      </c>
      <c r="C238" s="217" t="s">
        <v>4461</v>
      </c>
      <c r="D238" s="217" t="s">
        <v>35</v>
      </c>
      <c r="E238" s="209">
        <v>1382000</v>
      </c>
      <c r="F238" s="212">
        <f t="shared" si="6"/>
        <v>1340540</v>
      </c>
      <c r="G238" s="206">
        <f t="shared" si="7"/>
        <v>1299080</v>
      </c>
      <c r="H238" s="258">
        <v>341.11</v>
      </c>
      <c r="I238" s="258">
        <v>293.95999999999998</v>
      </c>
      <c r="J238" s="217">
        <v>47.15</v>
      </c>
      <c r="K238" s="217" t="s">
        <v>2461</v>
      </c>
    </row>
    <row r="239" spans="1:11">
      <c r="A239" s="217">
        <v>236</v>
      </c>
      <c r="B239" s="218" t="s">
        <v>3020</v>
      </c>
      <c r="C239" s="217" t="s">
        <v>4461</v>
      </c>
      <c r="D239" s="217" t="s">
        <v>35</v>
      </c>
      <c r="E239" s="209">
        <v>1382000</v>
      </c>
      <c r="F239" s="212">
        <f t="shared" si="6"/>
        <v>1340540</v>
      </c>
      <c r="G239" s="206">
        <f t="shared" si="7"/>
        <v>1299080</v>
      </c>
      <c r="H239" s="258">
        <v>341.11</v>
      </c>
      <c r="I239" s="258">
        <v>293.95999999999998</v>
      </c>
      <c r="J239" s="217">
        <v>47.15</v>
      </c>
      <c r="K239" s="217" t="s">
        <v>2461</v>
      </c>
    </row>
    <row r="240" spans="1:11">
      <c r="A240" s="217">
        <v>237</v>
      </c>
      <c r="B240" s="218" t="s">
        <v>3021</v>
      </c>
      <c r="C240" s="217" t="s">
        <v>4461</v>
      </c>
      <c r="D240" s="217" t="s">
        <v>35</v>
      </c>
      <c r="E240" s="209">
        <v>1382000</v>
      </c>
      <c r="F240" s="212">
        <f t="shared" si="6"/>
        <v>1340540</v>
      </c>
      <c r="G240" s="206">
        <f t="shared" si="7"/>
        <v>1299080</v>
      </c>
      <c r="H240" s="258">
        <v>341.11</v>
      </c>
      <c r="I240" s="258">
        <v>293.95999999999998</v>
      </c>
      <c r="J240" s="217">
        <v>47.15</v>
      </c>
      <c r="K240" s="217" t="s">
        <v>3607</v>
      </c>
    </row>
    <row r="241" spans="1:11">
      <c r="A241" s="217">
        <v>238</v>
      </c>
      <c r="B241" s="218" t="s">
        <v>3022</v>
      </c>
      <c r="C241" s="217" t="s">
        <v>4461</v>
      </c>
      <c r="D241" s="217" t="s">
        <v>35</v>
      </c>
      <c r="E241" s="209">
        <v>1382000</v>
      </c>
      <c r="F241" s="212">
        <f t="shared" si="6"/>
        <v>1340540</v>
      </c>
      <c r="G241" s="206">
        <f t="shared" si="7"/>
        <v>1299080</v>
      </c>
      <c r="H241" s="258">
        <v>341.11</v>
      </c>
      <c r="I241" s="258">
        <v>293.95999999999998</v>
      </c>
      <c r="J241" s="217">
        <v>47.15</v>
      </c>
      <c r="K241" s="217" t="s">
        <v>3607</v>
      </c>
    </row>
    <row r="242" spans="1:11">
      <c r="A242" s="217">
        <v>239</v>
      </c>
      <c r="B242" s="218" t="s">
        <v>3023</v>
      </c>
      <c r="C242" s="217" t="s">
        <v>4460</v>
      </c>
      <c r="D242" s="217" t="s">
        <v>35</v>
      </c>
      <c r="E242" s="209">
        <v>1383000</v>
      </c>
      <c r="F242" s="212">
        <f t="shared" si="6"/>
        <v>1341510</v>
      </c>
      <c r="G242" s="206">
        <f t="shared" si="7"/>
        <v>1300020</v>
      </c>
      <c r="H242" s="258">
        <v>395.68</v>
      </c>
      <c r="I242" s="258">
        <v>292.45999999999998</v>
      </c>
      <c r="J242" s="217">
        <v>103.23</v>
      </c>
      <c r="K242" s="217" t="s">
        <v>2461</v>
      </c>
    </row>
    <row r="243" spans="1:11">
      <c r="A243" s="217">
        <v>240</v>
      </c>
      <c r="B243" s="218" t="s">
        <v>3024</v>
      </c>
      <c r="C243" s="217" t="s">
        <v>4460</v>
      </c>
      <c r="D243" s="217" t="s">
        <v>35</v>
      </c>
      <c r="E243" s="209">
        <v>1383000</v>
      </c>
      <c r="F243" s="212">
        <f t="shared" si="6"/>
        <v>1341510</v>
      </c>
      <c r="G243" s="206">
        <f t="shared" si="7"/>
        <v>1300020</v>
      </c>
      <c r="H243" s="258">
        <v>395.68</v>
      </c>
      <c r="I243" s="258">
        <v>292.45999999999998</v>
      </c>
      <c r="J243" s="217">
        <v>103.23</v>
      </c>
      <c r="K243" s="217" t="s">
        <v>2461</v>
      </c>
    </row>
    <row r="244" spans="1:11">
      <c r="A244" s="217">
        <v>241</v>
      </c>
      <c r="B244" s="218" t="s">
        <v>3025</v>
      </c>
      <c r="C244" s="217" t="s">
        <v>4460</v>
      </c>
      <c r="D244" s="217" t="s">
        <v>35</v>
      </c>
      <c r="E244" s="209">
        <v>1383000</v>
      </c>
      <c r="F244" s="212">
        <f t="shared" si="6"/>
        <v>1341510</v>
      </c>
      <c r="G244" s="206">
        <f t="shared" si="7"/>
        <v>1300020</v>
      </c>
      <c r="H244" s="258">
        <v>395.68</v>
      </c>
      <c r="I244" s="258">
        <v>292.45999999999998</v>
      </c>
      <c r="J244" s="217">
        <v>103.23</v>
      </c>
      <c r="K244" s="217" t="s">
        <v>3607</v>
      </c>
    </row>
    <row r="245" spans="1:11">
      <c r="A245" s="217">
        <v>242</v>
      </c>
      <c r="B245" s="218" t="s">
        <v>3026</v>
      </c>
      <c r="C245" s="217" t="s">
        <v>4460</v>
      </c>
      <c r="D245" s="217" t="s">
        <v>35</v>
      </c>
      <c r="E245" s="209">
        <v>1383000</v>
      </c>
      <c r="F245" s="212">
        <f t="shared" si="6"/>
        <v>1341510</v>
      </c>
      <c r="G245" s="206">
        <f t="shared" si="7"/>
        <v>1300020</v>
      </c>
      <c r="H245" s="258">
        <v>395.68</v>
      </c>
      <c r="I245" s="258">
        <v>292.45999999999998</v>
      </c>
      <c r="J245" s="217">
        <v>103.23</v>
      </c>
      <c r="K245" s="217" t="s">
        <v>3607</v>
      </c>
    </row>
    <row r="246" spans="1:11">
      <c r="A246" s="217">
        <v>243</v>
      </c>
      <c r="B246" s="218" t="s">
        <v>3027</v>
      </c>
      <c r="C246" s="217" t="s">
        <v>4460</v>
      </c>
      <c r="D246" s="217" t="s">
        <v>35</v>
      </c>
      <c r="E246" s="209">
        <v>1382000</v>
      </c>
      <c r="F246" s="212">
        <f t="shared" si="6"/>
        <v>1340540</v>
      </c>
      <c r="G246" s="206">
        <f t="shared" si="7"/>
        <v>1299080</v>
      </c>
      <c r="H246" s="258">
        <v>386.85</v>
      </c>
      <c r="I246" s="258">
        <v>292.45999999999998</v>
      </c>
      <c r="J246" s="217">
        <v>94.4</v>
      </c>
      <c r="K246" s="217" t="s">
        <v>2461</v>
      </c>
    </row>
    <row r="247" spans="1:11">
      <c r="A247" s="217">
        <v>244</v>
      </c>
      <c r="B247" s="218" t="s">
        <v>3028</v>
      </c>
      <c r="C247" s="217" t="s">
        <v>4460</v>
      </c>
      <c r="D247" s="217" t="s">
        <v>35</v>
      </c>
      <c r="E247" s="209">
        <v>1382000</v>
      </c>
      <c r="F247" s="212">
        <f t="shared" si="6"/>
        <v>1340540</v>
      </c>
      <c r="G247" s="206">
        <f t="shared" si="7"/>
        <v>1299080</v>
      </c>
      <c r="H247" s="258">
        <v>386.85</v>
      </c>
      <c r="I247" s="258">
        <v>292.45999999999998</v>
      </c>
      <c r="J247" s="217">
        <v>94.4</v>
      </c>
      <c r="K247" s="217" t="s">
        <v>2461</v>
      </c>
    </row>
    <row r="248" spans="1:11">
      <c r="A248" s="217">
        <v>245</v>
      </c>
      <c r="B248" s="218" t="s">
        <v>3029</v>
      </c>
      <c r="C248" s="217" t="s">
        <v>4460</v>
      </c>
      <c r="D248" s="217" t="s">
        <v>35</v>
      </c>
      <c r="E248" s="209">
        <v>1382000</v>
      </c>
      <c r="F248" s="212">
        <f t="shared" si="6"/>
        <v>1340540</v>
      </c>
      <c r="G248" s="206">
        <f t="shared" si="7"/>
        <v>1299080</v>
      </c>
      <c r="H248" s="258">
        <v>386.85</v>
      </c>
      <c r="I248" s="258">
        <v>292.45999999999998</v>
      </c>
      <c r="J248" s="217">
        <v>94.4</v>
      </c>
      <c r="K248" s="217" t="s">
        <v>3607</v>
      </c>
    </row>
    <row r="249" spans="1:11">
      <c r="A249" s="217">
        <v>246</v>
      </c>
      <c r="B249" s="218" t="s">
        <v>3030</v>
      </c>
      <c r="C249" s="217" t="s">
        <v>4460</v>
      </c>
      <c r="D249" s="217" t="s">
        <v>35</v>
      </c>
      <c r="E249" s="209">
        <v>1382000</v>
      </c>
      <c r="F249" s="212">
        <f t="shared" si="6"/>
        <v>1340540</v>
      </c>
      <c r="G249" s="206">
        <f t="shared" si="7"/>
        <v>1299080</v>
      </c>
      <c r="H249" s="258">
        <v>386.85</v>
      </c>
      <c r="I249" s="258">
        <v>292.45999999999998</v>
      </c>
      <c r="J249" s="217">
        <v>94.4</v>
      </c>
      <c r="K249" s="217" t="s">
        <v>3607</v>
      </c>
    </row>
    <row r="250" spans="1:11">
      <c r="A250" s="217">
        <v>247</v>
      </c>
      <c r="B250" s="218" t="s">
        <v>3031</v>
      </c>
      <c r="C250" s="217" t="s">
        <v>11</v>
      </c>
      <c r="D250" s="217" t="s">
        <v>35</v>
      </c>
      <c r="E250" s="209">
        <v>1385000</v>
      </c>
      <c r="F250" s="212">
        <f t="shared" si="6"/>
        <v>1343450</v>
      </c>
      <c r="G250" s="206">
        <f t="shared" si="7"/>
        <v>1301900</v>
      </c>
      <c r="H250" s="258">
        <v>361.13</v>
      </c>
      <c r="I250" s="258">
        <v>292.45999999999998</v>
      </c>
      <c r="J250" s="217">
        <v>68.67</v>
      </c>
      <c r="K250" s="217" t="s">
        <v>2461</v>
      </c>
    </row>
    <row r="251" spans="1:11">
      <c r="A251" s="217">
        <v>248</v>
      </c>
      <c r="B251" s="218" t="s">
        <v>3032</v>
      </c>
      <c r="C251" s="217" t="s">
        <v>11</v>
      </c>
      <c r="D251" s="217" t="s">
        <v>35</v>
      </c>
      <c r="E251" s="209">
        <v>1385000</v>
      </c>
      <c r="F251" s="212">
        <f t="shared" si="6"/>
        <v>1343450</v>
      </c>
      <c r="G251" s="206">
        <f t="shared" si="7"/>
        <v>1301900</v>
      </c>
      <c r="H251" s="258">
        <v>361.13</v>
      </c>
      <c r="I251" s="258">
        <v>292.45999999999998</v>
      </c>
      <c r="J251" s="217">
        <v>68.67</v>
      </c>
      <c r="K251" s="217" t="s">
        <v>2461</v>
      </c>
    </row>
    <row r="252" spans="1:11">
      <c r="A252" s="217">
        <v>249</v>
      </c>
      <c r="B252" s="218" t="s">
        <v>3033</v>
      </c>
      <c r="C252" s="217" t="s">
        <v>11</v>
      </c>
      <c r="D252" s="217" t="s">
        <v>35</v>
      </c>
      <c r="E252" s="209">
        <v>1385000</v>
      </c>
      <c r="F252" s="212">
        <f t="shared" si="6"/>
        <v>1343450</v>
      </c>
      <c r="G252" s="206">
        <f t="shared" si="7"/>
        <v>1301900</v>
      </c>
      <c r="H252" s="258">
        <v>361.13</v>
      </c>
      <c r="I252" s="258">
        <v>292.45999999999998</v>
      </c>
      <c r="J252" s="217">
        <v>68.67</v>
      </c>
      <c r="K252" s="217" t="s">
        <v>3607</v>
      </c>
    </row>
    <row r="253" spans="1:11">
      <c r="A253" s="217">
        <v>250</v>
      </c>
      <c r="B253" s="218" t="s">
        <v>3034</v>
      </c>
      <c r="C253" s="217" t="s">
        <v>11</v>
      </c>
      <c r="D253" s="217" t="s">
        <v>35</v>
      </c>
      <c r="E253" s="209">
        <v>1385000</v>
      </c>
      <c r="F253" s="212">
        <f t="shared" si="6"/>
        <v>1343450</v>
      </c>
      <c r="G253" s="206">
        <f t="shared" si="7"/>
        <v>1301900</v>
      </c>
      <c r="H253" s="258">
        <v>361.13</v>
      </c>
      <c r="I253" s="258">
        <v>292.45999999999998</v>
      </c>
      <c r="J253" s="217">
        <v>68.67</v>
      </c>
      <c r="K253" s="217" t="s">
        <v>3607</v>
      </c>
    </row>
    <row r="254" spans="1:11">
      <c r="A254" s="217">
        <v>251</v>
      </c>
      <c r="B254" s="218" t="s">
        <v>3035</v>
      </c>
      <c r="C254" s="217" t="s">
        <v>11</v>
      </c>
      <c r="D254" s="217" t="s">
        <v>35</v>
      </c>
      <c r="E254" s="209">
        <v>1382000</v>
      </c>
      <c r="F254" s="212">
        <f t="shared" si="6"/>
        <v>1340540</v>
      </c>
      <c r="G254" s="206">
        <f t="shared" si="7"/>
        <v>1299080</v>
      </c>
      <c r="H254" s="258">
        <v>401.82</v>
      </c>
      <c r="I254" s="258">
        <v>292.45999999999998</v>
      </c>
      <c r="J254" s="217">
        <v>109.36</v>
      </c>
      <c r="K254" s="217" t="s">
        <v>3607</v>
      </c>
    </row>
    <row r="255" spans="1:11">
      <c r="A255" s="217">
        <v>252</v>
      </c>
      <c r="B255" s="218" t="s">
        <v>3036</v>
      </c>
      <c r="C255" s="217" t="s">
        <v>11</v>
      </c>
      <c r="D255" s="217" t="s">
        <v>35</v>
      </c>
      <c r="E255" s="209">
        <v>1382000</v>
      </c>
      <c r="F255" s="212">
        <f t="shared" si="6"/>
        <v>1340540</v>
      </c>
      <c r="G255" s="206">
        <f t="shared" si="7"/>
        <v>1299080</v>
      </c>
      <c r="H255" s="258">
        <v>401.82</v>
      </c>
      <c r="I255" s="258">
        <v>292.45999999999998</v>
      </c>
      <c r="J255" s="217">
        <v>109.36</v>
      </c>
      <c r="K255" s="217" t="s">
        <v>3607</v>
      </c>
    </row>
    <row r="256" spans="1:11">
      <c r="A256" s="217">
        <v>253</v>
      </c>
      <c r="B256" s="218" t="s">
        <v>3037</v>
      </c>
      <c r="C256" s="217" t="s">
        <v>4460</v>
      </c>
      <c r="D256" s="217" t="s">
        <v>35</v>
      </c>
      <c r="E256" s="209">
        <v>1379000</v>
      </c>
      <c r="F256" s="212">
        <f t="shared" si="6"/>
        <v>1337630</v>
      </c>
      <c r="G256" s="206">
        <f t="shared" si="7"/>
        <v>1296260</v>
      </c>
      <c r="H256" s="258">
        <v>341.11</v>
      </c>
      <c r="I256" s="258">
        <v>293.95999999999998</v>
      </c>
      <c r="J256" s="217">
        <v>47.15</v>
      </c>
      <c r="K256" s="217" t="s">
        <v>2461</v>
      </c>
    </row>
    <row r="257" spans="1:11">
      <c r="A257" s="217">
        <v>254</v>
      </c>
      <c r="B257" s="218" t="s">
        <v>3038</v>
      </c>
      <c r="C257" s="217" t="s">
        <v>4460</v>
      </c>
      <c r="D257" s="217" t="s">
        <v>35</v>
      </c>
      <c r="E257" s="209">
        <v>1379000</v>
      </c>
      <c r="F257" s="212">
        <f t="shared" si="6"/>
        <v>1337630</v>
      </c>
      <c r="G257" s="206">
        <f t="shared" si="7"/>
        <v>1296260</v>
      </c>
      <c r="H257" s="258">
        <v>375.34</v>
      </c>
      <c r="I257" s="258">
        <v>292.45999999999998</v>
      </c>
      <c r="J257" s="217">
        <v>82.88</v>
      </c>
      <c r="K257" s="217" t="s">
        <v>2461</v>
      </c>
    </row>
    <row r="258" spans="1:11">
      <c r="A258" s="217">
        <v>255</v>
      </c>
      <c r="B258" s="218" t="s">
        <v>3039</v>
      </c>
      <c r="C258" s="217" t="s">
        <v>4460</v>
      </c>
      <c r="D258" s="217" t="s">
        <v>35</v>
      </c>
      <c r="E258" s="209">
        <v>1379000</v>
      </c>
      <c r="F258" s="212">
        <f t="shared" si="6"/>
        <v>1337630</v>
      </c>
      <c r="G258" s="206">
        <f t="shared" si="7"/>
        <v>1296260</v>
      </c>
      <c r="H258" s="258">
        <v>375.34</v>
      </c>
      <c r="I258" s="258">
        <v>292.45999999999998</v>
      </c>
      <c r="J258" s="217">
        <v>82.88</v>
      </c>
      <c r="K258" s="217" t="s">
        <v>2461</v>
      </c>
    </row>
    <row r="259" spans="1:11">
      <c r="A259" s="217">
        <v>256</v>
      </c>
      <c r="B259" s="218" t="s">
        <v>3040</v>
      </c>
      <c r="C259" s="217" t="s">
        <v>4460</v>
      </c>
      <c r="D259" s="217" t="s">
        <v>35</v>
      </c>
      <c r="E259" s="209">
        <v>1379000</v>
      </c>
      <c r="F259" s="212">
        <f t="shared" ref="F259:F322" si="8">E259*0.97</f>
        <v>1337630</v>
      </c>
      <c r="G259" s="206">
        <f t="shared" ref="G259:G322" si="9">E259*0.94</f>
        <v>1296260</v>
      </c>
      <c r="H259" s="258">
        <v>341.11</v>
      </c>
      <c r="I259" s="258">
        <v>293.95999999999998</v>
      </c>
      <c r="J259" s="217">
        <v>47.15</v>
      </c>
      <c r="K259" s="217" t="s">
        <v>2461</v>
      </c>
    </row>
    <row r="260" spans="1:11">
      <c r="A260" s="217">
        <v>257</v>
      </c>
      <c r="B260" s="218" t="s">
        <v>3041</v>
      </c>
      <c r="C260" s="217" t="s">
        <v>4460</v>
      </c>
      <c r="D260" s="217" t="s">
        <v>35</v>
      </c>
      <c r="E260" s="209">
        <v>1379000</v>
      </c>
      <c r="F260" s="212">
        <f t="shared" si="8"/>
        <v>1337630</v>
      </c>
      <c r="G260" s="206">
        <f t="shared" si="9"/>
        <v>1296260</v>
      </c>
      <c r="H260" s="258">
        <v>341.11</v>
      </c>
      <c r="I260" s="258">
        <v>293.95999999999998</v>
      </c>
      <c r="J260" s="217">
        <v>47.15</v>
      </c>
      <c r="K260" s="217" t="s">
        <v>3607</v>
      </c>
    </row>
    <row r="261" spans="1:11">
      <c r="A261" s="217">
        <v>258</v>
      </c>
      <c r="B261" s="218" t="s">
        <v>3042</v>
      </c>
      <c r="C261" s="217" t="s">
        <v>4460</v>
      </c>
      <c r="D261" s="217" t="s">
        <v>35</v>
      </c>
      <c r="E261" s="209">
        <v>1379000</v>
      </c>
      <c r="F261" s="212">
        <f t="shared" si="8"/>
        <v>1337630</v>
      </c>
      <c r="G261" s="206">
        <f t="shared" si="9"/>
        <v>1296260</v>
      </c>
      <c r="H261" s="258">
        <v>375.34</v>
      </c>
      <c r="I261" s="258">
        <v>292.45999999999998</v>
      </c>
      <c r="J261" s="217">
        <v>82.88</v>
      </c>
      <c r="K261" s="217" t="s">
        <v>3607</v>
      </c>
    </row>
    <row r="262" spans="1:11">
      <c r="A262" s="217">
        <v>259</v>
      </c>
      <c r="B262" s="218" t="s">
        <v>3043</v>
      </c>
      <c r="C262" s="217" t="s">
        <v>4460</v>
      </c>
      <c r="D262" s="217" t="s">
        <v>35</v>
      </c>
      <c r="E262" s="209">
        <v>1379000</v>
      </c>
      <c r="F262" s="212">
        <f t="shared" si="8"/>
        <v>1337630</v>
      </c>
      <c r="G262" s="206">
        <f t="shared" si="9"/>
        <v>1296260</v>
      </c>
      <c r="H262" s="258">
        <v>375.34</v>
      </c>
      <c r="I262" s="258">
        <v>292.45999999999998</v>
      </c>
      <c r="J262" s="217">
        <v>82.88</v>
      </c>
      <c r="K262" s="217" t="s">
        <v>3607</v>
      </c>
    </row>
    <row r="263" spans="1:11">
      <c r="A263" s="217">
        <v>260</v>
      </c>
      <c r="B263" s="218" t="s">
        <v>3044</v>
      </c>
      <c r="C263" s="217" t="s">
        <v>4460</v>
      </c>
      <c r="D263" s="217" t="s">
        <v>35</v>
      </c>
      <c r="E263" s="209">
        <v>1379000</v>
      </c>
      <c r="F263" s="212">
        <f t="shared" si="8"/>
        <v>1337630</v>
      </c>
      <c r="G263" s="206">
        <f t="shared" si="9"/>
        <v>1296260</v>
      </c>
      <c r="H263" s="258">
        <v>341.11</v>
      </c>
      <c r="I263" s="258">
        <v>293.95999999999998</v>
      </c>
      <c r="J263" s="217">
        <v>47.15</v>
      </c>
      <c r="K263" s="217" t="s">
        <v>3607</v>
      </c>
    </row>
    <row r="264" spans="1:11">
      <c r="A264" s="217">
        <v>261</v>
      </c>
      <c r="B264" s="218" t="s">
        <v>3045</v>
      </c>
      <c r="C264" s="217" t="s">
        <v>11</v>
      </c>
      <c r="D264" s="217" t="s">
        <v>35</v>
      </c>
      <c r="E264" s="209">
        <v>1382000</v>
      </c>
      <c r="F264" s="212">
        <f t="shared" si="8"/>
        <v>1340540</v>
      </c>
      <c r="G264" s="206">
        <f t="shared" si="9"/>
        <v>1299080</v>
      </c>
      <c r="H264" s="258">
        <v>401.82</v>
      </c>
      <c r="I264" s="258">
        <v>292.45999999999998</v>
      </c>
      <c r="J264" s="217">
        <v>109.36</v>
      </c>
      <c r="K264" s="217" t="s">
        <v>2461</v>
      </c>
    </row>
    <row r="265" spans="1:11">
      <c r="A265" s="217">
        <v>262</v>
      </c>
      <c r="B265" s="218" t="s">
        <v>3046</v>
      </c>
      <c r="C265" s="217" t="s">
        <v>11</v>
      </c>
      <c r="D265" s="217" t="s">
        <v>35</v>
      </c>
      <c r="E265" s="209">
        <v>1382000</v>
      </c>
      <c r="F265" s="212">
        <f t="shared" si="8"/>
        <v>1340540</v>
      </c>
      <c r="G265" s="206">
        <f t="shared" si="9"/>
        <v>1299080</v>
      </c>
      <c r="H265" s="258">
        <v>401.82</v>
      </c>
      <c r="I265" s="258">
        <v>292.45999999999998</v>
      </c>
      <c r="J265" s="217">
        <v>109.36</v>
      </c>
      <c r="K265" s="217" t="s">
        <v>2461</v>
      </c>
    </row>
    <row r="266" spans="1:11">
      <c r="A266" s="217">
        <v>263</v>
      </c>
      <c r="B266" s="218" t="s">
        <v>3047</v>
      </c>
      <c r="C266" s="217" t="s">
        <v>11</v>
      </c>
      <c r="D266" s="217" t="s">
        <v>35</v>
      </c>
      <c r="E266" s="209">
        <v>1380000</v>
      </c>
      <c r="F266" s="212">
        <f t="shared" si="8"/>
        <v>1338600</v>
      </c>
      <c r="G266" s="206">
        <f t="shared" si="9"/>
        <v>1297200</v>
      </c>
      <c r="H266" s="258">
        <v>395.68</v>
      </c>
      <c r="I266" s="258">
        <v>292.45999999999998</v>
      </c>
      <c r="J266" s="217">
        <v>103.23</v>
      </c>
      <c r="K266" s="217" t="s">
        <v>2461</v>
      </c>
    </row>
    <row r="267" spans="1:11">
      <c r="A267" s="217">
        <v>264</v>
      </c>
      <c r="B267" s="218" t="s">
        <v>3048</v>
      </c>
      <c r="C267" s="217" t="s">
        <v>11</v>
      </c>
      <c r="D267" s="217" t="s">
        <v>35</v>
      </c>
      <c r="E267" s="209">
        <v>1380000</v>
      </c>
      <c r="F267" s="212">
        <f t="shared" si="8"/>
        <v>1338600</v>
      </c>
      <c r="G267" s="206">
        <f t="shared" si="9"/>
        <v>1297200</v>
      </c>
      <c r="H267" s="258">
        <v>395.68</v>
      </c>
      <c r="I267" s="258">
        <v>292.45999999999998</v>
      </c>
      <c r="J267" s="217">
        <v>103.23</v>
      </c>
      <c r="K267" s="217" t="s">
        <v>2461</v>
      </c>
    </row>
    <row r="268" spans="1:11">
      <c r="A268" s="217">
        <v>265</v>
      </c>
      <c r="B268" s="218" t="s">
        <v>3049</v>
      </c>
      <c r="C268" s="217" t="s">
        <v>11</v>
      </c>
      <c r="D268" s="217" t="s">
        <v>35</v>
      </c>
      <c r="E268" s="209">
        <v>1380000</v>
      </c>
      <c r="F268" s="212">
        <f t="shared" si="8"/>
        <v>1338600</v>
      </c>
      <c r="G268" s="206">
        <f t="shared" si="9"/>
        <v>1297200</v>
      </c>
      <c r="H268" s="258">
        <v>395.68</v>
      </c>
      <c r="I268" s="258">
        <v>292.45999999999998</v>
      </c>
      <c r="J268" s="217">
        <v>103.23</v>
      </c>
      <c r="K268" s="217" t="s">
        <v>3607</v>
      </c>
    </row>
    <row r="269" spans="1:11">
      <c r="A269" s="217">
        <v>266</v>
      </c>
      <c r="B269" s="218" t="s">
        <v>3050</v>
      </c>
      <c r="C269" s="217" t="s">
        <v>11</v>
      </c>
      <c r="D269" s="217" t="s">
        <v>35</v>
      </c>
      <c r="E269" s="209">
        <v>1380000</v>
      </c>
      <c r="F269" s="212">
        <f t="shared" si="8"/>
        <v>1338600</v>
      </c>
      <c r="G269" s="206">
        <f t="shared" si="9"/>
        <v>1297200</v>
      </c>
      <c r="H269" s="258">
        <v>395.68</v>
      </c>
      <c r="I269" s="258">
        <v>292.45999999999998</v>
      </c>
      <c r="J269" s="217">
        <v>103.23</v>
      </c>
      <c r="K269" s="217" t="s">
        <v>3607</v>
      </c>
    </row>
    <row r="270" spans="1:11">
      <c r="A270" s="217">
        <v>267</v>
      </c>
      <c r="B270" s="218" t="s">
        <v>3051</v>
      </c>
      <c r="C270" s="217" t="s">
        <v>12</v>
      </c>
      <c r="D270" s="217" t="s">
        <v>35</v>
      </c>
      <c r="E270" s="209">
        <v>1383000</v>
      </c>
      <c r="F270" s="212">
        <f t="shared" si="8"/>
        <v>1341510</v>
      </c>
      <c r="G270" s="206">
        <f t="shared" si="9"/>
        <v>1300020</v>
      </c>
      <c r="H270" s="258">
        <v>361.13</v>
      </c>
      <c r="I270" s="258">
        <v>292.45999999999998</v>
      </c>
      <c r="J270" s="217">
        <v>68.67</v>
      </c>
      <c r="K270" s="217" t="s">
        <v>2461</v>
      </c>
    </row>
    <row r="271" spans="1:11">
      <c r="A271" s="217">
        <v>268</v>
      </c>
      <c r="B271" s="218" t="s">
        <v>3052</v>
      </c>
      <c r="C271" s="217" t="s">
        <v>12</v>
      </c>
      <c r="D271" s="217" t="s">
        <v>35</v>
      </c>
      <c r="E271" s="209">
        <v>1383000</v>
      </c>
      <c r="F271" s="212">
        <f t="shared" si="8"/>
        <v>1341510</v>
      </c>
      <c r="G271" s="206">
        <f t="shared" si="9"/>
        <v>1300020</v>
      </c>
      <c r="H271" s="258">
        <v>361.13</v>
      </c>
      <c r="I271" s="258">
        <v>292.45999999999998</v>
      </c>
      <c r="J271" s="217">
        <v>68.67</v>
      </c>
      <c r="K271" s="217" t="s">
        <v>2461</v>
      </c>
    </row>
    <row r="272" spans="1:11">
      <c r="A272" s="217">
        <v>269</v>
      </c>
      <c r="B272" s="218" t="s">
        <v>3053</v>
      </c>
      <c r="C272" s="217" t="s">
        <v>11</v>
      </c>
      <c r="D272" s="217" t="s">
        <v>35</v>
      </c>
      <c r="E272" s="209">
        <v>1379000</v>
      </c>
      <c r="F272" s="212">
        <f t="shared" si="8"/>
        <v>1337630</v>
      </c>
      <c r="G272" s="206">
        <f t="shared" si="9"/>
        <v>1296260</v>
      </c>
      <c r="H272" s="258">
        <v>386.85</v>
      </c>
      <c r="I272" s="258">
        <v>292.45999999999998</v>
      </c>
      <c r="J272" s="217">
        <v>94.4</v>
      </c>
      <c r="K272" s="217" t="s">
        <v>2461</v>
      </c>
    </row>
    <row r="273" spans="1:11">
      <c r="A273" s="217">
        <v>270</v>
      </c>
      <c r="B273" s="218" t="s">
        <v>3054</v>
      </c>
      <c r="C273" s="217" t="s">
        <v>11</v>
      </c>
      <c r="D273" s="217" t="s">
        <v>35</v>
      </c>
      <c r="E273" s="209">
        <v>1379000</v>
      </c>
      <c r="F273" s="212">
        <f t="shared" si="8"/>
        <v>1337630</v>
      </c>
      <c r="G273" s="206">
        <f t="shared" si="9"/>
        <v>1296260</v>
      </c>
      <c r="H273" s="258">
        <v>386.85</v>
      </c>
      <c r="I273" s="258">
        <v>292.45999999999998</v>
      </c>
      <c r="J273" s="217">
        <v>94.4</v>
      </c>
      <c r="K273" s="217" t="s">
        <v>2461</v>
      </c>
    </row>
    <row r="274" spans="1:11">
      <c r="A274" s="217">
        <v>271</v>
      </c>
      <c r="B274" s="218" t="s">
        <v>3055</v>
      </c>
      <c r="C274" s="217" t="s">
        <v>11</v>
      </c>
      <c r="D274" s="217" t="s">
        <v>35</v>
      </c>
      <c r="E274" s="209">
        <v>1379000</v>
      </c>
      <c r="F274" s="212">
        <f t="shared" si="8"/>
        <v>1337630</v>
      </c>
      <c r="G274" s="206">
        <f t="shared" si="9"/>
        <v>1296260</v>
      </c>
      <c r="H274" s="258">
        <v>386.85</v>
      </c>
      <c r="I274" s="258">
        <v>292.45999999999998</v>
      </c>
      <c r="J274" s="217">
        <v>94.4</v>
      </c>
      <c r="K274" s="217" t="s">
        <v>3607</v>
      </c>
    </row>
    <row r="275" spans="1:11">
      <c r="A275" s="217">
        <v>272</v>
      </c>
      <c r="B275" s="218" t="s">
        <v>3056</v>
      </c>
      <c r="C275" s="217" t="s">
        <v>11</v>
      </c>
      <c r="D275" s="217" t="s">
        <v>35</v>
      </c>
      <c r="E275" s="209">
        <v>1379000</v>
      </c>
      <c r="F275" s="212">
        <f t="shared" si="8"/>
        <v>1337630</v>
      </c>
      <c r="G275" s="206">
        <f t="shared" si="9"/>
        <v>1296260</v>
      </c>
      <c r="H275" s="258">
        <v>386.85</v>
      </c>
      <c r="I275" s="258">
        <v>292.45999999999998</v>
      </c>
      <c r="J275" s="217">
        <v>94.4</v>
      </c>
      <c r="K275" s="217" t="s">
        <v>3607</v>
      </c>
    </row>
    <row r="276" spans="1:11">
      <c r="A276" s="217">
        <v>273</v>
      </c>
      <c r="B276" s="218" t="s">
        <v>3057</v>
      </c>
      <c r="C276" s="217" t="s">
        <v>11</v>
      </c>
      <c r="D276" s="217" t="s">
        <v>35</v>
      </c>
      <c r="E276" s="209">
        <v>1377000</v>
      </c>
      <c r="F276" s="212">
        <f t="shared" si="8"/>
        <v>1335690</v>
      </c>
      <c r="G276" s="206">
        <f t="shared" si="9"/>
        <v>1294380</v>
      </c>
      <c r="H276" s="258">
        <v>341.11</v>
      </c>
      <c r="I276" s="258">
        <v>293.95999999999998</v>
      </c>
      <c r="J276" s="217">
        <v>47.15</v>
      </c>
      <c r="K276" s="217" t="s">
        <v>2461</v>
      </c>
    </row>
    <row r="277" spans="1:11">
      <c r="A277" s="217">
        <v>274</v>
      </c>
      <c r="B277" s="218" t="s">
        <v>3058</v>
      </c>
      <c r="C277" s="217" t="s">
        <v>11</v>
      </c>
      <c r="D277" s="217" t="s">
        <v>35</v>
      </c>
      <c r="E277" s="209">
        <v>1376000</v>
      </c>
      <c r="F277" s="212">
        <f t="shared" si="8"/>
        <v>1334720</v>
      </c>
      <c r="G277" s="206">
        <f t="shared" si="9"/>
        <v>1293440</v>
      </c>
      <c r="H277" s="258">
        <v>375.34</v>
      </c>
      <c r="I277" s="258">
        <v>292.45999999999998</v>
      </c>
      <c r="J277" s="217">
        <v>82.88</v>
      </c>
      <c r="K277" s="217" t="s">
        <v>2461</v>
      </c>
    </row>
    <row r="278" spans="1:11">
      <c r="A278" s="217">
        <v>275</v>
      </c>
      <c r="B278" s="218" t="s">
        <v>3059</v>
      </c>
      <c r="C278" s="217" t="s">
        <v>11</v>
      </c>
      <c r="D278" s="217" t="s">
        <v>35</v>
      </c>
      <c r="E278" s="209">
        <v>1376000</v>
      </c>
      <c r="F278" s="212">
        <f t="shared" si="8"/>
        <v>1334720</v>
      </c>
      <c r="G278" s="206">
        <f t="shared" si="9"/>
        <v>1293440</v>
      </c>
      <c r="H278" s="258">
        <v>375.34</v>
      </c>
      <c r="I278" s="258">
        <v>292.45999999999998</v>
      </c>
      <c r="J278" s="217">
        <v>82.88</v>
      </c>
      <c r="K278" s="217" t="s">
        <v>2461</v>
      </c>
    </row>
    <row r="279" spans="1:11">
      <c r="A279" s="217">
        <v>276</v>
      </c>
      <c r="B279" s="218" t="s">
        <v>3060</v>
      </c>
      <c r="C279" s="217" t="s">
        <v>11</v>
      </c>
      <c r="D279" s="217" t="s">
        <v>35</v>
      </c>
      <c r="E279" s="209">
        <v>1377000</v>
      </c>
      <c r="F279" s="212">
        <f t="shared" si="8"/>
        <v>1335690</v>
      </c>
      <c r="G279" s="206">
        <f t="shared" si="9"/>
        <v>1294380</v>
      </c>
      <c r="H279" s="258">
        <v>341.11</v>
      </c>
      <c r="I279" s="258">
        <v>293.95999999999998</v>
      </c>
      <c r="J279" s="217">
        <v>47.15</v>
      </c>
      <c r="K279" s="217" t="s">
        <v>2461</v>
      </c>
    </row>
    <row r="280" spans="1:11">
      <c r="A280" s="217">
        <v>277</v>
      </c>
      <c r="B280" s="218" t="s">
        <v>3061</v>
      </c>
      <c r="C280" s="217" t="s">
        <v>11</v>
      </c>
      <c r="D280" s="217" t="s">
        <v>35</v>
      </c>
      <c r="E280" s="209">
        <v>1377000</v>
      </c>
      <c r="F280" s="212">
        <f t="shared" si="8"/>
        <v>1335690</v>
      </c>
      <c r="G280" s="206">
        <f t="shared" si="9"/>
        <v>1294380</v>
      </c>
      <c r="H280" s="258">
        <v>341.11</v>
      </c>
      <c r="I280" s="258">
        <v>293.95999999999998</v>
      </c>
      <c r="J280" s="217">
        <v>47.15</v>
      </c>
      <c r="K280" s="217" t="s">
        <v>3607</v>
      </c>
    </row>
    <row r="281" spans="1:11">
      <c r="A281" s="217">
        <v>278</v>
      </c>
      <c r="B281" s="218" t="s">
        <v>3062</v>
      </c>
      <c r="C281" s="217" t="s">
        <v>11</v>
      </c>
      <c r="D281" s="217" t="s">
        <v>35</v>
      </c>
      <c r="E281" s="209">
        <v>1376000</v>
      </c>
      <c r="F281" s="212">
        <f t="shared" si="8"/>
        <v>1334720</v>
      </c>
      <c r="G281" s="206">
        <f t="shared" si="9"/>
        <v>1293440</v>
      </c>
      <c r="H281" s="258">
        <v>375.34</v>
      </c>
      <c r="I281" s="258">
        <v>292.45999999999998</v>
      </c>
      <c r="J281" s="217">
        <v>82.88</v>
      </c>
      <c r="K281" s="217" t="s">
        <v>3607</v>
      </c>
    </row>
    <row r="282" spans="1:11">
      <c r="A282" s="217">
        <v>279</v>
      </c>
      <c r="B282" s="218" t="s">
        <v>3063</v>
      </c>
      <c r="C282" s="217" t="s">
        <v>11</v>
      </c>
      <c r="D282" s="217" t="s">
        <v>35</v>
      </c>
      <c r="E282" s="209">
        <v>1376000</v>
      </c>
      <c r="F282" s="212">
        <f t="shared" si="8"/>
        <v>1334720</v>
      </c>
      <c r="G282" s="206">
        <f t="shared" si="9"/>
        <v>1293440</v>
      </c>
      <c r="H282" s="258">
        <v>375.34</v>
      </c>
      <c r="I282" s="258">
        <v>292.45999999999998</v>
      </c>
      <c r="J282" s="217">
        <v>82.88</v>
      </c>
      <c r="K282" s="217" t="s">
        <v>3607</v>
      </c>
    </row>
    <row r="283" spans="1:11">
      <c r="A283" s="217">
        <v>280</v>
      </c>
      <c r="B283" s="218" t="s">
        <v>3064</v>
      </c>
      <c r="C283" s="217" t="s">
        <v>11</v>
      </c>
      <c r="D283" s="217" t="s">
        <v>35</v>
      </c>
      <c r="E283" s="209">
        <v>1377000</v>
      </c>
      <c r="F283" s="212">
        <f t="shared" si="8"/>
        <v>1335690</v>
      </c>
      <c r="G283" s="206">
        <f t="shared" si="9"/>
        <v>1294380</v>
      </c>
      <c r="H283" s="258">
        <v>341.11</v>
      </c>
      <c r="I283" s="258">
        <v>293.95999999999998</v>
      </c>
      <c r="J283" s="217">
        <v>47.15</v>
      </c>
      <c r="K283" s="217" t="s">
        <v>3607</v>
      </c>
    </row>
    <row r="284" spans="1:11">
      <c r="A284" s="217">
        <v>281</v>
      </c>
      <c r="B284" s="218" t="s">
        <v>3065</v>
      </c>
      <c r="C284" s="217" t="s">
        <v>12</v>
      </c>
      <c r="D284" s="217" t="s">
        <v>35</v>
      </c>
      <c r="E284" s="209">
        <v>1378000</v>
      </c>
      <c r="F284" s="212">
        <f t="shared" si="8"/>
        <v>1336660</v>
      </c>
      <c r="G284" s="206">
        <f t="shared" si="9"/>
        <v>1295320</v>
      </c>
      <c r="H284" s="258">
        <v>395.68</v>
      </c>
      <c r="I284" s="258">
        <v>292.45999999999998</v>
      </c>
      <c r="J284" s="217">
        <v>103.23</v>
      </c>
      <c r="K284" s="217" t="s">
        <v>2461</v>
      </c>
    </row>
    <row r="285" spans="1:11">
      <c r="A285" s="217">
        <v>282</v>
      </c>
      <c r="B285" s="218" t="s">
        <v>3066</v>
      </c>
      <c r="C285" s="217" t="s">
        <v>12</v>
      </c>
      <c r="D285" s="217" t="s">
        <v>35</v>
      </c>
      <c r="E285" s="209">
        <v>1378000</v>
      </c>
      <c r="F285" s="212">
        <f t="shared" si="8"/>
        <v>1336660</v>
      </c>
      <c r="G285" s="206">
        <f t="shared" si="9"/>
        <v>1295320</v>
      </c>
      <c r="H285" s="258">
        <v>395.68</v>
      </c>
      <c r="I285" s="258">
        <v>292.45999999999998</v>
      </c>
      <c r="J285" s="217">
        <v>103.23</v>
      </c>
      <c r="K285" s="217" t="s">
        <v>2461</v>
      </c>
    </row>
    <row r="286" spans="1:11">
      <c r="A286" s="217">
        <v>283</v>
      </c>
      <c r="B286" s="218" t="s">
        <v>3067</v>
      </c>
      <c r="C286" s="217" t="s">
        <v>12</v>
      </c>
      <c r="D286" s="217" t="s">
        <v>35</v>
      </c>
      <c r="E286" s="209">
        <v>1378000</v>
      </c>
      <c r="F286" s="212">
        <f t="shared" si="8"/>
        <v>1336660</v>
      </c>
      <c r="G286" s="206">
        <f t="shared" si="9"/>
        <v>1295320</v>
      </c>
      <c r="H286" s="258">
        <v>395.68</v>
      </c>
      <c r="I286" s="258">
        <v>292.45999999999998</v>
      </c>
      <c r="J286" s="217">
        <v>103.23</v>
      </c>
      <c r="K286" s="217" t="s">
        <v>3607</v>
      </c>
    </row>
    <row r="287" spans="1:11">
      <c r="A287" s="217">
        <v>284</v>
      </c>
      <c r="B287" s="218" t="s">
        <v>3068</v>
      </c>
      <c r="C287" s="217" t="s">
        <v>32</v>
      </c>
      <c r="D287" s="217" t="s">
        <v>35</v>
      </c>
      <c r="E287" s="209">
        <v>1380000</v>
      </c>
      <c r="F287" s="212">
        <f t="shared" si="8"/>
        <v>1338600</v>
      </c>
      <c r="G287" s="206">
        <f t="shared" si="9"/>
        <v>1297200</v>
      </c>
      <c r="H287" s="258">
        <v>361.13</v>
      </c>
      <c r="I287" s="258">
        <v>292.45999999999998</v>
      </c>
      <c r="J287" s="217">
        <v>68.67</v>
      </c>
      <c r="K287" s="217" t="s">
        <v>2461</v>
      </c>
    </row>
    <row r="288" spans="1:11">
      <c r="A288" s="217">
        <v>285</v>
      </c>
      <c r="B288" s="218" t="s">
        <v>3069</v>
      </c>
      <c r="C288" s="217" t="s">
        <v>32</v>
      </c>
      <c r="D288" s="217" t="s">
        <v>35</v>
      </c>
      <c r="E288" s="209">
        <v>1380000</v>
      </c>
      <c r="F288" s="212">
        <f t="shared" si="8"/>
        <v>1338600</v>
      </c>
      <c r="G288" s="206">
        <f t="shared" si="9"/>
        <v>1297200</v>
      </c>
      <c r="H288" s="258">
        <v>361.13</v>
      </c>
      <c r="I288" s="258">
        <v>292.45999999999998</v>
      </c>
      <c r="J288" s="217">
        <v>68.67</v>
      </c>
      <c r="K288" s="217" t="s">
        <v>3607</v>
      </c>
    </row>
    <row r="289" spans="1:11">
      <c r="A289" s="217">
        <v>286</v>
      </c>
      <c r="B289" s="218" t="s">
        <v>3070</v>
      </c>
      <c r="C289" s="217" t="s">
        <v>12</v>
      </c>
      <c r="D289" s="217" t="s">
        <v>35</v>
      </c>
      <c r="E289" s="209">
        <v>1377000</v>
      </c>
      <c r="F289" s="212">
        <f t="shared" si="8"/>
        <v>1335690</v>
      </c>
      <c r="G289" s="206">
        <f t="shared" si="9"/>
        <v>1294380</v>
      </c>
      <c r="H289" s="258">
        <v>386.85</v>
      </c>
      <c r="I289" s="258">
        <v>292.45999999999998</v>
      </c>
      <c r="J289" s="217">
        <v>94.4</v>
      </c>
      <c r="K289" s="217" t="s">
        <v>3607</v>
      </c>
    </row>
    <row r="290" spans="1:11">
      <c r="A290" s="217">
        <v>287</v>
      </c>
      <c r="B290" s="218" t="s">
        <v>3071</v>
      </c>
      <c r="C290" s="217" t="s">
        <v>12</v>
      </c>
      <c r="D290" s="217" t="s">
        <v>35</v>
      </c>
      <c r="E290" s="209">
        <v>1377000</v>
      </c>
      <c r="F290" s="212">
        <f t="shared" si="8"/>
        <v>1335690</v>
      </c>
      <c r="G290" s="206">
        <f t="shared" si="9"/>
        <v>1294380</v>
      </c>
      <c r="H290" s="258">
        <v>386.85</v>
      </c>
      <c r="I290" s="258">
        <v>292.45999999999998</v>
      </c>
      <c r="J290" s="217">
        <v>94.4</v>
      </c>
      <c r="K290" s="217" t="s">
        <v>3607</v>
      </c>
    </row>
    <row r="291" spans="1:11">
      <c r="A291" s="217">
        <v>288</v>
      </c>
      <c r="B291" s="218" t="s">
        <v>3072</v>
      </c>
      <c r="C291" s="217" t="s">
        <v>12</v>
      </c>
      <c r="D291" s="217" t="s">
        <v>35</v>
      </c>
      <c r="E291" s="209">
        <v>1374000</v>
      </c>
      <c r="F291" s="212">
        <f t="shared" si="8"/>
        <v>1332780</v>
      </c>
      <c r="G291" s="206">
        <f t="shared" si="9"/>
        <v>1291560</v>
      </c>
      <c r="H291" s="258">
        <v>341.11</v>
      </c>
      <c r="I291" s="258">
        <v>293.95999999999998</v>
      </c>
      <c r="J291" s="217">
        <v>47.15</v>
      </c>
      <c r="K291" s="217" t="s">
        <v>2461</v>
      </c>
    </row>
    <row r="292" spans="1:11">
      <c r="A292" s="217">
        <v>289</v>
      </c>
      <c r="B292" s="218" t="s">
        <v>3073</v>
      </c>
      <c r="C292" s="217" t="s">
        <v>12</v>
      </c>
      <c r="D292" s="217" t="s">
        <v>35</v>
      </c>
      <c r="E292" s="209">
        <v>1374000</v>
      </c>
      <c r="F292" s="212">
        <f t="shared" si="8"/>
        <v>1332780</v>
      </c>
      <c r="G292" s="206">
        <f t="shared" si="9"/>
        <v>1291560</v>
      </c>
      <c r="H292" s="258">
        <v>375.34</v>
      </c>
      <c r="I292" s="258">
        <v>292.45999999999998</v>
      </c>
      <c r="J292" s="217">
        <v>82.88</v>
      </c>
      <c r="K292" s="217" t="s">
        <v>3607</v>
      </c>
    </row>
    <row r="293" spans="1:11">
      <c r="A293" s="217">
        <v>290</v>
      </c>
      <c r="B293" s="218" t="s">
        <v>3074</v>
      </c>
      <c r="C293" s="217" t="s">
        <v>32</v>
      </c>
      <c r="D293" s="217" t="s">
        <v>35</v>
      </c>
      <c r="E293" s="209">
        <v>1377000</v>
      </c>
      <c r="F293" s="212">
        <f t="shared" si="8"/>
        <v>1335690</v>
      </c>
      <c r="G293" s="206">
        <f t="shared" si="9"/>
        <v>1294380</v>
      </c>
      <c r="H293" s="258">
        <v>401.82</v>
      </c>
      <c r="I293" s="258">
        <v>292.45999999999998</v>
      </c>
      <c r="J293" s="217">
        <v>109.36</v>
      </c>
      <c r="K293" s="217" t="s">
        <v>3607</v>
      </c>
    </row>
    <row r="294" spans="1:11">
      <c r="A294" s="217">
        <v>291</v>
      </c>
      <c r="B294" s="218" t="s">
        <v>3075</v>
      </c>
      <c r="C294" s="217" t="s">
        <v>32</v>
      </c>
      <c r="D294" s="217" t="s">
        <v>35</v>
      </c>
      <c r="E294" s="209">
        <v>1375000</v>
      </c>
      <c r="F294" s="212">
        <f t="shared" si="8"/>
        <v>1333750</v>
      </c>
      <c r="G294" s="206">
        <f t="shared" si="9"/>
        <v>1292500</v>
      </c>
      <c r="H294" s="258">
        <v>395.68</v>
      </c>
      <c r="I294" s="258">
        <v>292.45999999999998</v>
      </c>
      <c r="J294" s="217">
        <v>103.23</v>
      </c>
      <c r="K294" s="217" t="s">
        <v>3607</v>
      </c>
    </row>
    <row r="295" spans="1:11">
      <c r="A295" s="217">
        <v>292</v>
      </c>
      <c r="B295" s="218" t="s">
        <v>3076</v>
      </c>
      <c r="C295" s="217" t="s">
        <v>32</v>
      </c>
      <c r="D295" s="217" t="s">
        <v>35</v>
      </c>
      <c r="E295" s="209">
        <v>1375000</v>
      </c>
      <c r="F295" s="212">
        <f t="shared" si="8"/>
        <v>1333750</v>
      </c>
      <c r="G295" s="206">
        <f t="shared" si="9"/>
        <v>1292500</v>
      </c>
      <c r="H295" s="258">
        <v>395.68</v>
      </c>
      <c r="I295" s="258">
        <v>292.45999999999998</v>
      </c>
      <c r="J295" s="217">
        <v>103.23</v>
      </c>
      <c r="K295" s="217" t="s">
        <v>3607</v>
      </c>
    </row>
    <row r="296" spans="1:11">
      <c r="A296" s="217">
        <v>293</v>
      </c>
      <c r="B296" s="218" t="s">
        <v>3077</v>
      </c>
      <c r="C296" s="217" t="s">
        <v>32</v>
      </c>
      <c r="D296" s="217" t="s">
        <v>35</v>
      </c>
      <c r="E296" s="209">
        <v>1374000</v>
      </c>
      <c r="F296" s="212">
        <f t="shared" si="8"/>
        <v>1332780</v>
      </c>
      <c r="G296" s="206">
        <f t="shared" si="9"/>
        <v>1291560</v>
      </c>
      <c r="H296" s="258">
        <v>386.85</v>
      </c>
      <c r="I296" s="258">
        <v>292.45999999999998</v>
      </c>
      <c r="J296" s="217">
        <v>94.4</v>
      </c>
      <c r="K296" s="217" t="s">
        <v>2461</v>
      </c>
    </row>
    <row r="297" spans="1:11">
      <c r="A297" s="217">
        <v>294</v>
      </c>
      <c r="B297" s="218" t="s">
        <v>3078</v>
      </c>
      <c r="C297" s="217" t="s">
        <v>32</v>
      </c>
      <c r="D297" s="217" t="s">
        <v>35</v>
      </c>
      <c r="E297" s="209">
        <v>1374000</v>
      </c>
      <c r="F297" s="212">
        <f t="shared" si="8"/>
        <v>1332780</v>
      </c>
      <c r="G297" s="206">
        <f t="shared" si="9"/>
        <v>1291560</v>
      </c>
      <c r="H297" s="258">
        <v>386.85</v>
      </c>
      <c r="I297" s="258">
        <v>292.45999999999998</v>
      </c>
      <c r="J297" s="217">
        <v>94.4</v>
      </c>
      <c r="K297" s="217" t="s">
        <v>2461</v>
      </c>
    </row>
    <row r="298" spans="1:11">
      <c r="A298" s="217">
        <v>295</v>
      </c>
      <c r="B298" s="218" t="s">
        <v>3079</v>
      </c>
      <c r="C298" s="217" t="s">
        <v>32</v>
      </c>
      <c r="D298" s="217" t="s">
        <v>35</v>
      </c>
      <c r="E298" s="209">
        <v>1374000</v>
      </c>
      <c r="F298" s="212">
        <f t="shared" si="8"/>
        <v>1332780</v>
      </c>
      <c r="G298" s="206">
        <f t="shared" si="9"/>
        <v>1291560</v>
      </c>
      <c r="H298" s="258">
        <v>386.85</v>
      </c>
      <c r="I298" s="258">
        <v>292.45999999999998</v>
      </c>
      <c r="J298" s="217">
        <v>94.4</v>
      </c>
      <c r="K298" s="217" t="s">
        <v>3607</v>
      </c>
    </row>
    <row r="299" spans="1:11">
      <c r="A299" s="217">
        <v>296</v>
      </c>
      <c r="B299" s="218" t="s">
        <v>3080</v>
      </c>
      <c r="C299" s="217" t="s">
        <v>4459</v>
      </c>
      <c r="D299" s="217" t="s">
        <v>35</v>
      </c>
      <c r="E299" s="209">
        <v>1377000</v>
      </c>
      <c r="F299" s="212">
        <f t="shared" si="8"/>
        <v>1335690</v>
      </c>
      <c r="G299" s="206">
        <f t="shared" si="9"/>
        <v>1294380</v>
      </c>
      <c r="H299" s="258">
        <v>361.13</v>
      </c>
      <c r="I299" s="258">
        <v>292.45999999999998</v>
      </c>
      <c r="J299" s="217">
        <v>68.67</v>
      </c>
      <c r="K299" s="217" t="s">
        <v>2461</v>
      </c>
    </row>
    <row r="300" spans="1:11">
      <c r="A300" s="217">
        <v>297</v>
      </c>
      <c r="B300" s="218" t="s">
        <v>3081</v>
      </c>
      <c r="C300" s="217" t="s">
        <v>32</v>
      </c>
      <c r="D300" s="217" t="s">
        <v>35</v>
      </c>
      <c r="E300" s="209">
        <v>1372000</v>
      </c>
      <c r="F300" s="212">
        <f t="shared" si="8"/>
        <v>1330840</v>
      </c>
      <c r="G300" s="206">
        <f t="shared" si="9"/>
        <v>1289680</v>
      </c>
      <c r="H300" s="258">
        <v>341.11</v>
      </c>
      <c r="I300" s="258">
        <v>293.95999999999998</v>
      </c>
      <c r="J300" s="217">
        <v>47.15</v>
      </c>
      <c r="K300" s="217" t="s">
        <v>2461</v>
      </c>
    </row>
    <row r="301" spans="1:11">
      <c r="A301" s="217">
        <v>298</v>
      </c>
      <c r="B301" s="218" t="s">
        <v>3082</v>
      </c>
      <c r="C301" s="217" t="s">
        <v>32</v>
      </c>
      <c r="D301" s="217" t="s">
        <v>35</v>
      </c>
      <c r="E301" s="209">
        <v>1371000</v>
      </c>
      <c r="F301" s="212">
        <f t="shared" si="8"/>
        <v>1329870</v>
      </c>
      <c r="G301" s="206">
        <f t="shared" si="9"/>
        <v>1288740</v>
      </c>
      <c r="H301" s="258">
        <v>375.34</v>
      </c>
      <c r="I301" s="258">
        <v>292.45999999999998</v>
      </c>
      <c r="J301" s="217">
        <v>82.88</v>
      </c>
      <c r="K301" s="217" t="s">
        <v>2461</v>
      </c>
    </row>
    <row r="302" spans="1:11">
      <c r="A302" s="217">
        <v>299</v>
      </c>
      <c r="B302" s="218" t="s">
        <v>3083</v>
      </c>
      <c r="C302" s="217" t="s">
        <v>32</v>
      </c>
      <c r="D302" s="217" t="s">
        <v>35</v>
      </c>
      <c r="E302" s="209">
        <v>1371000</v>
      </c>
      <c r="F302" s="212">
        <f t="shared" si="8"/>
        <v>1329870</v>
      </c>
      <c r="G302" s="206">
        <f t="shared" si="9"/>
        <v>1288740</v>
      </c>
      <c r="H302" s="258">
        <v>375.34</v>
      </c>
      <c r="I302" s="258">
        <v>292.45999999999998</v>
      </c>
      <c r="J302" s="217">
        <v>82.88</v>
      </c>
      <c r="K302" s="217" t="s">
        <v>2461</v>
      </c>
    </row>
    <row r="303" spans="1:11">
      <c r="A303" s="217">
        <v>300</v>
      </c>
      <c r="B303" s="218" t="s">
        <v>3084</v>
      </c>
      <c r="C303" s="217" t="s">
        <v>32</v>
      </c>
      <c r="D303" s="217" t="s">
        <v>35</v>
      </c>
      <c r="E303" s="209">
        <v>1372000</v>
      </c>
      <c r="F303" s="212">
        <f t="shared" si="8"/>
        <v>1330840</v>
      </c>
      <c r="G303" s="206">
        <f t="shared" si="9"/>
        <v>1289680</v>
      </c>
      <c r="H303" s="258">
        <v>341.11</v>
      </c>
      <c r="I303" s="258">
        <v>293.95999999999998</v>
      </c>
      <c r="J303" s="217">
        <v>47.15</v>
      </c>
      <c r="K303" s="217" t="s">
        <v>2461</v>
      </c>
    </row>
    <row r="304" spans="1:11">
      <c r="A304" s="217">
        <v>301</v>
      </c>
      <c r="B304" s="218" t="s">
        <v>3085</v>
      </c>
      <c r="C304" s="217" t="s">
        <v>32</v>
      </c>
      <c r="D304" s="217" t="s">
        <v>35</v>
      </c>
      <c r="E304" s="209">
        <v>1371000</v>
      </c>
      <c r="F304" s="212">
        <f t="shared" si="8"/>
        <v>1329870</v>
      </c>
      <c r="G304" s="206">
        <f t="shared" si="9"/>
        <v>1288740</v>
      </c>
      <c r="H304" s="258">
        <v>375.34</v>
      </c>
      <c r="I304" s="258">
        <v>292.45999999999998</v>
      </c>
      <c r="J304" s="217">
        <v>82.88</v>
      </c>
      <c r="K304" s="217" t="s">
        <v>3607</v>
      </c>
    </row>
    <row r="305" spans="1:11">
      <c r="A305" s="217">
        <v>302</v>
      </c>
      <c r="B305" s="218" t="s">
        <v>3086</v>
      </c>
      <c r="C305" s="217" t="s">
        <v>32</v>
      </c>
      <c r="D305" s="217" t="s">
        <v>35</v>
      </c>
      <c r="E305" s="209">
        <v>1372000</v>
      </c>
      <c r="F305" s="212">
        <f t="shared" si="8"/>
        <v>1330840</v>
      </c>
      <c r="G305" s="206">
        <f t="shared" si="9"/>
        <v>1289680</v>
      </c>
      <c r="H305" s="258">
        <v>341.11</v>
      </c>
      <c r="I305" s="258">
        <v>293.95999999999998</v>
      </c>
      <c r="J305" s="217">
        <v>47.15</v>
      </c>
      <c r="K305" s="217" t="s">
        <v>3607</v>
      </c>
    </row>
    <row r="306" spans="1:11">
      <c r="A306" s="217">
        <v>303</v>
      </c>
      <c r="B306" s="218" t="s">
        <v>3087</v>
      </c>
      <c r="C306" s="217" t="s">
        <v>4459</v>
      </c>
      <c r="D306" s="217" t="s">
        <v>35</v>
      </c>
      <c r="E306" s="209">
        <v>1374000</v>
      </c>
      <c r="F306" s="212">
        <f t="shared" si="8"/>
        <v>1332780</v>
      </c>
      <c r="G306" s="206">
        <f t="shared" si="9"/>
        <v>1291560</v>
      </c>
      <c r="H306" s="258">
        <v>401.82</v>
      </c>
      <c r="I306" s="258">
        <v>292.45999999999998</v>
      </c>
      <c r="J306" s="217">
        <v>109.36</v>
      </c>
      <c r="K306" s="217" t="s">
        <v>2461</v>
      </c>
    </row>
    <row r="307" spans="1:11">
      <c r="A307" s="217">
        <v>304</v>
      </c>
      <c r="B307" s="218" t="s">
        <v>3088</v>
      </c>
      <c r="C307" s="217" t="s">
        <v>4459</v>
      </c>
      <c r="D307" s="217" t="s">
        <v>35</v>
      </c>
      <c r="E307" s="209">
        <v>1372000</v>
      </c>
      <c r="F307" s="212">
        <f t="shared" si="8"/>
        <v>1330840</v>
      </c>
      <c r="G307" s="206">
        <f t="shared" si="9"/>
        <v>1289680</v>
      </c>
      <c r="H307" s="258">
        <v>395.68</v>
      </c>
      <c r="I307" s="258">
        <v>292.45999999999998</v>
      </c>
      <c r="J307" s="217">
        <v>103.23</v>
      </c>
      <c r="K307" s="217" t="s">
        <v>3607</v>
      </c>
    </row>
    <row r="308" spans="1:11">
      <c r="A308" s="217">
        <v>305</v>
      </c>
      <c r="B308" s="218" t="s">
        <v>3089</v>
      </c>
      <c r="C308" s="217" t="s">
        <v>4459</v>
      </c>
      <c r="D308" s="217" t="s">
        <v>35</v>
      </c>
      <c r="E308" s="209">
        <v>1371000</v>
      </c>
      <c r="F308" s="212">
        <f t="shared" si="8"/>
        <v>1329870</v>
      </c>
      <c r="G308" s="206">
        <f t="shared" si="9"/>
        <v>1288740</v>
      </c>
      <c r="H308" s="258">
        <v>386.85</v>
      </c>
      <c r="I308" s="258">
        <v>292.45999999999998</v>
      </c>
      <c r="J308" s="217">
        <v>94.4</v>
      </c>
      <c r="K308" s="217" t="s">
        <v>2461</v>
      </c>
    </row>
    <row r="309" spans="1:11">
      <c r="A309" s="217">
        <v>306</v>
      </c>
      <c r="B309" s="218" t="s">
        <v>3090</v>
      </c>
      <c r="C309" s="217" t="s">
        <v>4459</v>
      </c>
      <c r="D309" s="217" t="s">
        <v>35</v>
      </c>
      <c r="E309" s="209">
        <v>1368000</v>
      </c>
      <c r="F309" s="212">
        <f t="shared" si="8"/>
        <v>1326960</v>
      </c>
      <c r="G309" s="206">
        <f t="shared" si="9"/>
        <v>1285920</v>
      </c>
      <c r="H309" s="258">
        <v>375.34</v>
      </c>
      <c r="I309" s="258">
        <v>292.45999999999998</v>
      </c>
      <c r="J309" s="217">
        <v>82.88</v>
      </c>
      <c r="K309" s="217" t="s">
        <v>2461</v>
      </c>
    </row>
    <row r="310" spans="1:11">
      <c r="A310" s="217">
        <v>307</v>
      </c>
      <c r="B310" s="218" t="s">
        <v>3091</v>
      </c>
      <c r="C310" s="217" t="s">
        <v>5</v>
      </c>
      <c r="D310" s="217" t="s">
        <v>35</v>
      </c>
      <c r="E310" s="209">
        <v>1371000</v>
      </c>
      <c r="F310" s="212">
        <f t="shared" si="8"/>
        <v>1329870</v>
      </c>
      <c r="G310" s="206">
        <f t="shared" si="9"/>
        <v>1288740</v>
      </c>
      <c r="H310" s="258">
        <v>401.82</v>
      </c>
      <c r="I310" s="258">
        <v>292.45999999999998</v>
      </c>
      <c r="J310" s="217">
        <v>109.36</v>
      </c>
      <c r="K310" s="217" t="s">
        <v>3607</v>
      </c>
    </row>
    <row r="311" spans="1:11">
      <c r="A311" s="217">
        <v>308</v>
      </c>
      <c r="B311" s="218" t="s">
        <v>3092</v>
      </c>
      <c r="C311" s="217" t="s">
        <v>4459</v>
      </c>
      <c r="D311" s="217" t="s">
        <v>35</v>
      </c>
      <c r="E311" s="209">
        <v>1369000</v>
      </c>
      <c r="F311" s="212">
        <f t="shared" si="8"/>
        <v>1327930</v>
      </c>
      <c r="G311" s="206">
        <f t="shared" si="9"/>
        <v>1286860</v>
      </c>
      <c r="H311" s="258">
        <v>341.11</v>
      </c>
      <c r="I311" s="258">
        <v>293.95999999999998</v>
      </c>
      <c r="J311" s="217">
        <v>47.15</v>
      </c>
      <c r="K311" s="217" t="s">
        <v>2461</v>
      </c>
    </row>
    <row r="312" spans="1:11">
      <c r="A312" s="217">
        <v>309</v>
      </c>
      <c r="B312" s="218" t="s">
        <v>3093</v>
      </c>
      <c r="C312" s="217" t="s">
        <v>5</v>
      </c>
      <c r="D312" s="217" t="s">
        <v>35</v>
      </c>
      <c r="E312" s="209">
        <v>1370000</v>
      </c>
      <c r="F312" s="212">
        <f t="shared" si="8"/>
        <v>1328900</v>
      </c>
      <c r="G312" s="206">
        <f t="shared" si="9"/>
        <v>1287800</v>
      </c>
      <c r="H312" s="258">
        <v>395.68</v>
      </c>
      <c r="I312" s="258">
        <v>292.45999999999998</v>
      </c>
      <c r="J312" s="217">
        <v>103.23</v>
      </c>
      <c r="K312" s="217" t="s">
        <v>2461</v>
      </c>
    </row>
    <row r="313" spans="1:11">
      <c r="A313" s="217">
        <v>310</v>
      </c>
      <c r="B313" s="218" t="s">
        <v>3094</v>
      </c>
      <c r="C313" s="217" t="s">
        <v>5</v>
      </c>
      <c r="D313" s="217" t="s">
        <v>35</v>
      </c>
      <c r="E313" s="209">
        <v>1369000</v>
      </c>
      <c r="F313" s="212">
        <f t="shared" si="8"/>
        <v>1327930</v>
      </c>
      <c r="G313" s="206">
        <f t="shared" si="9"/>
        <v>1286860</v>
      </c>
      <c r="H313" s="258">
        <v>386.85</v>
      </c>
      <c r="I313" s="258">
        <v>292.45999999999998</v>
      </c>
      <c r="J313" s="217">
        <v>94.4</v>
      </c>
      <c r="K313" s="217" t="s">
        <v>2461</v>
      </c>
    </row>
    <row r="314" spans="1:11">
      <c r="A314" s="217">
        <v>311</v>
      </c>
      <c r="B314" s="218" t="s">
        <v>3095</v>
      </c>
      <c r="C314" s="217" t="s">
        <v>4</v>
      </c>
      <c r="D314" s="217" t="s">
        <v>35</v>
      </c>
      <c r="E314" s="209">
        <v>1372000</v>
      </c>
      <c r="F314" s="212">
        <f t="shared" si="8"/>
        <v>1330840</v>
      </c>
      <c r="G314" s="206">
        <f t="shared" si="9"/>
        <v>1289680</v>
      </c>
      <c r="H314" s="258">
        <v>361.13</v>
      </c>
      <c r="I314" s="258">
        <v>292.45999999999998</v>
      </c>
      <c r="J314" s="217">
        <v>68.67</v>
      </c>
      <c r="K314" s="217" t="s">
        <v>2461</v>
      </c>
    </row>
    <row r="315" spans="1:11">
      <c r="A315" s="217">
        <v>312</v>
      </c>
      <c r="B315" s="218" t="s">
        <v>3096</v>
      </c>
      <c r="C315" s="217" t="s">
        <v>5</v>
      </c>
      <c r="D315" s="217" t="s">
        <v>35</v>
      </c>
      <c r="E315" s="209">
        <v>1366000</v>
      </c>
      <c r="F315" s="212">
        <f t="shared" si="8"/>
        <v>1325020</v>
      </c>
      <c r="G315" s="206">
        <f t="shared" si="9"/>
        <v>1284040</v>
      </c>
      <c r="H315" s="258">
        <v>375.34</v>
      </c>
      <c r="I315" s="258">
        <v>292.45999999999998</v>
      </c>
      <c r="J315" s="217">
        <v>82.88</v>
      </c>
      <c r="K315" s="217" t="s">
        <v>2461</v>
      </c>
    </row>
    <row r="316" spans="1:11">
      <c r="A316" s="217">
        <v>313</v>
      </c>
      <c r="B316" s="218" t="s">
        <v>3097</v>
      </c>
      <c r="C316" s="217" t="s">
        <v>4</v>
      </c>
      <c r="D316" s="217" t="s">
        <v>35</v>
      </c>
      <c r="E316" s="209">
        <v>1369000</v>
      </c>
      <c r="F316" s="212">
        <f t="shared" si="8"/>
        <v>1327930</v>
      </c>
      <c r="G316" s="206">
        <f t="shared" si="9"/>
        <v>1286860</v>
      </c>
      <c r="H316" s="258">
        <v>401.82</v>
      </c>
      <c r="I316" s="258">
        <v>292.45999999999998</v>
      </c>
      <c r="J316" s="217">
        <v>109.36</v>
      </c>
      <c r="K316" s="217" t="s">
        <v>2461</v>
      </c>
    </row>
    <row r="317" spans="1:11">
      <c r="A317" s="217">
        <v>314</v>
      </c>
      <c r="B317" s="218" t="s">
        <v>3098</v>
      </c>
      <c r="C317" s="217" t="s">
        <v>4</v>
      </c>
      <c r="D317" s="217" t="s">
        <v>35</v>
      </c>
      <c r="E317" s="209">
        <v>1369000</v>
      </c>
      <c r="F317" s="212">
        <f t="shared" si="8"/>
        <v>1327930</v>
      </c>
      <c r="G317" s="206">
        <f t="shared" si="9"/>
        <v>1286860</v>
      </c>
      <c r="H317" s="258">
        <v>401.82</v>
      </c>
      <c r="I317" s="258">
        <v>292.45999999999998</v>
      </c>
      <c r="J317" s="217">
        <v>109.36</v>
      </c>
      <c r="K317" s="217" t="s">
        <v>2461</v>
      </c>
    </row>
    <row r="318" spans="1:11">
      <c r="A318" s="217">
        <v>315</v>
      </c>
      <c r="B318" s="218" t="s">
        <v>3099</v>
      </c>
      <c r="C318" s="217" t="s">
        <v>4</v>
      </c>
      <c r="D318" s="217" t="s">
        <v>35</v>
      </c>
      <c r="E318" s="209">
        <v>1367000</v>
      </c>
      <c r="F318" s="212">
        <f t="shared" si="8"/>
        <v>1325990</v>
      </c>
      <c r="G318" s="206">
        <f t="shared" si="9"/>
        <v>1284980</v>
      </c>
      <c r="H318" s="258">
        <v>395.68</v>
      </c>
      <c r="I318" s="258">
        <v>292.45999999999998</v>
      </c>
      <c r="J318" s="217">
        <v>103.23</v>
      </c>
      <c r="K318" s="217" t="s">
        <v>2461</v>
      </c>
    </row>
    <row r="319" spans="1:11">
      <c r="A319" s="217">
        <v>316</v>
      </c>
      <c r="B319" s="218" t="s">
        <v>3100</v>
      </c>
      <c r="C319" s="217" t="s">
        <v>4458</v>
      </c>
      <c r="D319" s="217" t="s">
        <v>35</v>
      </c>
      <c r="E319" s="209">
        <v>1370000</v>
      </c>
      <c r="F319" s="212">
        <f t="shared" si="8"/>
        <v>1328900</v>
      </c>
      <c r="G319" s="206">
        <f t="shared" si="9"/>
        <v>1287800</v>
      </c>
      <c r="H319" s="258">
        <v>361.13</v>
      </c>
      <c r="I319" s="258">
        <v>292.45999999999998</v>
      </c>
      <c r="J319" s="217">
        <v>68.67</v>
      </c>
      <c r="K319" s="217" t="s">
        <v>2461</v>
      </c>
    </row>
    <row r="320" spans="1:11">
      <c r="A320" s="217">
        <v>317</v>
      </c>
      <c r="B320" s="218" t="s">
        <v>3101</v>
      </c>
      <c r="C320" s="217" t="s">
        <v>4458</v>
      </c>
      <c r="D320" s="217" t="s">
        <v>35</v>
      </c>
      <c r="E320" s="209">
        <v>1370000</v>
      </c>
      <c r="F320" s="212">
        <f t="shared" si="8"/>
        <v>1328900</v>
      </c>
      <c r="G320" s="206">
        <f t="shared" si="9"/>
        <v>1287800</v>
      </c>
      <c r="H320" s="258">
        <v>361.13</v>
      </c>
      <c r="I320" s="258">
        <v>292.45999999999998</v>
      </c>
      <c r="J320" s="217">
        <v>68.67</v>
      </c>
      <c r="K320" s="217" t="s">
        <v>3607</v>
      </c>
    </row>
    <row r="321" spans="1:11">
      <c r="A321" s="217">
        <v>318</v>
      </c>
      <c r="B321" s="218" t="s">
        <v>3102</v>
      </c>
      <c r="C321" s="217" t="s">
        <v>4</v>
      </c>
      <c r="D321" s="217" t="s">
        <v>35</v>
      </c>
      <c r="E321" s="209">
        <v>1366000</v>
      </c>
      <c r="F321" s="212">
        <f t="shared" si="8"/>
        <v>1325020</v>
      </c>
      <c r="G321" s="206">
        <f t="shared" si="9"/>
        <v>1284040</v>
      </c>
      <c r="H321" s="258">
        <v>386.85</v>
      </c>
      <c r="I321" s="258">
        <v>292.45999999999998</v>
      </c>
      <c r="J321" s="217">
        <v>94.4</v>
      </c>
      <c r="K321" s="217" t="s">
        <v>2461</v>
      </c>
    </row>
    <row r="322" spans="1:11">
      <c r="A322" s="217">
        <v>319</v>
      </c>
      <c r="B322" s="218" t="s">
        <v>3103</v>
      </c>
      <c r="C322" s="217" t="s">
        <v>4</v>
      </c>
      <c r="D322" s="217" t="s">
        <v>35</v>
      </c>
      <c r="E322" s="209">
        <v>1366000</v>
      </c>
      <c r="F322" s="212">
        <f t="shared" si="8"/>
        <v>1325020</v>
      </c>
      <c r="G322" s="206">
        <f t="shared" si="9"/>
        <v>1284040</v>
      </c>
      <c r="H322" s="258">
        <v>386.85</v>
      </c>
      <c r="I322" s="258">
        <v>292.45999999999998</v>
      </c>
      <c r="J322" s="217">
        <v>94.4</v>
      </c>
      <c r="K322" s="217" t="s">
        <v>3607</v>
      </c>
    </row>
    <row r="323" spans="1:11">
      <c r="A323" s="217">
        <v>320</v>
      </c>
      <c r="B323" s="218" t="s">
        <v>3104</v>
      </c>
      <c r="C323" s="217" t="s">
        <v>4</v>
      </c>
      <c r="D323" s="217" t="s">
        <v>35</v>
      </c>
      <c r="E323" s="209">
        <v>1364000</v>
      </c>
      <c r="F323" s="212">
        <f t="shared" ref="F323:F386" si="10">E323*0.97</f>
        <v>1323080</v>
      </c>
      <c r="G323" s="206">
        <f t="shared" ref="G323:G386" si="11">E323*0.94</f>
        <v>1282160</v>
      </c>
      <c r="H323" s="258">
        <v>341.11</v>
      </c>
      <c r="I323" s="258">
        <v>293.95999999999998</v>
      </c>
      <c r="J323" s="217">
        <v>47.15</v>
      </c>
      <c r="K323" s="217" t="s">
        <v>2461</v>
      </c>
    </row>
    <row r="324" spans="1:11">
      <c r="A324" s="217">
        <v>321</v>
      </c>
      <c r="B324" s="218" t="s">
        <v>3105</v>
      </c>
      <c r="C324" s="217" t="s">
        <v>4</v>
      </c>
      <c r="D324" s="217" t="s">
        <v>35</v>
      </c>
      <c r="E324" s="209">
        <v>1364000</v>
      </c>
      <c r="F324" s="212">
        <f t="shared" si="10"/>
        <v>1323080</v>
      </c>
      <c r="G324" s="206">
        <f t="shared" si="11"/>
        <v>1282160</v>
      </c>
      <c r="H324" s="258">
        <v>341.11</v>
      </c>
      <c r="I324" s="258">
        <v>293.95999999999998</v>
      </c>
      <c r="J324" s="217">
        <v>47.15</v>
      </c>
      <c r="K324" s="217" t="s">
        <v>3607</v>
      </c>
    </row>
    <row r="325" spans="1:11">
      <c r="A325" s="217">
        <v>322</v>
      </c>
      <c r="B325" s="218" t="s">
        <v>3106</v>
      </c>
      <c r="C325" s="217" t="s">
        <v>4</v>
      </c>
      <c r="D325" s="217" t="s">
        <v>35</v>
      </c>
      <c r="E325" s="209">
        <v>1364000</v>
      </c>
      <c r="F325" s="212">
        <f t="shared" si="10"/>
        <v>1323080</v>
      </c>
      <c r="G325" s="206">
        <f t="shared" si="11"/>
        <v>1282160</v>
      </c>
      <c r="H325" s="258">
        <v>341.11</v>
      </c>
      <c r="I325" s="258">
        <v>293.95999999999998</v>
      </c>
      <c r="J325" s="217">
        <v>47.15</v>
      </c>
      <c r="K325" s="217" t="s">
        <v>3607</v>
      </c>
    </row>
    <row r="326" spans="1:11">
      <c r="A326" s="217">
        <v>323</v>
      </c>
      <c r="B326" s="218" t="s">
        <v>3107</v>
      </c>
      <c r="C326" s="217" t="s">
        <v>4458</v>
      </c>
      <c r="D326" s="217" t="s">
        <v>35</v>
      </c>
      <c r="E326" s="209">
        <v>1366000</v>
      </c>
      <c r="F326" s="212">
        <f t="shared" si="10"/>
        <v>1325020</v>
      </c>
      <c r="G326" s="206">
        <f t="shared" si="11"/>
        <v>1284040</v>
      </c>
      <c r="H326" s="258">
        <v>401.82</v>
      </c>
      <c r="I326" s="258">
        <v>292.45999999999998</v>
      </c>
      <c r="J326" s="217">
        <v>109.36</v>
      </c>
      <c r="K326" s="217" t="s">
        <v>2461</v>
      </c>
    </row>
    <row r="327" spans="1:11">
      <c r="A327" s="217">
        <v>324</v>
      </c>
      <c r="B327" s="218" t="s">
        <v>3108</v>
      </c>
      <c r="C327" s="217" t="s">
        <v>4458</v>
      </c>
      <c r="D327" s="217" t="s">
        <v>35</v>
      </c>
      <c r="E327" s="209">
        <v>1365000</v>
      </c>
      <c r="F327" s="212">
        <f t="shared" si="10"/>
        <v>1324050</v>
      </c>
      <c r="G327" s="206">
        <f t="shared" si="11"/>
        <v>1283100</v>
      </c>
      <c r="H327" s="258">
        <v>395.68</v>
      </c>
      <c r="I327" s="258">
        <v>292.45999999999998</v>
      </c>
      <c r="J327" s="217">
        <v>103.23</v>
      </c>
      <c r="K327" s="217" t="s">
        <v>2461</v>
      </c>
    </row>
    <row r="328" spans="1:11">
      <c r="A328" s="217">
        <v>325</v>
      </c>
      <c r="B328" s="218" t="s">
        <v>3109</v>
      </c>
      <c r="C328" s="217" t="s">
        <v>6</v>
      </c>
      <c r="D328" s="217" t="s">
        <v>35</v>
      </c>
      <c r="E328" s="209">
        <v>1367000</v>
      </c>
      <c r="F328" s="212">
        <f t="shared" si="10"/>
        <v>1325990</v>
      </c>
      <c r="G328" s="206">
        <f t="shared" si="11"/>
        <v>1284980</v>
      </c>
      <c r="H328" s="258">
        <v>361.13</v>
      </c>
      <c r="I328" s="258">
        <v>292.45999999999998</v>
      </c>
      <c r="J328" s="217">
        <v>68.67</v>
      </c>
      <c r="K328" s="217" t="s">
        <v>3607</v>
      </c>
    </row>
    <row r="329" spans="1:11">
      <c r="A329" s="217">
        <v>326</v>
      </c>
      <c r="B329" s="218" t="s">
        <v>3110</v>
      </c>
      <c r="C329" s="217" t="s">
        <v>6</v>
      </c>
      <c r="D329" s="217" t="s">
        <v>35</v>
      </c>
      <c r="E329" s="209">
        <v>1367000</v>
      </c>
      <c r="F329" s="212">
        <f t="shared" si="10"/>
        <v>1325990</v>
      </c>
      <c r="G329" s="206">
        <f t="shared" si="11"/>
        <v>1284980</v>
      </c>
      <c r="H329" s="258">
        <v>361.13</v>
      </c>
      <c r="I329" s="258">
        <v>292.45999999999998</v>
      </c>
      <c r="J329" s="217">
        <v>68.67</v>
      </c>
      <c r="K329" s="217" t="s">
        <v>3607</v>
      </c>
    </row>
    <row r="330" spans="1:11">
      <c r="A330" s="217">
        <v>327</v>
      </c>
      <c r="B330" s="218" t="s">
        <v>3111</v>
      </c>
      <c r="C330" s="217" t="s">
        <v>4458</v>
      </c>
      <c r="D330" s="217" t="s">
        <v>35</v>
      </c>
      <c r="E330" s="209">
        <v>1364000</v>
      </c>
      <c r="F330" s="212">
        <f t="shared" si="10"/>
        <v>1323080</v>
      </c>
      <c r="G330" s="206">
        <f t="shared" si="11"/>
        <v>1282160</v>
      </c>
      <c r="H330" s="258">
        <v>386.85</v>
      </c>
      <c r="I330" s="258">
        <v>292.45999999999998</v>
      </c>
      <c r="J330" s="217">
        <v>94.4</v>
      </c>
      <c r="K330" s="217" t="s">
        <v>3607</v>
      </c>
    </row>
    <row r="331" spans="1:11">
      <c r="A331" s="217">
        <v>328</v>
      </c>
      <c r="B331" s="218" t="s">
        <v>3112</v>
      </c>
      <c r="C331" s="217" t="s">
        <v>4458</v>
      </c>
      <c r="D331" s="217" t="s">
        <v>35</v>
      </c>
      <c r="E331" s="209">
        <v>1361000</v>
      </c>
      <c r="F331" s="212">
        <f t="shared" si="10"/>
        <v>1320170</v>
      </c>
      <c r="G331" s="206">
        <f t="shared" si="11"/>
        <v>1279340</v>
      </c>
      <c r="H331" s="258">
        <v>341.11</v>
      </c>
      <c r="I331" s="258">
        <v>293.95999999999998</v>
      </c>
      <c r="J331" s="217">
        <v>47.15</v>
      </c>
      <c r="K331" s="217" t="s">
        <v>3607</v>
      </c>
    </row>
    <row r="332" spans="1:11">
      <c r="A332" s="217">
        <v>329</v>
      </c>
      <c r="B332" s="218" t="s">
        <v>3113</v>
      </c>
      <c r="C332" s="217" t="s">
        <v>4458</v>
      </c>
      <c r="D332" s="217" t="s">
        <v>35</v>
      </c>
      <c r="E332" s="209">
        <v>1361000</v>
      </c>
      <c r="F332" s="212">
        <f t="shared" si="10"/>
        <v>1320170</v>
      </c>
      <c r="G332" s="206">
        <f t="shared" si="11"/>
        <v>1279340</v>
      </c>
      <c r="H332" s="258">
        <v>341.11</v>
      </c>
      <c r="I332" s="258">
        <v>293.95999999999998</v>
      </c>
      <c r="J332" s="217">
        <v>47.15</v>
      </c>
      <c r="K332" s="217" t="s">
        <v>3607</v>
      </c>
    </row>
    <row r="333" spans="1:11">
      <c r="A333" s="217">
        <v>330</v>
      </c>
      <c r="B333" s="218" t="s">
        <v>3114</v>
      </c>
      <c r="C333" s="217" t="s">
        <v>6</v>
      </c>
      <c r="D333" s="217" t="s">
        <v>35</v>
      </c>
      <c r="E333" s="209">
        <v>1364000</v>
      </c>
      <c r="F333" s="212">
        <f t="shared" si="10"/>
        <v>1323080</v>
      </c>
      <c r="G333" s="206">
        <f t="shared" si="11"/>
        <v>1282160</v>
      </c>
      <c r="H333" s="258">
        <v>401.82</v>
      </c>
      <c r="I333" s="258">
        <v>292.45999999999998</v>
      </c>
      <c r="J333" s="217">
        <v>109.36</v>
      </c>
      <c r="K333" s="217" t="s">
        <v>3607</v>
      </c>
    </row>
    <row r="334" spans="1:11">
      <c r="A334" s="217">
        <v>331</v>
      </c>
      <c r="B334" s="218" t="s">
        <v>3115</v>
      </c>
      <c r="C334" s="217" t="s">
        <v>6</v>
      </c>
      <c r="D334" s="217" t="s">
        <v>35</v>
      </c>
      <c r="E334" s="209">
        <v>1362000</v>
      </c>
      <c r="F334" s="212">
        <f t="shared" si="10"/>
        <v>1321140</v>
      </c>
      <c r="G334" s="206">
        <f t="shared" si="11"/>
        <v>1280280</v>
      </c>
      <c r="H334" s="258">
        <v>395.68</v>
      </c>
      <c r="I334" s="258">
        <v>292.45999999999998</v>
      </c>
      <c r="J334" s="217">
        <v>103.23</v>
      </c>
      <c r="K334" s="217" t="s">
        <v>2461</v>
      </c>
    </row>
    <row r="335" spans="1:11">
      <c r="A335" s="217">
        <v>332</v>
      </c>
      <c r="B335" s="218" t="s">
        <v>3116</v>
      </c>
      <c r="C335" s="217" t="s">
        <v>6</v>
      </c>
      <c r="D335" s="217" t="s">
        <v>35</v>
      </c>
      <c r="E335" s="209">
        <v>1361000</v>
      </c>
      <c r="F335" s="212">
        <f t="shared" si="10"/>
        <v>1320170</v>
      </c>
      <c r="G335" s="206">
        <f t="shared" si="11"/>
        <v>1279340</v>
      </c>
      <c r="H335" s="258">
        <v>386.85</v>
      </c>
      <c r="I335" s="258">
        <v>292.45999999999998</v>
      </c>
      <c r="J335" s="217">
        <v>94.4</v>
      </c>
      <c r="K335" s="217" t="s">
        <v>2461</v>
      </c>
    </row>
    <row r="336" spans="1:11">
      <c r="A336" s="217">
        <v>333</v>
      </c>
      <c r="B336" s="218" t="s">
        <v>3117</v>
      </c>
      <c r="C336" s="217" t="s">
        <v>6</v>
      </c>
      <c r="D336" s="217" t="s">
        <v>35</v>
      </c>
      <c r="E336" s="209">
        <v>1361000</v>
      </c>
      <c r="F336" s="212">
        <f t="shared" si="10"/>
        <v>1320170</v>
      </c>
      <c r="G336" s="206">
        <f t="shared" si="11"/>
        <v>1279340</v>
      </c>
      <c r="H336" s="258">
        <v>386.85</v>
      </c>
      <c r="I336" s="258">
        <v>292.45999999999998</v>
      </c>
      <c r="J336" s="217">
        <v>94.4</v>
      </c>
      <c r="K336" s="217" t="s">
        <v>2461</v>
      </c>
    </row>
    <row r="337" spans="1:11">
      <c r="A337" s="217">
        <v>334</v>
      </c>
      <c r="B337" s="218" t="s">
        <v>3118</v>
      </c>
      <c r="C337" s="217" t="s">
        <v>7</v>
      </c>
      <c r="D337" s="217" t="s">
        <v>35</v>
      </c>
      <c r="E337" s="209">
        <v>1364000</v>
      </c>
      <c r="F337" s="212">
        <f t="shared" si="10"/>
        <v>1323080</v>
      </c>
      <c r="G337" s="206">
        <f t="shared" si="11"/>
        <v>1282160</v>
      </c>
      <c r="H337" s="258">
        <v>361.13</v>
      </c>
      <c r="I337" s="258">
        <v>292.45999999999998</v>
      </c>
      <c r="J337" s="217">
        <v>68.67</v>
      </c>
      <c r="K337" s="217" t="s">
        <v>2461</v>
      </c>
    </row>
    <row r="338" spans="1:11">
      <c r="A338" s="217">
        <v>335</v>
      </c>
      <c r="B338" s="218" t="s">
        <v>3119</v>
      </c>
      <c r="C338" s="217" t="s">
        <v>7</v>
      </c>
      <c r="D338" s="217" t="s">
        <v>35</v>
      </c>
      <c r="E338" s="209">
        <v>1364000</v>
      </c>
      <c r="F338" s="212">
        <f t="shared" si="10"/>
        <v>1323080</v>
      </c>
      <c r="G338" s="206">
        <f t="shared" si="11"/>
        <v>1282160</v>
      </c>
      <c r="H338" s="258">
        <v>361.13</v>
      </c>
      <c r="I338" s="258">
        <v>292.45999999999998</v>
      </c>
      <c r="J338" s="217">
        <v>68.67</v>
      </c>
      <c r="K338" s="217" t="s">
        <v>2461</v>
      </c>
    </row>
    <row r="339" spans="1:11">
      <c r="A339" s="217">
        <v>336</v>
      </c>
      <c r="B339" s="218" t="s">
        <v>3120</v>
      </c>
      <c r="C339" s="217" t="s">
        <v>6</v>
      </c>
      <c r="D339" s="217" t="s">
        <v>35</v>
      </c>
      <c r="E339" s="209">
        <v>1358000</v>
      </c>
      <c r="F339" s="212">
        <f t="shared" si="10"/>
        <v>1317260</v>
      </c>
      <c r="G339" s="206">
        <f t="shared" si="11"/>
        <v>1276520</v>
      </c>
      <c r="H339" s="258">
        <v>375.34</v>
      </c>
      <c r="I339" s="258">
        <v>292.45999999999998</v>
      </c>
      <c r="J339" s="217">
        <v>82.88</v>
      </c>
      <c r="K339" s="217" t="s">
        <v>3607</v>
      </c>
    </row>
    <row r="340" spans="1:11">
      <c r="A340" s="217">
        <v>337</v>
      </c>
      <c r="B340" s="218" t="s">
        <v>3121</v>
      </c>
      <c r="C340" s="217" t="s">
        <v>6</v>
      </c>
      <c r="D340" s="217" t="s">
        <v>35</v>
      </c>
      <c r="E340" s="209">
        <v>1358000</v>
      </c>
      <c r="F340" s="212">
        <f t="shared" si="10"/>
        <v>1317260</v>
      </c>
      <c r="G340" s="206">
        <f t="shared" si="11"/>
        <v>1276520</v>
      </c>
      <c r="H340" s="258">
        <v>341.11</v>
      </c>
      <c r="I340" s="258">
        <v>293.95999999999998</v>
      </c>
      <c r="J340" s="217">
        <v>47.15</v>
      </c>
      <c r="K340" s="217" t="s">
        <v>2461</v>
      </c>
    </row>
    <row r="341" spans="1:11">
      <c r="A341" s="217">
        <v>338</v>
      </c>
      <c r="B341" s="218" t="s">
        <v>3122</v>
      </c>
      <c r="C341" s="217" t="s">
        <v>6</v>
      </c>
      <c r="D341" s="217" t="s">
        <v>35</v>
      </c>
      <c r="E341" s="209">
        <v>1358000</v>
      </c>
      <c r="F341" s="212">
        <f t="shared" si="10"/>
        <v>1317260</v>
      </c>
      <c r="G341" s="206">
        <f t="shared" si="11"/>
        <v>1276520</v>
      </c>
      <c r="H341" s="258">
        <v>341.11</v>
      </c>
      <c r="I341" s="258">
        <v>293.95999999999998</v>
      </c>
      <c r="J341" s="217">
        <v>47.15</v>
      </c>
      <c r="K341" s="217" t="s">
        <v>2461</v>
      </c>
    </row>
    <row r="342" spans="1:11">
      <c r="A342" s="217">
        <v>339</v>
      </c>
      <c r="B342" s="218" t="s">
        <v>3123</v>
      </c>
      <c r="C342" s="217" t="s">
        <v>6</v>
      </c>
      <c r="D342" s="217" t="s">
        <v>35</v>
      </c>
      <c r="E342" s="209">
        <v>1358000</v>
      </c>
      <c r="F342" s="212">
        <f t="shared" si="10"/>
        <v>1317260</v>
      </c>
      <c r="G342" s="206">
        <f t="shared" si="11"/>
        <v>1276520</v>
      </c>
      <c r="H342" s="258">
        <v>341.11</v>
      </c>
      <c r="I342" s="258">
        <v>293.95999999999998</v>
      </c>
      <c r="J342" s="217">
        <v>47.15</v>
      </c>
      <c r="K342" s="217" t="s">
        <v>3607</v>
      </c>
    </row>
    <row r="343" spans="1:11">
      <c r="A343" s="217">
        <v>340</v>
      </c>
      <c r="B343" s="218" t="s">
        <v>3124</v>
      </c>
      <c r="C343" s="217" t="s">
        <v>6</v>
      </c>
      <c r="D343" s="217" t="s">
        <v>35</v>
      </c>
      <c r="E343" s="209">
        <v>1358000</v>
      </c>
      <c r="F343" s="212">
        <f t="shared" si="10"/>
        <v>1317260</v>
      </c>
      <c r="G343" s="206">
        <f t="shared" si="11"/>
        <v>1276520</v>
      </c>
      <c r="H343" s="258">
        <v>341.11</v>
      </c>
      <c r="I343" s="258">
        <v>293.95999999999998</v>
      </c>
      <c r="J343" s="217">
        <v>47.15</v>
      </c>
      <c r="K343" s="217" t="s">
        <v>3607</v>
      </c>
    </row>
    <row r="344" spans="1:11">
      <c r="A344" s="217">
        <v>341</v>
      </c>
      <c r="B344" s="218" t="s">
        <v>3125</v>
      </c>
      <c r="C344" s="217" t="s">
        <v>7</v>
      </c>
      <c r="D344" s="217" t="s">
        <v>35</v>
      </c>
      <c r="E344" s="209">
        <v>1361000</v>
      </c>
      <c r="F344" s="212">
        <f t="shared" si="10"/>
        <v>1320170</v>
      </c>
      <c r="G344" s="206">
        <f t="shared" si="11"/>
        <v>1279340</v>
      </c>
      <c r="H344" s="258">
        <v>401.82</v>
      </c>
      <c r="I344" s="258">
        <v>292.45999999999998</v>
      </c>
      <c r="J344" s="217">
        <v>109.36</v>
      </c>
      <c r="K344" s="217" t="s">
        <v>3607</v>
      </c>
    </row>
    <row r="345" spans="1:11">
      <c r="A345" s="217">
        <v>342</v>
      </c>
      <c r="B345" s="218" t="s">
        <v>3126</v>
      </c>
      <c r="C345" s="217" t="s">
        <v>7</v>
      </c>
      <c r="D345" s="217" t="s">
        <v>35</v>
      </c>
      <c r="E345" s="209">
        <v>1361000</v>
      </c>
      <c r="F345" s="212">
        <f t="shared" si="10"/>
        <v>1320170</v>
      </c>
      <c r="G345" s="206">
        <f t="shared" si="11"/>
        <v>1279340</v>
      </c>
      <c r="H345" s="258">
        <v>401.82</v>
      </c>
      <c r="I345" s="258">
        <v>292.45999999999998</v>
      </c>
      <c r="J345" s="217">
        <v>109.36</v>
      </c>
      <c r="K345" s="217" t="s">
        <v>3607</v>
      </c>
    </row>
    <row r="346" spans="1:11">
      <c r="A346" s="217">
        <v>343</v>
      </c>
      <c r="B346" s="218" t="s">
        <v>3127</v>
      </c>
      <c r="C346" s="217" t="s">
        <v>7</v>
      </c>
      <c r="D346" s="217" t="s">
        <v>35</v>
      </c>
      <c r="E346" s="209">
        <v>1359000</v>
      </c>
      <c r="F346" s="212">
        <f t="shared" si="10"/>
        <v>1318230</v>
      </c>
      <c r="G346" s="206">
        <f t="shared" si="11"/>
        <v>1277460</v>
      </c>
      <c r="H346" s="258">
        <v>395.68</v>
      </c>
      <c r="I346" s="258">
        <v>292.45999999999998</v>
      </c>
      <c r="J346" s="217">
        <v>103.23</v>
      </c>
      <c r="K346" s="217" t="s">
        <v>2461</v>
      </c>
    </row>
    <row r="347" spans="1:11">
      <c r="A347" s="217">
        <v>344</v>
      </c>
      <c r="B347" s="218" t="s">
        <v>3128</v>
      </c>
      <c r="C347" s="217" t="s">
        <v>7</v>
      </c>
      <c r="D347" s="217" t="s">
        <v>35</v>
      </c>
      <c r="E347" s="209">
        <v>1359000</v>
      </c>
      <c r="F347" s="212">
        <f t="shared" si="10"/>
        <v>1318230</v>
      </c>
      <c r="G347" s="206">
        <f t="shared" si="11"/>
        <v>1277460</v>
      </c>
      <c r="H347" s="258">
        <v>395.68</v>
      </c>
      <c r="I347" s="258">
        <v>292.45999999999998</v>
      </c>
      <c r="J347" s="217">
        <v>103.23</v>
      </c>
      <c r="K347" s="217" t="s">
        <v>2461</v>
      </c>
    </row>
    <row r="348" spans="1:11">
      <c r="A348" s="217">
        <v>345</v>
      </c>
      <c r="B348" s="218" t="s">
        <v>3129</v>
      </c>
      <c r="C348" s="217" t="s">
        <v>8</v>
      </c>
      <c r="D348" s="217" t="s">
        <v>35</v>
      </c>
      <c r="E348" s="209">
        <v>1362000</v>
      </c>
      <c r="F348" s="212">
        <f t="shared" si="10"/>
        <v>1321140</v>
      </c>
      <c r="G348" s="206">
        <f t="shared" si="11"/>
        <v>1280280</v>
      </c>
      <c r="H348" s="258">
        <v>361.13</v>
      </c>
      <c r="I348" s="258">
        <v>292.45999999999998</v>
      </c>
      <c r="J348" s="217">
        <v>68.67</v>
      </c>
      <c r="K348" s="217" t="s">
        <v>3607</v>
      </c>
    </row>
    <row r="349" spans="1:11">
      <c r="A349" s="217">
        <v>346</v>
      </c>
      <c r="B349" s="218" t="s">
        <v>3130</v>
      </c>
      <c r="C349" s="217" t="s">
        <v>7</v>
      </c>
      <c r="D349" s="217" t="s">
        <v>35</v>
      </c>
      <c r="E349" s="209">
        <v>1356000</v>
      </c>
      <c r="F349" s="212">
        <f t="shared" si="10"/>
        <v>1315320</v>
      </c>
      <c r="G349" s="206">
        <f t="shared" si="11"/>
        <v>1274640</v>
      </c>
      <c r="H349" s="258">
        <v>341.11</v>
      </c>
      <c r="I349" s="258">
        <v>293.95999999999998</v>
      </c>
      <c r="J349" s="217">
        <v>47.15</v>
      </c>
      <c r="K349" s="217" t="s">
        <v>2461</v>
      </c>
    </row>
    <row r="350" spans="1:11">
      <c r="A350" s="217">
        <v>347</v>
      </c>
      <c r="B350" s="218" t="s">
        <v>3131</v>
      </c>
      <c r="C350" s="217" t="s">
        <v>7</v>
      </c>
      <c r="D350" s="217" t="s">
        <v>35</v>
      </c>
      <c r="E350" s="209">
        <v>1356000</v>
      </c>
      <c r="F350" s="212">
        <f t="shared" si="10"/>
        <v>1315320</v>
      </c>
      <c r="G350" s="206">
        <f t="shared" si="11"/>
        <v>1274640</v>
      </c>
      <c r="H350" s="258">
        <v>341.11</v>
      </c>
      <c r="I350" s="258">
        <v>293.95999999999998</v>
      </c>
      <c r="J350" s="217">
        <v>47.15</v>
      </c>
      <c r="K350" s="217" t="s">
        <v>2461</v>
      </c>
    </row>
    <row r="351" spans="1:11">
      <c r="A351" s="217">
        <v>348</v>
      </c>
      <c r="B351" s="218" t="s">
        <v>3132</v>
      </c>
      <c r="C351" s="217" t="s">
        <v>7</v>
      </c>
      <c r="D351" s="217" t="s">
        <v>35</v>
      </c>
      <c r="E351" s="209">
        <v>1355000</v>
      </c>
      <c r="F351" s="212">
        <f t="shared" si="10"/>
        <v>1314350</v>
      </c>
      <c r="G351" s="206">
        <f t="shared" si="11"/>
        <v>1273700</v>
      </c>
      <c r="H351" s="258">
        <v>375.34</v>
      </c>
      <c r="I351" s="258">
        <v>292.45999999999998</v>
      </c>
      <c r="J351" s="217">
        <v>82.88</v>
      </c>
      <c r="K351" s="217" t="s">
        <v>3607</v>
      </c>
    </row>
    <row r="352" spans="1:11">
      <c r="A352" s="217">
        <v>349</v>
      </c>
      <c r="B352" s="218" t="s">
        <v>3133</v>
      </c>
      <c r="C352" s="217" t="s">
        <v>7</v>
      </c>
      <c r="D352" s="217" t="s">
        <v>35</v>
      </c>
      <c r="E352" s="209">
        <v>1355000</v>
      </c>
      <c r="F352" s="212">
        <f t="shared" si="10"/>
        <v>1314350</v>
      </c>
      <c r="G352" s="206">
        <f t="shared" si="11"/>
        <v>1273700</v>
      </c>
      <c r="H352" s="258">
        <v>375.34</v>
      </c>
      <c r="I352" s="258">
        <v>292.45999999999998</v>
      </c>
      <c r="J352" s="217">
        <v>82.88</v>
      </c>
      <c r="K352" s="217" t="s">
        <v>3607</v>
      </c>
    </row>
    <row r="353" spans="1:11">
      <c r="A353" s="217">
        <v>350</v>
      </c>
      <c r="B353" s="218" t="s">
        <v>3134</v>
      </c>
      <c r="C353" s="217" t="s">
        <v>7</v>
      </c>
      <c r="D353" s="217" t="s">
        <v>35</v>
      </c>
      <c r="E353" s="209">
        <v>1356000</v>
      </c>
      <c r="F353" s="212">
        <f t="shared" si="10"/>
        <v>1315320</v>
      </c>
      <c r="G353" s="206">
        <f t="shared" si="11"/>
        <v>1274640</v>
      </c>
      <c r="H353" s="258">
        <v>341.11</v>
      </c>
      <c r="I353" s="258">
        <v>293.95999999999998</v>
      </c>
      <c r="J353" s="217">
        <v>47.15</v>
      </c>
      <c r="K353" s="217" t="s">
        <v>3607</v>
      </c>
    </row>
    <row r="354" spans="1:11">
      <c r="A354" s="217">
        <v>351</v>
      </c>
      <c r="B354" s="218" t="s">
        <v>3135</v>
      </c>
      <c r="C354" s="217" t="s">
        <v>8</v>
      </c>
      <c r="D354" s="217" t="s">
        <v>35</v>
      </c>
      <c r="E354" s="209">
        <v>1358000</v>
      </c>
      <c r="F354" s="212">
        <f t="shared" si="10"/>
        <v>1317260</v>
      </c>
      <c r="G354" s="206">
        <f t="shared" si="11"/>
        <v>1276520</v>
      </c>
      <c r="H354" s="258">
        <v>401.82</v>
      </c>
      <c r="I354" s="258">
        <v>292.45999999999998</v>
      </c>
      <c r="J354" s="217">
        <v>109.36</v>
      </c>
      <c r="K354" s="217" t="s">
        <v>2461</v>
      </c>
    </row>
    <row r="355" spans="1:11">
      <c r="A355" s="217">
        <v>352</v>
      </c>
      <c r="B355" s="218" t="s">
        <v>3136</v>
      </c>
      <c r="C355" s="217" t="s">
        <v>8</v>
      </c>
      <c r="D355" s="217" t="s">
        <v>35</v>
      </c>
      <c r="E355" s="209">
        <v>1358000</v>
      </c>
      <c r="F355" s="212">
        <f t="shared" si="10"/>
        <v>1317260</v>
      </c>
      <c r="G355" s="206">
        <f t="shared" si="11"/>
        <v>1276520</v>
      </c>
      <c r="H355" s="258">
        <v>401.82</v>
      </c>
      <c r="I355" s="258">
        <v>292.45999999999998</v>
      </c>
      <c r="J355" s="217">
        <v>109.36</v>
      </c>
      <c r="K355" s="217" t="s">
        <v>3607</v>
      </c>
    </row>
    <row r="356" spans="1:11">
      <c r="A356" s="217">
        <v>353</v>
      </c>
      <c r="B356" s="218" t="s">
        <v>3137</v>
      </c>
      <c r="C356" s="217" t="s">
        <v>8</v>
      </c>
      <c r="D356" s="217" t="s">
        <v>35</v>
      </c>
      <c r="E356" s="209">
        <v>1357000</v>
      </c>
      <c r="F356" s="212">
        <f t="shared" si="10"/>
        <v>1316290</v>
      </c>
      <c r="G356" s="206">
        <f t="shared" si="11"/>
        <v>1275580</v>
      </c>
      <c r="H356" s="258">
        <v>395.68</v>
      </c>
      <c r="I356" s="258">
        <v>292.45999999999998</v>
      </c>
      <c r="J356" s="217">
        <v>103.23</v>
      </c>
      <c r="K356" s="217" t="s">
        <v>2461</v>
      </c>
    </row>
    <row r="357" spans="1:11">
      <c r="A357" s="217">
        <v>354</v>
      </c>
      <c r="B357" s="218" t="s">
        <v>3138</v>
      </c>
      <c r="C357" s="217" t="s">
        <v>8</v>
      </c>
      <c r="D357" s="217" t="s">
        <v>35</v>
      </c>
      <c r="E357" s="209">
        <v>1357000</v>
      </c>
      <c r="F357" s="212">
        <f t="shared" si="10"/>
        <v>1316290</v>
      </c>
      <c r="G357" s="206">
        <f t="shared" si="11"/>
        <v>1275580</v>
      </c>
      <c r="H357" s="258">
        <v>395.68</v>
      </c>
      <c r="I357" s="258">
        <v>292.45999999999998</v>
      </c>
      <c r="J357" s="217">
        <v>103.23</v>
      </c>
      <c r="K357" s="217" t="s">
        <v>3607</v>
      </c>
    </row>
    <row r="358" spans="1:11">
      <c r="A358" s="217">
        <v>355</v>
      </c>
      <c r="B358" s="218" t="s">
        <v>3139</v>
      </c>
      <c r="C358" s="217" t="s">
        <v>8</v>
      </c>
      <c r="D358" s="217" t="s">
        <v>35</v>
      </c>
      <c r="E358" s="209">
        <v>1356000</v>
      </c>
      <c r="F358" s="212">
        <f t="shared" si="10"/>
        <v>1315320</v>
      </c>
      <c r="G358" s="206">
        <f t="shared" si="11"/>
        <v>1274640</v>
      </c>
      <c r="H358" s="258">
        <v>386.85</v>
      </c>
      <c r="I358" s="258">
        <v>292.45999999999998</v>
      </c>
      <c r="J358" s="217">
        <v>94.4</v>
      </c>
      <c r="K358" s="217" t="s">
        <v>2461</v>
      </c>
    </row>
    <row r="359" spans="1:11">
      <c r="A359" s="217">
        <v>356</v>
      </c>
      <c r="B359" s="218" t="s">
        <v>3140</v>
      </c>
      <c r="C359" s="217" t="s">
        <v>8</v>
      </c>
      <c r="D359" s="217" t="s">
        <v>35</v>
      </c>
      <c r="E359" s="209">
        <v>1356000</v>
      </c>
      <c r="F359" s="212">
        <f t="shared" si="10"/>
        <v>1315320</v>
      </c>
      <c r="G359" s="206">
        <f t="shared" si="11"/>
        <v>1274640</v>
      </c>
      <c r="H359" s="258">
        <v>386.85</v>
      </c>
      <c r="I359" s="258">
        <v>292.45999999999998</v>
      </c>
      <c r="J359" s="217">
        <v>94.4</v>
      </c>
      <c r="K359" s="217" t="s">
        <v>2461</v>
      </c>
    </row>
    <row r="360" spans="1:11">
      <c r="A360" s="217">
        <v>357</v>
      </c>
      <c r="B360" s="218" t="s">
        <v>3141</v>
      </c>
      <c r="C360" s="217" t="s">
        <v>8</v>
      </c>
      <c r="D360" s="217" t="s">
        <v>35</v>
      </c>
      <c r="E360" s="209">
        <v>1356000</v>
      </c>
      <c r="F360" s="212">
        <f t="shared" si="10"/>
        <v>1315320</v>
      </c>
      <c r="G360" s="206">
        <f t="shared" si="11"/>
        <v>1274640</v>
      </c>
      <c r="H360" s="258">
        <v>386.85</v>
      </c>
      <c r="I360" s="258">
        <v>292.45999999999998</v>
      </c>
      <c r="J360" s="217">
        <v>94.4</v>
      </c>
      <c r="K360" s="217" t="s">
        <v>3607</v>
      </c>
    </row>
    <row r="361" spans="1:11">
      <c r="A361" s="217">
        <v>358</v>
      </c>
      <c r="B361" s="218" t="s">
        <v>3142</v>
      </c>
      <c r="C361" s="217" t="s">
        <v>8</v>
      </c>
      <c r="D361" s="217" t="s">
        <v>35</v>
      </c>
      <c r="E361" s="209">
        <v>1356000</v>
      </c>
      <c r="F361" s="212">
        <f t="shared" si="10"/>
        <v>1315320</v>
      </c>
      <c r="G361" s="206">
        <f t="shared" si="11"/>
        <v>1274640</v>
      </c>
      <c r="H361" s="258">
        <v>386.85</v>
      </c>
      <c r="I361" s="258">
        <v>292.45999999999998</v>
      </c>
      <c r="J361" s="217">
        <v>94.4</v>
      </c>
      <c r="K361" s="217" t="s">
        <v>3607</v>
      </c>
    </row>
    <row r="362" spans="1:11">
      <c r="A362" s="217">
        <v>359</v>
      </c>
      <c r="B362" s="218" t="s">
        <v>3143</v>
      </c>
      <c r="C362" s="217" t="s">
        <v>9</v>
      </c>
      <c r="D362" s="217" t="s">
        <v>35</v>
      </c>
      <c r="E362" s="209">
        <v>1359000</v>
      </c>
      <c r="F362" s="212">
        <f t="shared" si="10"/>
        <v>1318230</v>
      </c>
      <c r="G362" s="206">
        <f t="shared" si="11"/>
        <v>1277460</v>
      </c>
      <c r="H362" s="258">
        <v>361.13</v>
      </c>
      <c r="I362" s="258">
        <v>292.45999999999998</v>
      </c>
      <c r="J362" s="217">
        <v>68.67</v>
      </c>
      <c r="K362" s="217" t="s">
        <v>2461</v>
      </c>
    </row>
    <row r="363" spans="1:11">
      <c r="A363" s="217">
        <v>360</v>
      </c>
      <c r="B363" s="218" t="s">
        <v>3144</v>
      </c>
      <c r="C363" s="217" t="s">
        <v>9</v>
      </c>
      <c r="D363" s="217" t="s">
        <v>35</v>
      </c>
      <c r="E363" s="209">
        <v>1359000</v>
      </c>
      <c r="F363" s="212">
        <f t="shared" si="10"/>
        <v>1318230</v>
      </c>
      <c r="G363" s="206">
        <f t="shared" si="11"/>
        <v>1277460</v>
      </c>
      <c r="H363" s="258">
        <v>361.13</v>
      </c>
      <c r="I363" s="258">
        <v>292.45999999999998</v>
      </c>
      <c r="J363" s="217">
        <v>68.67</v>
      </c>
      <c r="K363" s="217" t="s">
        <v>2461</v>
      </c>
    </row>
    <row r="364" spans="1:11">
      <c r="A364" s="217">
        <v>361</v>
      </c>
      <c r="B364" s="218" t="s">
        <v>3145</v>
      </c>
      <c r="C364" s="217" t="s">
        <v>9</v>
      </c>
      <c r="D364" s="217" t="s">
        <v>35</v>
      </c>
      <c r="E364" s="209">
        <v>1359000</v>
      </c>
      <c r="F364" s="212">
        <f t="shared" si="10"/>
        <v>1318230</v>
      </c>
      <c r="G364" s="206">
        <f t="shared" si="11"/>
        <v>1277460</v>
      </c>
      <c r="H364" s="258">
        <v>361.13</v>
      </c>
      <c r="I364" s="258">
        <v>292.45999999999998</v>
      </c>
      <c r="J364" s="217">
        <v>68.67</v>
      </c>
      <c r="K364" s="217" t="s">
        <v>3607</v>
      </c>
    </row>
    <row r="365" spans="1:11">
      <c r="A365" s="217">
        <v>362</v>
      </c>
      <c r="B365" s="218" t="s">
        <v>3146</v>
      </c>
      <c r="C365" s="217" t="s">
        <v>8</v>
      </c>
      <c r="D365" s="217" t="s">
        <v>35</v>
      </c>
      <c r="E365" s="209">
        <v>1353000</v>
      </c>
      <c r="F365" s="212">
        <f t="shared" si="10"/>
        <v>1312410</v>
      </c>
      <c r="G365" s="206">
        <f t="shared" si="11"/>
        <v>1271820</v>
      </c>
      <c r="H365" s="258">
        <v>341.11</v>
      </c>
      <c r="I365" s="258">
        <v>293.95999999999998</v>
      </c>
      <c r="J365" s="217">
        <v>47.15</v>
      </c>
      <c r="K365" s="217" t="s">
        <v>2461</v>
      </c>
    </row>
    <row r="366" spans="1:11">
      <c r="A366" s="217">
        <v>363</v>
      </c>
      <c r="B366" s="218" t="s">
        <v>3147</v>
      </c>
      <c r="C366" s="217" t="s">
        <v>8</v>
      </c>
      <c r="D366" s="217" t="s">
        <v>35</v>
      </c>
      <c r="E366" s="209">
        <v>1353000</v>
      </c>
      <c r="F366" s="212">
        <f t="shared" si="10"/>
        <v>1312410</v>
      </c>
      <c r="G366" s="206">
        <f t="shared" si="11"/>
        <v>1271820</v>
      </c>
      <c r="H366" s="258">
        <v>375.34</v>
      </c>
      <c r="I366" s="258">
        <v>292.45999999999998</v>
      </c>
      <c r="J366" s="217">
        <v>82.88</v>
      </c>
      <c r="K366" s="217" t="s">
        <v>2461</v>
      </c>
    </row>
    <row r="367" spans="1:11">
      <c r="A367" s="217">
        <v>364</v>
      </c>
      <c r="B367" s="218" t="s">
        <v>3148</v>
      </c>
      <c r="C367" s="217" t="s">
        <v>8</v>
      </c>
      <c r="D367" s="217" t="s">
        <v>35</v>
      </c>
      <c r="E367" s="209">
        <v>1353000</v>
      </c>
      <c r="F367" s="212">
        <f t="shared" si="10"/>
        <v>1312410</v>
      </c>
      <c r="G367" s="206">
        <f t="shared" si="11"/>
        <v>1271820</v>
      </c>
      <c r="H367" s="258">
        <v>375.34</v>
      </c>
      <c r="I367" s="258">
        <v>292.45999999999998</v>
      </c>
      <c r="J367" s="217">
        <v>82.88</v>
      </c>
      <c r="K367" s="217" t="s">
        <v>2461</v>
      </c>
    </row>
    <row r="368" spans="1:11">
      <c r="A368" s="217">
        <v>365</v>
      </c>
      <c r="B368" s="218" t="s">
        <v>3149</v>
      </c>
      <c r="C368" s="217" t="s">
        <v>8</v>
      </c>
      <c r="D368" s="217" t="s">
        <v>35</v>
      </c>
      <c r="E368" s="209">
        <v>1353000</v>
      </c>
      <c r="F368" s="212">
        <f t="shared" si="10"/>
        <v>1312410</v>
      </c>
      <c r="G368" s="206">
        <f t="shared" si="11"/>
        <v>1271820</v>
      </c>
      <c r="H368" s="258">
        <v>341.11</v>
      </c>
      <c r="I368" s="258">
        <v>293.95999999999998</v>
      </c>
      <c r="J368" s="217">
        <v>47.15</v>
      </c>
      <c r="K368" s="217" t="s">
        <v>2461</v>
      </c>
    </row>
    <row r="369" spans="1:11">
      <c r="A369" s="217">
        <v>366</v>
      </c>
      <c r="B369" s="218" t="s">
        <v>3150</v>
      </c>
      <c r="C369" s="217" t="s">
        <v>8</v>
      </c>
      <c r="D369" s="217" t="s">
        <v>35</v>
      </c>
      <c r="E369" s="209">
        <v>1353000</v>
      </c>
      <c r="F369" s="212">
        <f t="shared" si="10"/>
        <v>1312410</v>
      </c>
      <c r="G369" s="206">
        <f t="shared" si="11"/>
        <v>1271820</v>
      </c>
      <c r="H369" s="258">
        <v>375.34</v>
      </c>
      <c r="I369" s="258">
        <v>292.45999999999998</v>
      </c>
      <c r="J369" s="217">
        <v>82.88</v>
      </c>
      <c r="K369" s="217" t="s">
        <v>3607</v>
      </c>
    </row>
    <row r="370" spans="1:11">
      <c r="A370" s="217">
        <v>367</v>
      </c>
      <c r="B370" s="218" t="s">
        <v>3151</v>
      </c>
      <c r="C370" s="217" t="s">
        <v>8</v>
      </c>
      <c r="D370" s="217" t="s">
        <v>35</v>
      </c>
      <c r="E370" s="209">
        <v>1353000</v>
      </c>
      <c r="F370" s="212">
        <f t="shared" si="10"/>
        <v>1312410</v>
      </c>
      <c r="G370" s="206">
        <f t="shared" si="11"/>
        <v>1271820</v>
      </c>
      <c r="H370" s="258">
        <v>375.34</v>
      </c>
      <c r="I370" s="258">
        <v>292.45999999999998</v>
      </c>
      <c r="J370" s="217">
        <v>82.88</v>
      </c>
      <c r="K370" s="217" t="s">
        <v>3607</v>
      </c>
    </row>
    <row r="371" spans="1:11">
      <c r="A371" s="217">
        <v>368</v>
      </c>
      <c r="B371" s="218" t="s">
        <v>3152</v>
      </c>
      <c r="C371" s="217" t="s">
        <v>8</v>
      </c>
      <c r="D371" s="217" t="s">
        <v>35</v>
      </c>
      <c r="E371" s="209">
        <v>1353000</v>
      </c>
      <c r="F371" s="212">
        <f t="shared" si="10"/>
        <v>1312410</v>
      </c>
      <c r="G371" s="206">
        <f t="shared" si="11"/>
        <v>1271820</v>
      </c>
      <c r="H371" s="258">
        <v>341.11</v>
      </c>
      <c r="I371" s="258">
        <v>293.95999999999998</v>
      </c>
      <c r="J371" s="217">
        <v>47.15</v>
      </c>
      <c r="K371" s="217" t="s">
        <v>3607</v>
      </c>
    </row>
    <row r="372" spans="1:11">
      <c r="A372" s="217">
        <v>369</v>
      </c>
      <c r="B372" s="218" t="s">
        <v>3153</v>
      </c>
      <c r="C372" s="217" t="s">
        <v>9</v>
      </c>
      <c r="D372" s="217" t="s">
        <v>35</v>
      </c>
      <c r="E372" s="209">
        <v>1356000</v>
      </c>
      <c r="F372" s="212">
        <f t="shared" si="10"/>
        <v>1315320</v>
      </c>
      <c r="G372" s="206">
        <f t="shared" si="11"/>
        <v>1274640</v>
      </c>
      <c r="H372" s="258">
        <v>401.82</v>
      </c>
      <c r="I372" s="258">
        <v>292.45999999999998</v>
      </c>
      <c r="J372" s="217">
        <v>109.36</v>
      </c>
      <c r="K372" s="217" t="s">
        <v>2461</v>
      </c>
    </row>
    <row r="373" spans="1:11">
      <c r="A373" s="217">
        <v>370</v>
      </c>
      <c r="B373" s="218" t="s">
        <v>3154</v>
      </c>
      <c r="C373" s="217" t="s">
        <v>9</v>
      </c>
      <c r="D373" s="217" t="s">
        <v>35</v>
      </c>
      <c r="E373" s="209">
        <v>1356000</v>
      </c>
      <c r="F373" s="212">
        <f t="shared" si="10"/>
        <v>1315320</v>
      </c>
      <c r="G373" s="206">
        <f t="shared" si="11"/>
        <v>1274640</v>
      </c>
      <c r="H373" s="258">
        <v>401.82</v>
      </c>
      <c r="I373" s="258">
        <v>292.45999999999998</v>
      </c>
      <c r="J373" s="217">
        <v>109.36</v>
      </c>
      <c r="K373" s="217" t="s">
        <v>2461</v>
      </c>
    </row>
    <row r="374" spans="1:11">
      <c r="A374" s="217">
        <v>371</v>
      </c>
      <c r="B374" s="218" t="s">
        <v>3155</v>
      </c>
      <c r="C374" s="217" t="s">
        <v>9</v>
      </c>
      <c r="D374" s="217" t="s">
        <v>35</v>
      </c>
      <c r="E374" s="209">
        <v>1356000</v>
      </c>
      <c r="F374" s="212">
        <f t="shared" si="10"/>
        <v>1315320</v>
      </c>
      <c r="G374" s="206">
        <f t="shared" si="11"/>
        <v>1274640</v>
      </c>
      <c r="H374" s="258">
        <v>401.82</v>
      </c>
      <c r="I374" s="258">
        <v>292.45999999999998</v>
      </c>
      <c r="J374" s="217">
        <v>109.36</v>
      </c>
      <c r="K374" s="217" t="s">
        <v>3607</v>
      </c>
    </row>
    <row r="375" spans="1:11">
      <c r="A375" s="217">
        <v>372</v>
      </c>
      <c r="B375" s="218" t="s">
        <v>3156</v>
      </c>
      <c r="C375" s="217" t="s">
        <v>9</v>
      </c>
      <c r="D375" s="217" t="s">
        <v>35</v>
      </c>
      <c r="E375" s="209">
        <v>1354000</v>
      </c>
      <c r="F375" s="212">
        <f t="shared" si="10"/>
        <v>1313380</v>
      </c>
      <c r="G375" s="206">
        <f t="shared" si="11"/>
        <v>1272760</v>
      </c>
      <c r="H375" s="258">
        <v>395.68</v>
      </c>
      <c r="I375" s="258">
        <v>292.45999999999998</v>
      </c>
      <c r="J375" s="217">
        <v>103.23</v>
      </c>
      <c r="K375" s="217" t="s">
        <v>2461</v>
      </c>
    </row>
    <row r="376" spans="1:11">
      <c r="A376" s="217">
        <v>373</v>
      </c>
      <c r="B376" s="218" t="s">
        <v>3157</v>
      </c>
      <c r="C376" s="217" t="s">
        <v>9</v>
      </c>
      <c r="D376" s="217" t="s">
        <v>35</v>
      </c>
      <c r="E376" s="209">
        <v>1354000</v>
      </c>
      <c r="F376" s="212">
        <f t="shared" si="10"/>
        <v>1313380</v>
      </c>
      <c r="G376" s="206">
        <f t="shared" si="11"/>
        <v>1272760</v>
      </c>
      <c r="H376" s="258">
        <v>395.68</v>
      </c>
      <c r="I376" s="258">
        <v>292.45999999999998</v>
      </c>
      <c r="J376" s="217">
        <v>103.23</v>
      </c>
      <c r="K376" s="217" t="s">
        <v>3607</v>
      </c>
    </row>
    <row r="377" spans="1:11">
      <c r="A377" s="217">
        <v>374</v>
      </c>
      <c r="B377" s="218" t="s">
        <v>3158</v>
      </c>
      <c r="C377" s="217" t="s">
        <v>9</v>
      </c>
      <c r="D377" s="217" t="s">
        <v>35</v>
      </c>
      <c r="E377" s="209">
        <v>1353000</v>
      </c>
      <c r="F377" s="212">
        <f t="shared" si="10"/>
        <v>1312410</v>
      </c>
      <c r="G377" s="206">
        <f t="shared" si="11"/>
        <v>1271820</v>
      </c>
      <c r="H377" s="258">
        <v>386.85</v>
      </c>
      <c r="I377" s="258">
        <v>292.45999999999998</v>
      </c>
      <c r="J377" s="217">
        <v>94.4</v>
      </c>
      <c r="K377" s="217" t="s">
        <v>2461</v>
      </c>
    </row>
    <row r="378" spans="1:11">
      <c r="A378" s="217">
        <v>375</v>
      </c>
      <c r="B378" s="218" t="s">
        <v>3159</v>
      </c>
      <c r="C378" s="217" t="s">
        <v>9</v>
      </c>
      <c r="D378" s="217" t="s">
        <v>35</v>
      </c>
      <c r="E378" s="209">
        <v>1353000</v>
      </c>
      <c r="F378" s="212">
        <f t="shared" si="10"/>
        <v>1312410</v>
      </c>
      <c r="G378" s="206">
        <f t="shared" si="11"/>
        <v>1271820</v>
      </c>
      <c r="H378" s="258">
        <v>386.85</v>
      </c>
      <c r="I378" s="258">
        <v>292.45999999999998</v>
      </c>
      <c r="J378" s="217">
        <v>94.4</v>
      </c>
      <c r="K378" s="217" t="s">
        <v>2461</v>
      </c>
    </row>
    <row r="379" spans="1:11">
      <c r="A379" s="217">
        <v>376</v>
      </c>
      <c r="B379" s="218" t="s">
        <v>3160</v>
      </c>
      <c r="C379" s="217" t="s">
        <v>10</v>
      </c>
      <c r="D379" s="217" t="s">
        <v>35</v>
      </c>
      <c r="E379" s="209">
        <v>1356000</v>
      </c>
      <c r="F379" s="212">
        <f t="shared" si="10"/>
        <v>1315320</v>
      </c>
      <c r="G379" s="206">
        <f t="shared" si="11"/>
        <v>1274640</v>
      </c>
      <c r="H379" s="258">
        <v>361.13</v>
      </c>
      <c r="I379" s="258">
        <v>292.45999999999998</v>
      </c>
      <c r="J379" s="217">
        <v>68.67</v>
      </c>
      <c r="K379" s="217" t="s">
        <v>3607</v>
      </c>
    </row>
    <row r="380" spans="1:11">
      <c r="A380" s="217">
        <v>377</v>
      </c>
      <c r="B380" s="218" t="s">
        <v>3161</v>
      </c>
      <c r="C380" s="217" t="s">
        <v>10</v>
      </c>
      <c r="D380" s="217" t="s">
        <v>35</v>
      </c>
      <c r="E380" s="209">
        <v>1356000</v>
      </c>
      <c r="F380" s="212">
        <f t="shared" si="10"/>
        <v>1315320</v>
      </c>
      <c r="G380" s="206">
        <f t="shared" si="11"/>
        <v>1274640</v>
      </c>
      <c r="H380" s="258">
        <v>361.13</v>
      </c>
      <c r="I380" s="258">
        <v>292.45999999999998</v>
      </c>
      <c r="J380" s="217">
        <v>68.67</v>
      </c>
      <c r="K380" s="217" t="s">
        <v>3607</v>
      </c>
    </row>
    <row r="381" spans="1:11">
      <c r="A381" s="217">
        <v>378</v>
      </c>
      <c r="B381" s="218" t="s">
        <v>3162</v>
      </c>
      <c r="C381" s="217" t="s">
        <v>9</v>
      </c>
      <c r="D381" s="217" t="s">
        <v>35</v>
      </c>
      <c r="E381" s="209">
        <v>1350000</v>
      </c>
      <c r="F381" s="212">
        <f t="shared" si="10"/>
        <v>1309500</v>
      </c>
      <c r="G381" s="206">
        <f t="shared" si="11"/>
        <v>1269000</v>
      </c>
      <c r="H381" s="258">
        <v>375.34</v>
      </c>
      <c r="I381" s="258">
        <v>292.45999999999998</v>
      </c>
      <c r="J381" s="217">
        <v>82.88</v>
      </c>
      <c r="K381" s="217" t="s">
        <v>2461</v>
      </c>
    </row>
    <row r="382" spans="1:11">
      <c r="A382" s="217">
        <v>379</v>
      </c>
      <c r="B382" s="218" t="s">
        <v>3163</v>
      </c>
      <c r="C382" s="217" t="s">
        <v>9</v>
      </c>
      <c r="D382" s="217" t="s">
        <v>35</v>
      </c>
      <c r="E382" s="209">
        <v>1351000</v>
      </c>
      <c r="F382" s="212">
        <f t="shared" si="10"/>
        <v>1310470</v>
      </c>
      <c r="G382" s="206">
        <f t="shared" si="11"/>
        <v>1269940</v>
      </c>
      <c r="H382" s="258">
        <v>341.11</v>
      </c>
      <c r="I382" s="258">
        <v>293.95999999999998</v>
      </c>
      <c r="J382" s="217">
        <v>47.15</v>
      </c>
      <c r="K382" s="217" t="s">
        <v>2461</v>
      </c>
    </row>
    <row r="383" spans="1:11">
      <c r="A383" s="217">
        <v>380</v>
      </c>
      <c r="B383" s="218" t="s">
        <v>3164</v>
      </c>
      <c r="C383" s="217" t="s">
        <v>9</v>
      </c>
      <c r="D383" s="217" t="s">
        <v>35</v>
      </c>
      <c r="E383" s="209">
        <v>1350000</v>
      </c>
      <c r="F383" s="212">
        <f t="shared" si="10"/>
        <v>1309500</v>
      </c>
      <c r="G383" s="206">
        <f t="shared" si="11"/>
        <v>1269000</v>
      </c>
      <c r="H383" s="258">
        <v>375.34</v>
      </c>
      <c r="I383" s="258">
        <v>292.45999999999998</v>
      </c>
      <c r="J383" s="217">
        <v>82.88</v>
      </c>
      <c r="K383" s="217" t="s">
        <v>3607</v>
      </c>
    </row>
    <row r="384" spans="1:11">
      <c r="A384" s="217">
        <v>381</v>
      </c>
      <c r="B384" s="218" t="s">
        <v>3165</v>
      </c>
      <c r="C384" s="217" t="s">
        <v>10</v>
      </c>
      <c r="D384" s="217" t="s">
        <v>35</v>
      </c>
      <c r="E384" s="209">
        <v>1353000</v>
      </c>
      <c r="F384" s="212">
        <f t="shared" si="10"/>
        <v>1312410</v>
      </c>
      <c r="G384" s="206">
        <f t="shared" si="11"/>
        <v>1271820</v>
      </c>
      <c r="H384" s="258">
        <v>401.82</v>
      </c>
      <c r="I384" s="258">
        <v>292.45999999999998</v>
      </c>
      <c r="J384" s="217">
        <v>109.36</v>
      </c>
      <c r="K384" s="217" t="s">
        <v>2461</v>
      </c>
    </row>
    <row r="385" spans="1:11">
      <c r="A385" s="217">
        <v>382</v>
      </c>
      <c r="B385" s="218" t="s">
        <v>3166</v>
      </c>
      <c r="C385" s="217" t="s">
        <v>10</v>
      </c>
      <c r="D385" s="217" t="s">
        <v>35</v>
      </c>
      <c r="E385" s="209">
        <v>1353000</v>
      </c>
      <c r="F385" s="212">
        <f t="shared" si="10"/>
        <v>1312410</v>
      </c>
      <c r="G385" s="206">
        <f t="shared" si="11"/>
        <v>1271820</v>
      </c>
      <c r="H385" s="258">
        <v>401.82</v>
      </c>
      <c r="I385" s="258">
        <v>292.45999999999998</v>
      </c>
      <c r="J385" s="217">
        <v>109.36</v>
      </c>
      <c r="K385" s="217" t="s">
        <v>2461</v>
      </c>
    </row>
    <row r="386" spans="1:11">
      <c r="A386" s="217">
        <v>383</v>
      </c>
      <c r="B386" s="218" t="s">
        <v>3167</v>
      </c>
      <c r="C386" s="217" t="s">
        <v>10</v>
      </c>
      <c r="D386" s="217" t="s">
        <v>35</v>
      </c>
      <c r="E386" s="209">
        <v>1353000</v>
      </c>
      <c r="F386" s="212">
        <f t="shared" si="10"/>
        <v>1312410</v>
      </c>
      <c r="G386" s="206">
        <f t="shared" si="11"/>
        <v>1271820</v>
      </c>
      <c r="H386" s="258">
        <v>401.82</v>
      </c>
      <c r="I386" s="258">
        <v>292.45999999999998</v>
      </c>
      <c r="J386" s="217">
        <v>109.36</v>
      </c>
      <c r="K386" s="217" t="s">
        <v>3607</v>
      </c>
    </row>
    <row r="387" spans="1:11">
      <c r="A387" s="217">
        <v>384</v>
      </c>
      <c r="B387" s="218" t="s">
        <v>3168</v>
      </c>
      <c r="C387" s="217" t="s">
        <v>10</v>
      </c>
      <c r="D387" s="217" t="s">
        <v>35</v>
      </c>
      <c r="E387" s="209">
        <v>1352000</v>
      </c>
      <c r="F387" s="212">
        <f t="shared" ref="F387:F450" si="12">E387*0.97</f>
        <v>1311440</v>
      </c>
      <c r="G387" s="206">
        <f t="shared" ref="G387:G450" si="13">E387*0.94</f>
        <v>1270880</v>
      </c>
      <c r="H387" s="258">
        <v>395.68</v>
      </c>
      <c r="I387" s="258">
        <v>292.45999999999998</v>
      </c>
      <c r="J387" s="217">
        <v>103.23</v>
      </c>
      <c r="K387" s="217" t="s">
        <v>2461</v>
      </c>
    </row>
    <row r="388" spans="1:11">
      <c r="A388" s="217">
        <v>385</v>
      </c>
      <c r="B388" s="218" t="s">
        <v>3169</v>
      </c>
      <c r="C388" s="217" t="s">
        <v>10</v>
      </c>
      <c r="D388" s="217" t="s">
        <v>35</v>
      </c>
      <c r="E388" s="209">
        <v>1352000</v>
      </c>
      <c r="F388" s="212">
        <f t="shared" si="12"/>
        <v>1311440</v>
      </c>
      <c r="G388" s="206">
        <f t="shared" si="13"/>
        <v>1270880</v>
      </c>
      <c r="H388" s="258">
        <v>395.68</v>
      </c>
      <c r="I388" s="258">
        <v>292.45999999999998</v>
      </c>
      <c r="J388" s="217">
        <v>103.23</v>
      </c>
      <c r="K388" s="217" t="s">
        <v>3607</v>
      </c>
    </row>
    <row r="389" spans="1:11">
      <c r="A389" s="217">
        <v>386</v>
      </c>
      <c r="B389" s="218" t="s">
        <v>3170</v>
      </c>
      <c r="C389" s="217" t="s">
        <v>10</v>
      </c>
      <c r="D389" s="217" t="s">
        <v>35</v>
      </c>
      <c r="E389" s="209">
        <v>1352000</v>
      </c>
      <c r="F389" s="212">
        <f t="shared" si="12"/>
        <v>1311440</v>
      </c>
      <c r="G389" s="206">
        <f t="shared" si="13"/>
        <v>1270880</v>
      </c>
      <c r="H389" s="258">
        <v>395.68</v>
      </c>
      <c r="I389" s="258">
        <v>292.45999999999998</v>
      </c>
      <c r="J389" s="217">
        <v>103.23</v>
      </c>
      <c r="K389" s="217" t="s">
        <v>3607</v>
      </c>
    </row>
    <row r="390" spans="1:11">
      <c r="A390" s="217">
        <v>387</v>
      </c>
      <c r="B390" s="218" t="s">
        <v>3171</v>
      </c>
      <c r="C390" s="217" t="s">
        <v>10</v>
      </c>
      <c r="D390" s="217" t="s">
        <v>35</v>
      </c>
      <c r="E390" s="209">
        <v>1353000</v>
      </c>
      <c r="F390" s="212">
        <f t="shared" si="12"/>
        <v>1312410</v>
      </c>
      <c r="G390" s="206">
        <f t="shared" si="13"/>
        <v>1271820</v>
      </c>
      <c r="H390" s="258">
        <v>386.85</v>
      </c>
      <c r="I390" s="258">
        <v>292.45999999999998</v>
      </c>
      <c r="J390" s="217">
        <v>94.4</v>
      </c>
      <c r="K390" s="217" t="s">
        <v>2461</v>
      </c>
    </row>
    <row r="391" spans="1:11">
      <c r="A391" s="217">
        <v>388</v>
      </c>
      <c r="B391" s="218" t="s">
        <v>3172</v>
      </c>
      <c r="C391" s="217" t="s">
        <v>10</v>
      </c>
      <c r="D391" s="217" t="s">
        <v>35</v>
      </c>
      <c r="E391" s="209">
        <v>1353000</v>
      </c>
      <c r="F391" s="212">
        <f t="shared" si="12"/>
        <v>1312410</v>
      </c>
      <c r="G391" s="206">
        <f t="shared" si="13"/>
        <v>1271820</v>
      </c>
      <c r="H391" s="258">
        <v>386.85</v>
      </c>
      <c r="I391" s="258">
        <v>292.45999999999998</v>
      </c>
      <c r="J391" s="217">
        <v>94.4</v>
      </c>
      <c r="K391" s="217" t="s">
        <v>3607</v>
      </c>
    </row>
    <row r="392" spans="1:11">
      <c r="A392" s="217">
        <v>389</v>
      </c>
      <c r="B392" s="218" t="s">
        <v>3173</v>
      </c>
      <c r="C392" s="217" t="s">
        <v>10</v>
      </c>
      <c r="D392" s="217" t="s">
        <v>35</v>
      </c>
      <c r="E392" s="209">
        <v>1353000</v>
      </c>
      <c r="F392" s="212">
        <f t="shared" si="12"/>
        <v>1312410</v>
      </c>
      <c r="G392" s="206">
        <f t="shared" si="13"/>
        <v>1271820</v>
      </c>
      <c r="H392" s="258">
        <v>386.85</v>
      </c>
      <c r="I392" s="258">
        <v>292.45999999999998</v>
      </c>
      <c r="J392" s="217">
        <v>94.4</v>
      </c>
      <c r="K392" s="217" t="s">
        <v>3607</v>
      </c>
    </row>
    <row r="393" spans="1:11">
      <c r="A393" s="217">
        <v>390</v>
      </c>
      <c r="B393" s="218" t="s">
        <v>3174</v>
      </c>
      <c r="C393" s="217" t="s">
        <v>10</v>
      </c>
      <c r="D393" s="217" t="s">
        <v>35</v>
      </c>
      <c r="E393" s="209">
        <v>1352000</v>
      </c>
      <c r="F393" s="212">
        <f t="shared" si="12"/>
        <v>1311440</v>
      </c>
      <c r="G393" s="206">
        <f t="shared" si="13"/>
        <v>1270880</v>
      </c>
      <c r="H393" s="258">
        <v>341.11</v>
      </c>
      <c r="I393" s="258">
        <v>293.95999999999998</v>
      </c>
      <c r="J393" s="217">
        <v>47.15</v>
      </c>
      <c r="K393" s="217" t="s">
        <v>2461</v>
      </c>
    </row>
    <row r="394" spans="1:11">
      <c r="A394" s="217">
        <v>391</v>
      </c>
      <c r="B394" s="218" t="s">
        <v>3175</v>
      </c>
      <c r="C394" s="217" t="s">
        <v>10</v>
      </c>
      <c r="D394" s="217" t="s">
        <v>35</v>
      </c>
      <c r="E394" s="209">
        <v>1352000</v>
      </c>
      <c r="F394" s="212">
        <f t="shared" si="12"/>
        <v>1311440</v>
      </c>
      <c r="G394" s="206">
        <f t="shared" si="13"/>
        <v>1270880</v>
      </c>
      <c r="H394" s="258">
        <v>375.34</v>
      </c>
      <c r="I394" s="258">
        <v>292.45999999999998</v>
      </c>
      <c r="J394" s="217">
        <v>82.88</v>
      </c>
      <c r="K394" s="217" t="s">
        <v>2461</v>
      </c>
    </row>
    <row r="395" spans="1:11">
      <c r="A395" s="217">
        <v>392</v>
      </c>
      <c r="B395" s="218" t="s">
        <v>3176</v>
      </c>
      <c r="C395" s="217" t="s">
        <v>10</v>
      </c>
      <c r="D395" s="217" t="s">
        <v>35</v>
      </c>
      <c r="E395" s="209">
        <v>1352000</v>
      </c>
      <c r="F395" s="212">
        <f t="shared" si="12"/>
        <v>1311440</v>
      </c>
      <c r="G395" s="206">
        <f t="shared" si="13"/>
        <v>1270880</v>
      </c>
      <c r="H395" s="258">
        <v>375.34</v>
      </c>
      <c r="I395" s="258">
        <v>292.45999999999998</v>
      </c>
      <c r="J395" s="217">
        <v>82.88</v>
      </c>
      <c r="K395" s="217" t="s">
        <v>2461</v>
      </c>
    </row>
    <row r="396" spans="1:11">
      <c r="A396" s="217">
        <v>393</v>
      </c>
      <c r="B396" s="218" t="s">
        <v>3177</v>
      </c>
      <c r="C396" s="217" t="s">
        <v>10</v>
      </c>
      <c r="D396" s="217" t="s">
        <v>35</v>
      </c>
      <c r="E396" s="209">
        <v>1352000</v>
      </c>
      <c r="F396" s="212">
        <f t="shared" si="12"/>
        <v>1311440</v>
      </c>
      <c r="G396" s="206">
        <f t="shared" si="13"/>
        <v>1270880</v>
      </c>
      <c r="H396" s="258">
        <v>341.11</v>
      </c>
      <c r="I396" s="258">
        <v>293.95999999999998</v>
      </c>
      <c r="J396" s="217">
        <v>47.15</v>
      </c>
      <c r="K396" s="217" t="s">
        <v>3607</v>
      </c>
    </row>
    <row r="397" spans="1:11">
      <c r="A397" s="217">
        <v>394</v>
      </c>
      <c r="B397" s="218" t="s">
        <v>3178</v>
      </c>
      <c r="C397" s="217" t="s">
        <v>10</v>
      </c>
      <c r="D397" s="217" t="s">
        <v>35</v>
      </c>
      <c r="E397" s="209">
        <v>1352000</v>
      </c>
      <c r="F397" s="212">
        <f t="shared" si="12"/>
        <v>1311440</v>
      </c>
      <c r="G397" s="206">
        <f t="shared" si="13"/>
        <v>1270880</v>
      </c>
      <c r="H397" s="258">
        <v>375.34</v>
      </c>
      <c r="I397" s="258">
        <v>292.45999999999998</v>
      </c>
      <c r="J397" s="217">
        <v>82.88</v>
      </c>
      <c r="K397" s="217" t="s">
        <v>3607</v>
      </c>
    </row>
    <row r="398" spans="1:11">
      <c r="A398" s="217">
        <v>395</v>
      </c>
      <c r="B398" s="218" t="s">
        <v>3179</v>
      </c>
      <c r="C398" s="217" t="s">
        <v>10</v>
      </c>
      <c r="D398" s="217" t="s">
        <v>35</v>
      </c>
      <c r="E398" s="209">
        <v>1352000</v>
      </c>
      <c r="F398" s="212">
        <f t="shared" si="12"/>
        <v>1311440</v>
      </c>
      <c r="G398" s="206">
        <f t="shared" si="13"/>
        <v>1270880</v>
      </c>
      <c r="H398" s="258">
        <v>341.11</v>
      </c>
      <c r="I398" s="258">
        <v>293.95999999999998</v>
      </c>
      <c r="J398" s="217">
        <v>47.15</v>
      </c>
      <c r="K398" s="217" t="s">
        <v>3607</v>
      </c>
    </row>
    <row r="399" spans="1:11">
      <c r="A399" s="217">
        <v>396</v>
      </c>
      <c r="B399" s="218" t="s">
        <v>3180</v>
      </c>
      <c r="C399" s="217" t="s">
        <v>4495</v>
      </c>
      <c r="D399" s="217" t="s">
        <v>48</v>
      </c>
      <c r="E399" s="209">
        <v>5368000</v>
      </c>
      <c r="F399" s="212">
        <f t="shared" si="12"/>
        <v>5206960</v>
      </c>
      <c r="G399" s="206">
        <f t="shared" si="13"/>
        <v>5045920</v>
      </c>
      <c r="H399" s="258">
        <v>1528.48</v>
      </c>
      <c r="I399" s="258">
        <v>1179.4000000000001</v>
      </c>
      <c r="J399" s="217">
        <v>349.07</v>
      </c>
      <c r="K399" s="217" t="s">
        <v>2792</v>
      </c>
    </row>
    <row r="400" spans="1:11">
      <c r="A400" s="217">
        <v>397</v>
      </c>
      <c r="B400" s="218" t="s">
        <v>3181</v>
      </c>
      <c r="C400" s="217" t="s">
        <v>4495</v>
      </c>
      <c r="D400" s="217" t="s">
        <v>48</v>
      </c>
      <c r="E400" s="209">
        <v>5368000</v>
      </c>
      <c r="F400" s="212">
        <f t="shared" si="12"/>
        <v>5206960</v>
      </c>
      <c r="G400" s="206">
        <f t="shared" si="13"/>
        <v>5045920</v>
      </c>
      <c r="H400" s="258">
        <v>1528.48</v>
      </c>
      <c r="I400" s="258">
        <v>1179.4000000000001</v>
      </c>
      <c r="J400" s="217">
        <v>349.07</v>
      </c>
      <c r="K400" s="217" t="s">
        <v>2792</v>
      </c>
    </row>
    <row r="401" spans="1:11">
      <c r="A401" s="217">
        <v>398</v>
      </c>
      <c r="B401" s="218" t="s">
        <v>3182</v>
      </c>
      <c r="C401" s="217" t="s">
        <v>4495</v>
      </c>
      <c r="D401" s="217" t="s">
        <v>48</v>
      </c>
      <c r="E401" s="209">
        <v>5368000</v>
      </c>
      <c r="F401" s="212">
        <f t="shared" si="12"/>
        <v>5206960</v>
      </c>
      <c r="G401" s="206">
        <f t="shared" si="13"/>
        <v>5045920</v>
      </c>
      <c r="H401" s="258">
        <v>1528.48</v>
      </c>
      <c r="I401" s="258">
        <v>1179.4000000000001</v>
      </c>
      <c r="J401" s="217">
        <v>349.07</v>
      </c>
      <c r="K401" s="217" t="s">
        <v>2787</v>
      </c>
    </row>
    <row r="402" spans="1:11">
      <c r="A402" s="217">
        <v>399</v>
      </c>
      <c r="B402" s="218" t="s">
        <v>3183</v>
      </c>
      <c r="C402" s="217" t="s">
        <v>4495</v>
      </c>
      <c r="D402" s="217" t="s">
        <v>48</v>
      </c>
      <c r="E402" s="209">
        <v>5368000</v>
      </c>
      <c r="F402" s="212">
        <f t="shared" si="12"/>
        <v>5206960</v>
      </c>
      <c r="G402" s="206">
        <f t="shared" si="13"/>
        <v>5045920</v>
      </c>
      <c r="H402" s="258">
        <v>1528.48</v>
      </c>
      <c r="I402" s="258">
        <v>1179.4000000000001</v>
      </c>
      <c r="J402" s="217">
        <v>349.07</v>
      </c>
      <c r="K402" s="217" t="s">
        <v>2787</v>
      </c>
    </row>
    <row r="403" spans="1:11">
      <c r="A403" s="217">
        <v>400</v>
      </c>
      <c r="B403" s="218" t="s">
        <v>3184</v>
      </c>
      <c r="C403" s="217" t="s">
        <v>4494</v>
      </c>
      <c r="D403" s="217" t="s">
        <v>48</v>
      </c>
      <c r="E403" s="209">
        <v>5358000</v>
      </c>
      <c r="F403" s="212">
        <f t="shared" si="12"/>
        <v>5197260</v>
      </c>
      <c r="G403" s="206">
        <f t="shared" si="13"/>
        <v>5036520</v>
      </c>
      <c r="H403" s="258">
        <v>1528.48</v>
      </c>
      <c r="I403" s="258">
        <v>1179.4000000000001</v>
      </c>
      <c r="J403" s="217">
        <v>349.07</v>
      </c>
      <c r="K403" s="217" t="s">
        <v>2792</v>
      </c>
    </row>
    <row r="404" spans="1:11">
      <c r="A404" s="217">
        <v>401</v>
      </c>
      <c r="B404" s="218" t="s">
        <v>3185</v>
      </c>
      <c r="C404" s="217" t="s">
        <v>4494</v>
      </c>
      <c r="D404" s="217" t="s">
        <v>48</v>
      </c>
      <c r="E404" s="209">
        <v>5358000</v>
      </c>
      <c r="F404" s="212">
        <f t="shared" si="12"/>
        <v>5197260</v>
      </c>
      <c r="G404" s="206">
        <f t="shared" si="13"/>
        <v>5036520</v>
      </c>
      <c r="H404" s="258">
        <v>1528.48</v>
      </c>
      <c r="I404" s="258">
        <v>1179.4000000000001</v>
      </c>
      <c r="J404" s="217">
        <v>349.07</v>
      </c>
      <c r="K404" s="217" t="s">
        <v>2792</v>
      </c>
    </row>
    <row r="405" spans="1:11">
      <c r="A405" s="217">
        <v>402</v>
      </c>
      <c r="B405" s="218" t="s">
        <v>3186</v>
      </c>
      <c r="C405" s="217" t="s">
        <v>4494</v>
      </c>
      <c r="D405" s="217" t="s">
        <v>48</v>
      </c>
      <c r="E405" s="209">
        <v>5358000</v>
      </c>
      <c r="F405" s="212">
        <f t="shared" si="12"/>
        <v>5197260</v>
      </c>
      <c r="G405" s="206">
        <f t="shared" si="13"/>
        <v>5036520</v>
      </c>
      <c r="H405" s="258">
        <v>1528.48</v>
      </c>
      <c r="I405" s="258">
        <v>1179.4000000000001</v>
      </c>
      <c r="J405" s="217">
        <v>349.07</v>
      </c>
      <c r="K405" s="217" t="s">
        <v>2787</v>
      </c>
    </row>
    <row r="406" spans="1:11">
      <c r="A406" s="217">
        <v>403</v>
      </c>
      <c r="B406" s="218" t="s">
        <v>3187</v>
      </c>
      <c r="C406" s="217" t="s">
        <v>4494</v>
      </c>
      <c r="D406" s="217" t="s">
        <v>48</v>
      </c>
      <c r="E406" s="209">
        <v>5358000</v>
      </c>
      <c r="F406" s="212">
        <f t="shared" si="12"/>
        <v>5197260</v>
      </c>
      <c r="G406" s="206">
        <f t="shared" si="13"/>
        <v>5036520</v>
      </c>
      <c r="H406" s="258">
        <v>1528.48</v>
      </c>
      <c r="I406" s="258">
        <v>1179.4000000000001</v>
      </c>
      <c r="J406" s="217">
        <v>349.07</v>
      </c>
      <c r="K406" s="217" t="s">
        <v>2787</v>
      </c>
    </row>
    <row r="407" spans="1:11">
      <c r="A407" s="217">
        <v>404</v>
      </c>
      <c r="B407" s="218" t="s">
        <v>3188</v>
      </c>
      <c r="C407" s="217" t="s">
        <v>33</v>
      </c>
      <c r="D407" s="217" t="s">
        <v>48</v>
      </c>
      <c r="E407" s="209">
        <v>5348000</v>
      </c>
      <c r="F407" s="212">
        <f t="shared" si="12"/>
        <v>5187560</v>
      </c>
      <c r="G407" s="206">
        <f t="shared" si="13"/>
        <v>5027120</v>
      </c>
      <c r="H407" s="258">
        <v>1528.48</v>
      </c>
      <c r="I407" s="258">
        <v>1179.4000000000001</v>
      </c>
      <c r="J407" s="217">
        <v>349.07</v>
      </c>
      <c r="K407" s="217" t="s">
        <v>2792</v>
      </c>
    </row>
    <row r="408" spans="1:11">
      <c r="A408" s="217">
        <v>405</v>
      </c>
      <c r="B408" s="218" t="s">
        <v>3189</v>
      </c>
      <c r="C408" s="217" t="s">
        <v>33</v>
      </c>
      <c r="D408" s="217" t="s">
        <v>48</v>
      </c>
      <c r="E408" s="209">
        <v>5348000</v>
      </c>
      <c r="F408" s="212">
        <f t="shared" si="12"/>
        <v>5187560</v>
      </c>
      <c r="G408" s="206">
        <f t="shared" si="13"/>
        <v>5027120</v>
      </c>
      <c r="H408" s="258">
        <v>1528.48</v>
      </c>
      <c r="I408" s="258">
        <v>1179.4000000000001</v>
      </c>
      <c r="J408" s="217">
        <v>349.07</v>
      </c>
      <c r="K408" s="217" t="s">
        <v>2792</v>
      </c>
    </row>
    <row r="409" spans="1:11">
      <c r="A409" s="217">
        <v>406</v>
      </c>
      <c r="B409" s="218" t="s">
        <v>3190</v>
      </c>
      <c r="C409" s="217" t="s">
        <v>33</v>
      </c>
      <c r="D409" s="217" t="s">
        <v>48</v>
      </c>
      <c r="E409" s="209">
        <v>5348000</v>
      </c>
      <c r="F409" s="212">
        <f t="shared" si="12"/>
        <v>5187560</v>
      </c>
      <c r="G409" s="206">
        <f t="shared" si="13"/>
        <v>5027120</v>
      </c>
      <c r="H409" s="258">
        <v>1528.48</v>
      </c>
      <c r="I409" s="258">
        <v>1179.4000000000001</v>
      </c>
      <c r="J409" s="217">
        <v>349.07</v>
      </c>
      <c r="K409" s="217" t="s">
        <v>2787</v>
      </c>
    </row>
    <row r="410" spans="1:11">
      <c r="A410" s="217">
        <v>407</v>
      </c>
      <c r="B410" s="218" t="s">
        <v>3191</v>
      </c>
      <c r="C410" s="217" t="s">
        <v>33</v>
      </c>
      <c r="D410" s="217" t="s">
        <v>48</v>
      </c>
      <c r="E410" s="209">
        <v>5348000</v>
      </c>
      <c r="F410" s="212">
        <f t="shared" si="12"/>
        <v>5187560</v>
      </c>
      <c r="G410" s="206">
        <f t="shared" si="13"/>
        <v>5027120</v>
      </c>
      <c r="H410" s="258">
        <v>1528.48</v>
      </c>
      <c r="I410" s="258">
        <v>1179.4000000000001</v>
      </c>
      <c r="J410" s="217">
        <v>349.07</v>
      </c>
      <c r="K410" s="217" t="s">
        <v>2787</v>
      </c>
    </row>
    <row r="411" spans="1:11">
      <c r="A411" s="217">
        <v>408</v>
      </c>
      <c r="B411" s="218" t="s">
        <v>3192</v>
      </c>
      <c r="C411" s="217" t="s">
        <v>4495</v>
      </c>
      <c r="D411" s="217" t="s">
        <v>48</v>
      </c>
      <c r="E411" s="209">
        <v>5285000</v>
      </c>
      <c r="F411" s="212">
        <f t="shared" si="12"/>
        <v>5126450</v>
      </c>
      <c r="G411" s="206">
        <f t="shared" si="13"/>
        <v>4967900</v>
      </c>
      <c r="H411" s="258">
        <v>1284.3499999999999</v>
      </c>
      <c r="I411" s="258">
        <v>1149.48</v>
      </c>
      <c r="J411" s="217">
        <v>134.87</v>
      </c>
      <c r="K411" s="217" t="s">
        <v>2780</v>
      </c>
    </row>
    <row r="412" spans="1:11">
      <c r="A412" s="217">
        <v>409</v>
      </c>
      <c r="B412" s="218" t="s">
        <v>3193</v>
      </c>
      <c r="C412" s="217" t="s">
        <v>4494</v>
      </c>
      <c r="D412" s="217" t="s">
        <v>48</v>
      </c>
      <c r="E412" s="209">
        <v>5275000</v>
      </c>
      <c r="F412" s="212">
        <f t="shared" si="12"/>
        <v>5116750</v>
      </c>
      <c r="G412" s="206">
        <f t="shared" si="13"/>
        <v>4958500</v>
      </c>
      <c r="H412" s="258">
        <v>1284.3499999999999</v>
      </c>
      <c r="I412" s="258">
        <v>1149.48</v>
      </c>
      <c r="J412" s="217">
        <v>134.87</v>
      </c>
      <c r="K412" s="217" t="s">
        <v>2780</v>
      </c>
    </row>
    <row r="413" spans="1:11">
      <c r="A413" s="217">
        <v>410</v>
      </c>
      <c r="B413" s="218" t="s">
        <v>3194</v>
      </c>
      <c r="C413" s="217" t="s">
        <v>4494</v>
      </c>
      <c r="D413" s="217" t="s">
        <v>48</v>
      </c>
      <c r="E413" s="209">
        <v>5200000</v>
      </c>
      <c r="F413" s="212">
        <f t="shared" si="12"/>
        <v>5044000</v>
      </c>
      <c r="G413" s="206">
        <f t="shared" si="13"/>
        <v>4888000</v>
      </c>
      <c r="H413" s="258">
        <v>1284.3499999999999</v>
      </c>
      <c r="I413" s="258">
        <v>1149.48</v>
      </c>
      <c r="J413" s="217">
        <v>134.87</v>
      </c>
      <c r="K413" s="217" t="s">
        <v>2785</v>
      </c>
    </row>
    <row r="414" spans="1:11">
      <c r="A414" s="217">
        <v>411</v>
      </c>
      <c r="B414" s="218" t="s">
        <v>3195</v>
      </c>
      <c r="C414" s="217" t="s">
        <v>4495</v>
      </c>
      <c r="D414" s="217" t="s">
        <v>48</v>
      </c>
      <c r="E414" s="209">
        <v>4972000</v>
      </c>
      <c r="F414" s="212">
        <f t="shared" si="12"/>
        <v>4822840</v>
      </c>
      <c r="G414" s="206">
        <f t="shared" si="13"/>
        <v>4673680</v>
      </c>
      <c r="H414" s="258">
        <v>1332.9</v>
      </c>
      <c r="I414" s="258">
        <v>1077.47</v>
      </c>
      <c r="J414" s="217">
        <v>255.43</v>
      </c>
      <c r="K414" s="217" t="s">
        <v>4513</v>
      </c>
    </row>
    <row r="415" spans="1:11">
      <c r="A415" s="217">
        <v>412</v>
      </c>
      <c r="B415" s="218" t="s">
        <v>3196</v>
      </c>
      <c r="C415" s="217" t="s">
        <v>4495</v>
      </c>
      <c r="D415" s="217" t="s">
        <v>48</v>
      </c>
      <c r="E415" s="209">
        <v>4972000</v>
      </c>
      <c r="F415" s="212">
        <f t="shared" si="12"/>
        <v>4822840</v>
      </c>
      <c r="G415" s="206">
        <f t="shared" si="13"/>
        <v>4673680</v>
      </c>
      <c r="H415" s="258">
        <v>1332.9</v>
      </c>
      <c r="I415" s="258">
        <v>1077.47</v>
      </c>
      <c r="J415" s="217">
        <v>255.43</v>
      </c>
      <c r="K415" s="217" t="s">
        <v>2787</v>
      </c>
    </row>
    <row r="416" spans="1:11">
      <c r="A416" s="217">
        <v>413</v>
      </c>
      <c r="B416" s="218" t="s">
        <v>3197</v>
      </c>
      <c r="C416" s="217" t="s">
        <v>4495</v>
      </c>
      <c r="D416" s="217" t="s">
        <v>48</v>
      </c>
      <c r="E416" s="209">
        <v>4971000</v>
      </c>
      <c r="F416" s="212">
        <f t="shared" si="12"/>
        <v>4821870</v>
      </c>
      <c r="G416" s="206">
        <f t="shared" si="13"/>
        <v>4672740</v>
      </c>
      <c r="H416" s="258">
        <v>1332.57</v>
      </c>
      <c r="I416" s="258">
        <v>1077.1400000000001</v>
      </c>
      <c r="J416" s="217">
        <v>255.43</v>
      </c>
      <c r="K416" s="217" t="s">
        <v>2792</v>
      </c>
    </row>
    <row r="417" spans="1:11">
      <c r="A417" s="217">
        <v>414</v>
      </c>
      <c r="B417" s="218" t="s">
        <v>3198</v>
      </c>
      <c r="C417" s="217" t="s">
        <v>4494</v>
      </c>
      <c r="D417" s="217" t="s">
        <v>48</v>
      </c>
      <c r="E417" s="209">
        <v>4963000</v>
      </c>
      <c r="F417" s="212">
        <f t="shared" si="12"/>
        <v>4814110</v>
      </c>
      <c r="G417" s="206">
        <f t="shared" si="13"/>
        <v>4665220</v>
      </c>
      <c r="H417" s="258">
        <v>1332.9</v>
      </c>
      <c r="I417" s="258">
        <v>1077.47</v>
      </c>
      <c r="J417" s="217">
        <v>255.43</v>
      </c>
      <c r="K417" s="217" t="s">
        <v>4513</v>
      </c>
    </row>
    <row r="418" spans="1:11">
      <c r="A418" s="217">
        <v>415</v>
      </c>
      <c r="B418" s="218" t="s">
        <v>3199</v>
      </c>
      <c r="C418" s="217" t="s">
        <v>4494</v>
      </c>
      <c r="D418" s="217" t="s">
        <v>48</v>
      </c>
      <c r="E418" s="209">
        <v>4963000</v>
      </c>
      <c r="F418" s="212">
        <f t="shared" si="12"/>
        <v>4814110</v>
      </c>
      <c r="G418" s="206">
        <f t="shared" si="13"/>
        <v>4665220</v>
      </c>
      <c r="H418" s="258">
        <v>1332.9</v>
      </c>
      <c r="I418" s="258">
        <v>1077.47</v>
      </c>
      <c r="J418" s="217">
        <v>255.43</v>
      </c>
      <c r="K418" s="217" t="s">
        <v>2787</v>
      </c>
    </row>
    <row r="419" spans="1:11">
      <c r="A419" s="217">
        <v>416</v>
      </c>
      <c r="B419" s="218" t="s">
        <v>3200</v>
      </c>
      <c r="C419" s="217" t="s">
        <v>4494</v>
      </c>
      <c r="D419" s="217" t="s">
        <v>48</v>
      </c>
      <c r="E419" s="209">
        <v>4961000</v>
      </c>
      <c r="F419" s="212">
        <f t="shared" si="12"/>
        <v>4812170</v>
      </c>
      <c r="G419" s="206">
        <f t="shared" si="13"/>
        <v>4663340</v>
      </c>
      <c r="H419" s="258">
        <v>1332.57</v>
      </c>
      <c r="I419" s="258">
        <v>1077.1400000000001</v>
      </c>
      <c r="J419" s="217">
        <v>255.43</v>
      </c>
      <c r="K419" s="217" t="s">
        <v>2792</v>
      </c>
    </row>
    <row r="420" spans="1:11">
      <c r="A420" s="217">
        <v>417</v>
      </c>
      <c r="B420" s="218" t="s">
        <v>3201</v>
      </c>
      <c r="C420" s="217" t="s">
        <v>4494</v>
      </c>
      <c r="D420" s="217" t="s">
        <v>48</v>
      </c>
      <c r="E420" s="209">
        <v>4961000</v>
      </c>
      <c r="F420" s="212">
        <f t="shared" si="12"/>
        <v>4812170</v>
      </c>
      <c r="G420" s="206">
        <f t="shared" si="13"/>
        <v>4663340</v>
      </c>
      <c r="H420" s="258">
        <v>1332.57</v>
      </c>
      <c r="I420" s="258">
        <v>1077.1400000000001</v>
      </c>
      <c r="J420" s="217">
        <v>255.43</v>
      </c>
      <c r="K420" s="217" t="s">
        <v>3608</v>
      </c>
    </row>
    <row r="421" spans="1:11">
      <c r="A421" s="217">
        <v>418</v>
      </c>
      <c r="B421" s="218" t="s">
        <v>3202</v>
      </c>
      <c r="C421" s="217" t="s">
        <v>33</v>
      </c>
      <c r="D421" s="217" t="s">
        <v>48</v>
      </c>
      <c r="E421" s="209">
        <v>4954000</v>
      </c>
      <c r="F421" s="212">
        <f t="shared" si="12"/>
        <v>4805380</v>
      </c>
      <c r="G421" s="206">
        <f t="shared" si="13"/>
        <v>4656760</v>
      </c>
      <c r="H421" s="258">
        <v>1332.9</v>
      </c>
      <c r="I421" s="258">
        <v>1077.47</v>
      </c>
      <c r="J421" s="217">
        <v>255.43</v>
      </c>
      <c r="K421" s="217" t="s">
        <v>4513</v>
      </c>
    </row>
    <row r="422" spans="1:11">
      <c r="A422" s="217">
        <v>419</v>
      </c>
      <c r="B422" s="218" t="s">
        <v>3203</v>
      </c>
      <c r="C422" s="217" t="s">
        <v>33</v>
      </c>
      <c r="D422" s="217" t="s">
        <v>48</v>
      </c>
      <c r="E422" s="209">
        <v>4954000</v>
      </c>
      <c r="F422" s="212">
        <f t="shared" si="12"/>
        <v>4805380</v>
      </c>
      <c r="G422" s="206">
        <f t="shared" si="13"/>
        <v>4656760</v>
      </c>
      <c r="H422" s="258">
        <v>1332.9</v>
      </c>
      <c r="I422" s="258">
        <v>1077.47</v>
      </c>
      <c r="J422" s="217">
        <v>255.43</v>
      </c>
      <c r="K422" s="217" t="s">
        <v>2787</v>
      </c>
    </row>
    <row r="423" spans="1:11">
      <c r="A423" s="217">
        <v>420</v>
      </c>
      <c r="B423" s="218" t="s">
        <v>3204</v>
      </c>
      <c r="C423" s="217" t="s">
        <v>33</v>
      </c>
      <c r="D423" s="217" t="s">
        <v>48</v>
      </c>
      <c r="E423" s="209">
        <v>4950000</v>
      </c>
      <c r="F423" s="212">
        <f t="shared" si="12"/>
        <v>4801500</v>
      </c>
      <c r="G423" s="206">
        <f t="shared" si="13"/>
        <v>4653000</v>
      </c>
      <c r="H423" s="258">
        <v>1332.57</v>
      </c>
      <c r="I423" s="258">
        <v>1077.1400000000001</v>
      </c>
      <c r="J423" s="217">
        <v>255.43</v>
      </c>
      <c r="K423" s="217" t="s">
        <v>2792</v>
      </c>
    </row>
    <row r="424" spans="1:11">
      <c r="A424" s="217">
        <v>421</v>
      </c>
      <c r="B424" s="218" t="s">
        <v>3205</v>
      </c>
      <c r="C424" s="217" t="s">
        <v>33</v>
      </c>
      <c r="D424" s="217" t="s">
        <v>48</v>
      </c>
      <c r="E424" s="209">
        <v>4950000</v>
      </c>
      <c r="F424" s="212">
        <f t="shared" si="12"/>
        <v>4801500</v>
      </c>
      <c r="G424" s="206">
        <f t="shared" si="13"/>
        <v>4653000</v>
      </c>
      <c r="H424" s="258">
        <v>1332.57</v>
      </c>
      <c r="I424" s="258">
        <v>1077.1400000000001</v>
      </c>
      <c r="J424" s="217">
        <v>255.43</v>
      </c>
      <c r="K424" s="217" t="s">
        <v>3608</v>
      </c>
    </row>
    <row r="425" spans="1:11">
      <c r="A425" s="217">
        <v>422</v>
      </c>
      <c r="B425" s="218" t="s">
        <v>3206</v>
      </c>
      <c r="C425" s="217" t="s">
        <v>34</v>
      </c>
      <c r="D425" s="217" t="s">
        <v>24</v>
      </c>
      <c r="E425" s="209">
        <v>3331000</v>
      </c>
      <c r="F425" s="212">
        <f t="shared" si="12"/>
        <v>3231070</v>
      </c>
      <c r="G425" s="206">
        <f t="shared" si="13"/>
        <v>3131140</v>
      </c>
      <c r="H425" s="258">
        <v>980.16</v>
      </c>
      <c r="I425" s="258">
        <v>771.77</v>
      </c>
      <c r="J425" s="217">
        <v>208.39</v>
      </c>
      <c r="K425" s="217" t="s">
        <v>2780</v>
      </c>
    </row>
    <row r="426" spans="1:11">
      <c r="A426" s="217">
        <v>423</v>
      </c>
      <c r="B426" s="218" t="s">
        <v>3207</v>
      </c>
      <c r="C426" s="217" t="s">
        <v>4461</v>
      </c>
      <c r="D426" s="217" t="s">
        <v>24</v>
      </c>
      <c r="E426" s="209">
        <v>3325000</v>
      </c>
      <c r="F426" s="212">
        <f t="shared" si="12"/>
        <v>3225250</v>
      </c>
      <c r="G426" s="206">
        <f t="shared" si="13"/>
        <v>3125500</v>
      </c>
      <c r="H426" s="258">
        <v>980.16</v>
      </c>
      <c r="I426" s="258">
        <v>771.77</v>
      </c>
      <c r="J426" s="217">
        <v>208.39</v>
      </c>
      <c r="K426" s="217" t="s">
        <v>2780</v>
      </c>
    </row>
    <row r="427" spans="1:11">
      <c r="A427" s="217">
        <v>424</v>
      </c>
      <c r="B427" s="218" t="s">
        <v>3208</v>
      </c>
      <c r="C427" s="217" t="s">
        <v>4460</v>
      </c>
      <c r="D427" s="217" t="s">
        <v>24</v>
      </c>
      <c r="E427" s="209">
        <v>3319000</v>
      </c>
      <c r="F427" s="212">
        <f t="shared" si="12"/>
        <v>3219430</v>
      </c>
      <c r="G427" s="206">
        <f t="shared" si="13"/>
        <v>3119860</v>
      </c>
      <c r="H427" s="258">
        <v>980.05</v>
      </c>
      <c r="I427" s="258">
        <v>771.77</v>
      </c>
      <c r="J427" s="217">
        <v>208.28</v>
      </c>
      <c r="K427" s="217" t="s">
        <v>2780</v>
      </c>
    </row>
    <row r="428" spans="1:11">
      <c r="A428" s="217">
        <v>425</v>
      </c>
      <c r="B428" s="218" t="s">
        <v>3209</v>
      </c>
      <c r="C428" s="217" t="s">
        <v>4460</v>
      </c>
      <c r="D428" s="217" t="s">
        <v>24</v>
      </c>
      <c r="E428" s="209">
        <v>3319000</v>
      </c>
      <c r="F428" s="212">
        <f t="shared" si="12"/>
        <v>3219430</v>
      </c>
      <c r="G428" s="206">
        <f t="shared" si="13"/>
        <v>3119860</v>
      </c>
      <c r="H428" s="258">
        <v>980.16</v>
      </c>
      <c r="I428" s="258">
        <v>771.77</v>
      </c>
      <c r="J428" s="217">
        <v>208.39</v>
      </c>
      <c r="K428" s="217" t="s">
        <v>2780</v>
      </c>
    </row>
    <row r="429" spans="1:11">
      <c r="A429" s="217">
        <v>426</v>
      </c>
      <c r="B429" s="218" t="s">
        <v>3210</v>
      </c>
      <c r="C429" s="217" t="s">
        <v>34</v>
      </c>
      <c r="D429" s="217" t="s">
        <v>24</v>
      </c>
      <c r="E429" s="209">
        <v>3284000</v>
      </c>
      <c r="F429" s="212">
        <f t="shared" si="12"/>
        <v>3185480</v>
      </c>
      <c r="G429" s="206">
        <f t="shared" si="13"/>
        <v>3086960</v>
      </c>
      <c r="H429" s="258">
        <v>980.16</v>
      </c>
      <c r="I429" s="258">
        <v>771.77</v>
      </c>
      <c r="J429" s="217">
        <v>208.39</v>
      </c>
      <c r="K429" s="217" t="s">
        <v>2785</v>
      </c>
    </row>
    <row r="430" spans="1:11">
      <c r="A430" s="217">
        <v>427</v>
      </c>
      <c r="B430" s="218" t="s">
        <v>3211</v>
      </c>
      <c r="C430" s="217" t="s">
        <v>34</v>
      </c>
      <c r="D430" s="217" t="s">
        <v>24</v>
      </c>
      <c r="E430" s="209">
        <v>3284000</v>
      </c>
      <c r="F430" s="212">
        <f t="shared" si="12"/>
        <v>3185480</v>
      </c>
      <c r="G430" s="206">
        <f t="shared" si="13"/>
        <v>3086960</v>
      </c>
      <c r="H430" s="258">
        <v>980.16</v>
      </c>
      <c r="I430" s="258">
        <v>771.77</v>
      </c>
      <c r="J430" s="217">
        <v>208.39</v>
      </c>
      <c r="K430" s="217" t="s">
        <v>2785</v>
      </c>
    </row>
    <row r="431" spans="1:11">
      <c r="A431" s="217">
        <v>428</v>
      </c>
      <c r="B431" s="218" t="s">
        <v>3212</v>
      </c>
      <c r="C431" s="217" t="s">
        <v>11</v>
      </c>
      <c r="D431" s="217" t="s">
        <v>24</v>
      </c>
      <c r="E431" s="209">
        <v>3312000</v>
      </c>
      <c r="F431" s="212">
        <f t="shared" si="12"/>
        <v>3212640</v>
      </c>
      <c r="G431" s="206">
        <f t="shared" si="13"/>
        <v>3113280</v>
      </c>
      <c r="H431" s="258">
        <v>980.05</v>
      </c>
      <c r="I431" s="258">
        <v>771.77</v>
      </c>
      <c r="J431" s="217">
        <v>208.28</v>
      </c>
      <c r="K431" s="217" t="s">
        <v>2780</v>
      </c>
    </row>
    <row r="432" spans="1:11">
      <c r="A432" s="217">
        <v>429</v>
      </c>
      <c r="B432" s="218" t="s">
        <v>3213</v>
      </c>
      <c r="C432" s="217" t="s">
        <v>11</v>
      </c>
      <c r="D432" s="217" t="s">
        <v>24</v>
      </c>
      <c r="E432" s="209">
        <v>3313000</v>
      </c>
      <c r="F432" s="212">
        <f t="shared" si="12"/>
        <v>3213610</v>
      </c>
      <c r="G432" s="206">
        <f t="shared" si="13"/>
        <v>3114220</v>
      </c>
      <c r="H432" s="258">
        <v>980.16</v>
      </c>
      <c r="I432" s="258">
        <v>771.77</v>
      </c>
      <c r="J432" s="217">
        <v>208.39</v>
      </c>
      <c r="K432" s="217" t="s">
        <v>2780</v>
      </c>
    </row>
    <row r="433" spans="1:11">
      <c r="A433" s="217">
        <v>430</v>
      </c>
      <c r="B433" s="218" t="s">
        <v>3214</v>
      </c>
      <c r="C433" s="217" t="s">
        <v>4461</v>
      </c>
      <c r="D433" s="217" t="s">
        <v>24</v>
      </c>
      <c r="E433" s="209">
        <v>3278000</v>
      </c>
      <c r="F433" s="212">
        <f t="shared" si="12"/>
        <v>3179660</v>
      </c>
      <c r="G433" s="206">
        <f t="shared" si="13"/>
        <v>3081320</v>
      </c>
      <c r="H433" s="258">
        <v>980.16</v>
      </c>
      <c r="I433" s="258">
        <v>771.77</v>
      </c>
      <c r="J433" s="217">
        <v>208.39</v>
      </c>
      <c r="K433" s="217" t="s">
        <v>2785</v>
      </c>
    </row>
    <row r="434" spans="1:11">
      <c r="A434" s="217">
        <v>431</v>
      </c>
      <c r="B434" s="218" t="s">
        <v>3215</v>
      </c>
      <c r="C434" s="217" t="s">
        <v>4461</v>
      </c>
      <c r="D434" s="217" t="s">
        <v>24</v>
      </c>
      <c r="E434" s="209">
        <v>3278000</v>
      </c>
      <c r="F434" s="212">
        <f t="shared" si="12"/>
        <v>3179660</v>
      </c>
      <c r="G434" s="206">
        <f t="shared" si="13"/>
        <v>3081320</v>
      </c>
      <c r="H434" s="258">
        <v>980.16</v>
      </c>
      <c r="I434" s="258">
        <v>771.77</v>
      </c>
      <c r="J434" s="217">
        <v>208.39</v>
      </c>
      <c r="K434" s="217" t="s">
        <v>2785</v>
      </c>
    </row>
    <row r="435" spans="1:11">
      <c r="A435" s="217">
        <v>432</v>
      </c>
      <c r="B435" s="218" t="s">
        <v>3216</v>
      </c>
      <c r="C435" s="217" t="s">
        <v>12</v>
      </c>
      <c r="D435" s="217" t="s">
        <v>24</v>
      </c>
      <c r="E435" s="209">
        <v>3306000</v>
      </c>
      <c r="F435" s="212">
        <f t="shared" si="12"/>
        <v>3206820</v>
      </c>
      <c r="G435" s="206">
        <f t="shared" si="13"/>
        <v>3107640</v>
      </c>
      <c r="H435" s="258">
        <v>980.16</v>
      </c>
      <c r="I435" s="258">
        <v>771.77</v>
      </c>
      <c r="J435" s="217">
        <v>208.39</v>
      </c>
      <c r="K435" s="217" t="s">
        <v>2780</v>
      </c>
    </row>
    <row r="436" spans="1:11">
      <c r="A436" s="217">
        <v>433</v>
      </c>
      <c r="B436" s="218" t="s">
        <v>3217</v>
      </c>
      <c r="C436" s="217" t="s">
        <v>4460</v>
      </c>
      <c r="D436" s="217" t="s">
        <v>24</v>
      </c>
      <c r="E436" s="209">
        <v>3272000</v>
      </c>
      <c r="F436" s="212">
        <f t="shared" si="12"/>
        <v>3173840</v>
      </c>
      <c r="G436" s="206">
        <f t="shared" si="13"/>
        <v>3075680</v>
      </c>
      <c r="H436" s="258">
        <v>980.16</v>
      </c>
      <c r="I436" s="258">
        <v>771.77</v>
      </c>
      <c r="J436" s="217">
        <v>208.39</v>
      </c>
      <c r="K436" s="217" t="s">
        <v>2785</v>
      </c>
    </row>
    <row r="437" spans="1:11">
      <c r="A437" s="217">
        <v>434</v>
      </c>
      <c r="B437" s="218" t="s">
        <v>3218</v>
      </c>
      <c r="C437" s="217" t="s">
        <v>4460</v>
      </c>
      <c r="D437" s="217" t="s">
        <v>24</v>
      </c>
      <c r="E437" s="209">
        <v>3272000</v>
      </c>
      <c r="F437" s="212">
        <f t="shared" si="12"/>
        <v>3173840</v>
      </c>
      <c r="G437" s="206">
        <f t="shared" si="13"/>
        <v>3075680</v>
      </c>
      <c r="H437" s="258">
        <v>980.16</v>
      </c>
      <c r="I437" s="258">
        <v>771.77</v>
      </c>
      <c r="J437" s="217">
        <v>208.39</v>
      </c>
      <c r="K437" s="217" t="s">
        <v>2785</v>
      </c>
    </row>
    <row r="438" spans="1:11">
      <c r="A438" s="217">
        <v>435</v>
      </c>
      <c r="B438" s="218" t="s">
        <v>3219</v>
      </c>
      <c r="C438" s="217" t="s">
        <v>32</v>
      </c>
      <c r="D438" s="217" t="s">
        <v>24</v>
      </c>
      <c r="E438" s="209">
        <v>3300000</v>
      </c>
      <c r="F438" s="212">
        <f t="shared" si="12"/>
        <v>3201000</v>
      </c>
      <c r="G438" s="206">
        <f t="shared" si="13"/>
        <v>3102000</v>
      </c>
      <c r="H438" s="258">
        <v>980.16</v>
      </c>
      <c r="I438" s="258">
        <v>771.77</v>
      </c>
      <c r="J438" s="217">
        <v>208.39</v>
      </c>
      <c r="K438" s="217" t="s">
        <v>2780</v>
      </c>
    </row>
    <row r="439" spans="1:11">
      <c r="A439" s="217">
        <v>436</v>
      </c>
      <c r="B439" s="218" t="s">
        <v>3220</v>
      </c>
      <c r="C439" s="217" t="s">
        <v>11</v>
      </c>
      <c r="D439" s="217" t="s">
        <v>24</v>
      </c>
      <c r="E439" s="209">
        <v>3265000</v>
      </c>
      <c r="F439" s="212">
        <f t="shared" si="12"/>
        <v>3167050</v>
      </c>
      <c r="G439" s="206">
        <f t="shared" si="13"/>
        <v>3069100</v>
      </c>
      <c r="H439" s="258">
        <v>980.16</v>
      </c>
      <c r="I439" s="258">
        <v>771.77</v>
      </c>
      <c r="J439" s="217">
        <v>208.39</v>
      </c>
      <c r="K439" s="217" t="s">
        <v>2785</v>
      </c>
    </row>
    <row r="440" spans="1:11">
      <c r="A440" s="217">
        <v>437</v>
      </c>
      <c r="B440" s="218" t="s">
        <v>3221</v>
      </c>
      <c r="C440" s="217" t="s">
        <v>11</v>
      </c>
      <c r="D440" s="217" t="s">
        <v>24</v>
      </c>
      <c r="E440" s="209">
        <v>3265000</v>
      </c>
      <c r="F440" s="212">
        <f t="shared" si="12"/>
        <v>3167050</v>
      </c>
      <c r="G440" s="206">
        <f t="shared" si="13"/>
        <v>3069100</v>
      </c>
      <c r="H440" s="258">
        <v>980.16</v>
      </c>
      <c r="I440" s="258">
        <v>771.77</v>
      </c>
      <c r="J440" s="217">
        <v>208.39</v>
      </c>
      <c r="K440" s="217" t="s">
        <v>2785</v>
      </c>
    </row>
    <row r="441" spans="1:11">
      <c r="A441" s="217">
        <v>438</v>
      </c>
      <c r="B441" s="218" t="s">
        <v>3222</v>
      </c>
      <c r="C441" s="217" t="s">
        <v>4459</v>
      </c>
      <c r="D441" s="217" t="s">
        <v>24</v>
      </c>
      <c r="E441" s="209">
        <v>3294000</v>
      </c>
      <c r="F441" s="212">
        <f t="shared" si="12"/>
        <v>3195180</v>
      </c>
      <c r="G441" s="206">
        <f t="shared" si="13"/>
        <v>3096360</v>
      </c>
      <c r="H441" s="258">
        <v>980.05</v>
      </c>
      <c r="I441" s="258">
        <v>771.77</v>
      </c>
      <c r="J441" s="217">
        <v>208.28</v>
      </c>
      <c r="K441" s="217" t="s">
        <v>2780</v>
      </c>
    </row>
    <row r="442" spans="1:11">
      <c r="A442" s="217">
        <v>439</v>
      </c>
      <c r="B442" s="218" t="s">
        <v>3223</v>
      </c>
      <c r="C442" s="217" t="s">
        <v>4459</v>
      </c>
      <c r="D442" s="217" t="s">
        <v>24</v>
      </c>
      <c r="E442" s="209">
        <v>3294000</v>
      </c>
      <c r="F442" s="212">
        <f t="shared" si="12"/>
        <v>3195180</v>
      </c>
      <c r="G442" s="206">
        <f t="shared" si="13"/>
        <v>3096360</v>
      </c>
      <c r="H442" s="258">
        <v>980.16</v>
      </c>
      <c r="I442" s="258">
        <v>771.77</v>
      </c>
      <c r="J442" s="217">
        <v>208.39</v>
      </c>
      <c r="K442" s="217" t="s">
        <v>2780</v>
      </c>
    </row>
    <row r="443" spans="1:11">
      <c r="A443" s="217">
        <v>440</v>
      </c>
      <c r="B443" s="218" t="s">
        <v>3224</v>
      </c>
      <c r="C443" s="217" t="s">
        <v>12</v>
      </c>
      <c r="D443" s="217" t="s">
        <v>24</v>
      </c>
      <c r="E443" s="209">
        <v>3259000</v>
      </c>
      <c r="F443" s="212">
        <f t="shared" si="12"/>
        <v>3161230</v>
      </c>
      <c r="G443" s="206">
        <f t="shared" si="13"/>
        <v>3063460</v>
      </c>
      <c r="H443" s="258">
        <v>980.16</v>
      </c>
      <c r="I443" s="258">
        <v>771.77</v>
      </c>
      <c r="J443" s="217">
        <v>208.39</v>
      </c>
      <c r="K443" s="217" t="s">
        <v>2785</v>
      </c>
    </row>
    <row r="444" spans="1:11">
      <c r="A444" s="217">
        <v>441</v>
      </c>
      <c r="B444" s="218" t="s">
        <v>3225</v>
      </c>
      <c r="C444" s="217" t="s">
        <v>12</v>
      </c>
      <c r="D444" s="217" t="s">
        <v>24</v>
      </c>
      <c r="E444" s="209">
        <v>3259000</v>
      </c>
      <c r="F444" s="212">
        <f t="shared" si="12"/>
        <v>3161230</v>
      </c>
      <c r="G444" s="206">
        <f t="shared" si="13"/>
        <v>3063460</v>
      </c>
      <c r="H444" s="258">
        <v>980.16</v>
      </c>
      <c r="I444" s="258">
        <v>771.77</v>
      </c>
      <c r="J444" s="217">
        <v>208.39</v>
      </c>
      <c r="K444" s="217" t="s">
        <v>2785</v>
      </c>
    </row>
    <row r="445" spans="1:11">
      <c r="A445" s="217">
        <v>442</v>
      </c>
      <c r="B445" s="218" t="s">
        <v>3226</v>
      </c>
      <c r="C445" s="217" t="s">
        <v>5</v>
      </c>
      <c r="D445" s="217" t="s">
        <v>24</v>
      </c>
      <c r="E445" s="209">
        <v>3287000</v>
      </c>
      <c r="F445" s="212">
        <f t="shared" si="12"/>
        <v>3188390</v>
      </c>
      <c r="G445" s="206">
        <f t="shared" si="13"/>
        <v>3089780</v>
      </c>
      <c r="H445" s="258">
        <v>980.16</v>
      </c>
      <c r="I445" s="258">
        <v>771.77</v>
      </c>
      <c r="J445" s="217">
        <v>208.39</v>
      </c>
      <c r="K445" s="217" t="s">
        <v>2780</v>
      </c>
    </row>
    <row r="446" spans="1:11">
      <c r="A446" s="217">
        <v>443</v>
      </c>
      <c r="B446" s="218" t="s">
        <v>3227</v>
      </c>
      <c r="C446" s="217" t="s">
        <v>32</v>
      </c>
      <c r="D446" s="217" t="s">
        <v>24</v>
      </c>
      <c r="E446" s="209">
        <v>3253000</v>
      </c>
      <c r="F446" s="212">
        <f t="shared" si="12"/>
        <v>3155410</v>
      </c>
      <c r="G446" s="206">
        <f t="shared" si="13"/>
        <v>3057820</v>
      </c>
      <c r="H446" s="258">
        <v>980.16</v>
      </c>
      <c r="I446" s="258">
        <v>771.77</v>
      </c>
      <c r="J446" s="217">
        <v>208.39</v>
      </c>
      <c r="K446" s="217" t="s">
        <v>2785</v>
      </c>
    </row>
    <row r="447" spans="1:11">
      <c r="A447" s="217">
        <v>444</v>
      </c>
      <c r="B447" s="218" t="s">
        <v>3228</v>
      </c>
      <c r="C447" s="217" t="s">
        <v>32</v>
      </c>
      <c r="D447" s="217" t="s">
        <v>24</v>
      </c>
      <c r="E447" s="209">
        <v>3253000</v>
      </c>
      <c r="F447" s="212">
        <f t="shared" si="12"/>
        <v>3155410</v>
      </c>
      <c r="G447" s="206">
        <f t="shared" si="13"/>
        <v>3057820</v>
      </c>
      <c r="H447" s="258">
        <v>980.16</v>
      </c>
      <c r="I447" s="258">
        <v>771.77</v>
      </c>
      <c r="J447" s="217">
        <v>208.39</v>
      </c>
      <c r="K447" s="217" t="s">
        <v>2785</v>
      </c>
    </row>
    <row r="448" spans="1:11">
      <c r="A448" s="217">
        <v>445</v>
      </c>
      <c r="B448" s="218" t="s">
        <v>3229</v>
      </c>
      <c r="C448" s="217" t="s">
        <v>4</v>
      </c>
      <c r="D448" s="217" t="s">
        <v>24</v>
      </c>
      <c r="E448" s="209">
        <v>3281000</v>
      </c>
      <c r="F448" s="212">
        <f t="shared" si="12"/>
        <v>3182570</v>
      </c>
      <c r="G448" s="206">
        <f t="shared" si="13"/>
        <v>3084140</v>
      </c>
      <c r="H448" s="258">
        <v>980.05</v>
      </c>
      <c r="I448" s="258">
        <v>771.77</v>
      </c>
      <c r="J448" s="217">
        <v>208.28</v>
      </c>
      <c r="K448" s="217" t="s">
        <v>2780</v>
      </c>
    </row>
    <row r="449" spans="1:11">
      <c r="A449" s="217">
        <v>446</v>
      </c>
      <c r="B449" s="218" t="s">
        <v>3230</v>
      </c>
      <c r="C449" s="217" t="s">
        <v>4</v>
      </c>
      <c r="D449" s="217" t="s">
        <v>24</v>
      </c>
      <c r="E449" s="209">
        <v>3281000</v>
      </c>
      <c r="F449" s="212">
        <f t="shared" si="12"/>
        <v>3182570</v>
      </c>
      <c r="G449" s="206">
        <f t="shared" si="13"/>
        <v>3084140</v>
      </c>
      <c r="H449" s="258">
        <v>980.16</v>
      </c>
      <c r="I449" s="258">
        <v>771.77</v>
      </c>
      <c r="J449" s="217">
        <v>208.39</v>
      </c>
      <c r="K449" s="217" t="s">
        <v>2780</v>
      </c>
    </row>
    <row r="450" spans="1:11">
      <c r="A450" s="217">
        <v>447</v>
      </c>
      <c r="B450" s="218" t="s">
        <v>3231</v>
      </c>
      <c r="C450" s="217" t="s">
        <v>4459</v>
      </c>
      <c r="D450" s="217" t="s">
        <v>24</v>
      </c>
      <c r="E450" s="209">
        <v>3247000</v>
      </c>
      <c r="F450" s="212">
        <f t="shared" si="12"/>
        <v>3149590</v>
      </c>
      <c r="G450" s="206">
        <f t="shared" si="13"/>
        <v>3052180</v>
      </c>
      <c r="H450" s="258">
        <v>980.16</v>
      </c>
      <c r="I450" s="258">
        <v>771.77</v>
      </c>
      <c r="J450" s="217">
        <v>208.39</v>
      </c>
      <c r="K450" s="217" t="s">
        <v>2785</v>
      </c>
    </row>
    <row r="451" spans="1:11">
      <c r="A451" s="217">
        <v>448</v>
      </c>
      <c r="B451" s="218" t="s">
        <v>3232</v>
      </c>
      <c r="C451" s="217" t="s">
        <v>4459</v>
      </c>
      <c r="D451" s="217" t="s">
        <v>24</v>
      </c>
      <c r="E451" s="209">
        <v>3247000</v>
      </c>
      <c r="F451" s="212">
        <f t="shared" ref="F451:F514" si="14">E451*0.97</f>
        <v>3149590</v>
      </c>
      <c r="G451" s="206">
        <f t="shared" ref="G451:G514" si="15">E451*0.94</f>
        <v>3052180</v>
      </c>
      <c r="H451" s="258">
        <v>980.16</v>
      </c>
      <c r="I451" s="258">
        <v>771.77</v>
      </c>
      <c r="J451" s="217">
        <v>208.39</v>
      </c>
      <c r="K451" s="217" t="s">
        <v>2785</v>
      </c>
    </row>
    <row r="452" spans="1:11">
      <c r="A452" s="217">
        <v>449</v>
      </c>
      <c r="B452" s="218" t="s">
        <v>3233</v>
      </c>
      <c r="C452" s="217" t="s">
        <v>4458</v>
      </c>
      <c r="D452" s="217" t="s">
        <v>24</v>
      </c>
      <c r="E452" s="209">
        <v>3275000</v>
      </c>
      <c r="F452" s="212">
        <f t="shared" si="14"/>
        <v>3176750</v>
      </c>
      <c r="G452" s="206">
        <f t="shared" si="15"/>
        <v>3078500</v>
      </c>
      <c r="H452" s="258">
        <v>980.05</v>
      </c>
      <c r="I452" s="258">
        <v>771.77</v>
      </c>
      <c r="J452" s="217">
        <v>208.28</v>
      </c>
      <c r="K452" s="217" t="s">
        <v>2780</v>
      </c>
    </row>
    <row r="453" spans="1:11">
      <c r="A453" s="217">
        <v>450</v>
      </c>
      <c r="B453" s="218" t="s">
        <v>3234</v>
      </c>
      <c r="C453" s="217" t="s">
        <v>4458</v>
      </c>
      <c r="D453" s="217" t="s">
        <v>24</v>
      </c>
      <c r="E453" s="209">
        <v>3275000</v>
      </c>
      <c r="F453" s="212">
        <f t="shared" si="14"/>
        <v>3176750</v>
      </c>
      <c r="G453" s="206">
        <f t="shared" si="15"/>
        <v>3078500</v>
      </c>
      <c r="H453" s="258">
        <v>980.16</v>
      </c>
      <c r="I453" s="258">
        <v>771.77</v>
      </c>
      <c r="J453" s="217">
        <v>208.39</v>
      </c>
      <c r="K453" s="217" t="s">
        <v>2780</v>
      </c>
    </row>
    <row r="454" spans="1:11">
      <c r="A454" s="217">
        <v>451</v>
      </c>
      <c r="B454" s="218" t="s">
        <v>3235</v>
      </c>
      <c r="C454" s="217" t="s">
        <v>5</v>
      </c>
      <c r="D454" s="217" t="s">
        <v>24</v>
      </c>
      <c r="E454" s="209">
        <v>3240000</v>
      </c>
      <c r="F454" s="212">
        <f t="shared" si="14"/>
        <v>3142800</v>
      </c>
      <c r="G454" s="206">
        <f t="shared" si="15"/>
        <v>3045600</v>
      </c>
      <c r="H454" s="258">
        <v>980.16</v>
      </c>
      <c r="I454" s="258">
        <v>771.77</v>
      </c>
      <c r="J454" s="217">
        <v>208.39</v>
      </c>
      <c r="K454" s="217" t="s">
        <v>2785</v>
      </c>
    </row>
    <row r="455" spans="1:11">
      <c r="A455" s="217">
        <v>452</v>
      </c>
      <c r="B455" s="218" t="s">
        <v>3236</v>
      </c>
      <c r="C455" s="217" t="s">
        <v>5</v>
      </c>
      <c r="D455" s="217" t="s">
        <v>24</v>
      </c>
      <c r="E455" s="209">
        <v>3240000</v>
      </c>
      <c r="F455" s="212">
        <f t="shared" si="14"/>
        <v>3142800</v>
      </c>
      <c r="G455" s="206">
        <f t="shared" si="15"/>
        <v>3045600</v>
      </c>
      <c r="H455" s="258">
        <v>980.16</v>
      </c>
      <c r="I455" s="258">
        <v>771.77</v>
      </c>
      <c r="J455" s="217">
        <v>208.39</v>
      </c>
      <c r="K455" s="217" t="s">
        <v>2785</v>
      </c>
    </row>
    <row r="456" spans="1:11">
      <c r="A456" s="217">
        <v>453</v>
      </c>
      <c r="B456" s="218" t="s">
        <v>3237</v>
      </c>
      <c r="C456" s="217" t="s">
        <v>6</v>
      </c>
      <c r="D456" s="217" t="s">
        <v>24</v>
      </c>
      <c r="E456" s="209">
        <v>3268000</v>
      </c>
      <c r="F456" s="212">
        <f t="shared" si="14"/>
        <v>3169960</v>
      </c>
      <c r="G456" s="206">
        <f t="shared" si="15"/>
        <v>3071920</v>
      </c>
      <c r="H456" s="258">
        <v>980.05</v>
      </c>
      <c r="I456" s="258">
        <v>771.77</v>
      </c>
      <c r="J456" s="217">
        <v>208.28</v>
      </c>
      <c r="K456" s="217" t="s">
        <v>2780</v>
      </c>
    </row>
    <row r="457" spans="1:11">
      <c r="A457" s="217">
        <v>454</v>
      </c>
      <c r="B457" s="218" t="s">
        <v>3238</v>
      </c>
      <c r="C457" s="217" t="s">
        <v>6</v>
      </c>
      <c r="D457" s="217" t="s">
        <v>24</v>
      </c>
      <c r="E457" s="209">
        <v>3269000</v>
      </c>
      <c r="F457" s="212">
        <f t="shared" si="14"/>
        <v>3170930</v>
      </c>
      <c r="G457" s="206">
        <f t="shared" si="15"/>
        <v>3072860</v>
      </c>
      <c r="H457" s="258">
        <v>980.16</v>
      </c>
      <c r="I457" s="258">
        <v>771.77</v>
      </c>
      <c r="J457" s="217">
        <v>208.39</v>
      </c>
      <c r="K457" s="217" t="s">
        <v>2780</v>
      </c>
    </row>
    <row r="458" spans="1:11">
      <c r="A458" s="217">
        <v>455</v>
      </c>
      <c r="B458" s="218" t="s">
        <v>3239</v>
      </c>
      <c r="C458" s="217" t="s">
        <v>4</v>
      </c>
      <c r="D458" s="217" t="s">
        <v>24</v>
      </c>
      <c r="E458" s="209">
        <v>3234000</v>
      </c>
      <c r="F458" s="212">
        <f t="shared" si="14"/>
        <v>3136980</v>
      </c>
      <c r="G458" s="206">
        <f t="shared" si="15"/>
        <v>3039960</v>
      </c>
      <c r="H458" s="258">
        <v>980.16</v>
      </c>
      <c r="I458" s="258">
        <v>771.77</v>
      </c>
      <c r="J458" s="217">
        <v>208.39</v>
      </c>
      <c r="K458" s="217" t="s">
        <v>2785</v>
      </c>
    </row>
    <row r="459" spans="1:11">
      <c r="A459" s="217">
        <v>456</v>
      </c>
      <c r="B459" s="218" t="s">
        <v>3240</v>
      </c>
      <c r="C459" s="217" t="s">
        <v>4</v>
      </c>
      <c r="D459" s="217" t="s">
        <v>24</v>
      </c>
      <c r="E459" s="209">
        <v>3234000</v>
      </c>
      <c r="F459" s="212">
        <f t="shared" si="14"/>
        <v>3136980</v>
      </c>
      <c r="G459" s="206">
        <f t="shared" si="15"/>
        <v>3039960</v>
      </c>
      <c r="H459" s="258">
        <v>980.16</v>
      </c>
      <c r="I459" s="258">
        <v>771.77</v>
      </c>
      <c r="J459" s="217">
        <v>208.39</v>
      </c>
      <c r="K459" s="217" t="s">
        <v>2785</v>
      </c>
    </row>
    <row r="460" spans="1:11">
      <c r="A460" s="217">
        <v>457</v>
      </c>
      <c r="B460" s="218" t="s">
        <v>3241</v>
      </c>
      <c r="C460" s="217" t="s">
        <v>7</v>
      </c>
      <c r="D460" s="217" t="s">
        <v>24</v>
      </c>
      <c r="E460" s="209">
        <v>3262000</v>
      </c>
      <c r="F460" s="212">
        <f t="shared" si="14"/>
        <v>3164140</v>
      </c>
      <c r="G460" s="206">
        <f t="shared" si="15"/>
        <v>3066280</v>
      </c>
      <c r="H460" s="258">
        <v>980.16</v>
      </c>
      <c r="I460" s="258">
        <v>771.77</v>
      </c>
      <c r="J460" s="217">
        <v>208.39</v>
      </c>
      <c r="K460" s="217" t="s">
        <v>2780</v>
      </c>
    </row>
    <row r="461" spans="1:11">
      <c r="A461" s="217">
        <v>458</v>
      </c>
      <c r="B461" s="218" t="s">
        <v>3242</v>
      </c>
      <c r="C461" s="217" t="s">
        <v>4458</v>
      </c>
      <c r="D461" s="217" t="s">
        <v>24</v>
      </c>
      <c r="E461" s="209">
        <v>3228000</v>
      </c>
      <c r="F461" s="212">
        <f t="shared" si="14"/>
        <v>3131160</v>
      </c>
      <c r="G461" s="206">
        <f t="shared" si="15"/>
        <v>3034320</v>
      </c>
      <c r="H461" s="258">
        <v>980.16</v>
      </c>
      <c r="I461" s="258">
        <v>771.77</v>
      </c>
      <c r="J461" s="217">
        <v>208.39</v>
      </c>
      <c r="K461" s="217" t="s">
        <v>2785</v>
      </c>
    </row>
    <row r="462" spans="1:11">
      <c r="A462" s="217">
        <v>459</v>
      </c>
      <c r="B462" s="218" t="s">
        <v>3243</v>
      </c>
      <c r="C462" s="217" t="s">
        <v>4458</v>
      </c>
      <c r="D462" s="217" t="s">
        <v>24</v>
      </c>
      <c r="E462" s="209">
        <v>3228000</v>
      </c>
      <c r="F462" s="212">
        <f t="shared" si="14"/>
        <v>3131160</v>
      </c>
      <c r="G462" s="206">
        <f t="shared" si="15"/>
        <v>3034320</v>
      </c>
      <c r="H462" s="258">
        <v>980.16</v>
      </c>
      <c r="I462" s="258">
        <v>771.77</v>
      </c>
      <c r="J462" s="217">
        <v>208.39</v>
      </c>
      <c r="K462" s="217" t="s">
        <v>2785</v>
      </c>
    </row>
    <row r="463" spans="1:11">
      <c r="A463" s="217">
        <v>460</v>
      </c>
      <c r="B463" s="218" t="s">
        <v>3244</v>
      </c>
      <c r="C463" s="217" t="s">
        <v>8</v>
      </c>
      <c r="D463" s="217" t="s">
        <v>24</v>
      </c>
      <c r="E463" s="209">
        <v>3256000</v>
      </c>
      <c r="F463" s="212">
        <f t="shared" si="14"/>
        <v>3158320</v>
      </c>
      <c r="G463" s="206">
        <f t="shared" si="15"/>
        <v>3060640</v>
      </c>
      <c r="H463" s="258">
        <v>980.05</v>
      </c>
      <c r="I463" s="258">
        <v>771.77</v>
      </c>
      <c r="J463" s="217">
        <v>208.28</v>
      </c>
      <c r="K463" s="217" t="s">
        <v>2780</v>
      </c>
    </row>
    <row r="464" spans="1:11">
      <c r="A464" s="217">
        <v>461</v>
      </c>
      <c r="B464" s="218" t="s">
        <v>3245</v>
      </c>
      <c r="C464" s="217" t="s">
        <v>8</v>
      </c>
      <c r="D464" s="217" t="s">
        <v>24</v>
      </c>
      <c r="E464" s="209">
        <v>3256000</v>
      </c>
      <c r="F464" s="212">
        <f t="shared" si="14"/>
        <v>3158320</v>
      </c>
      <c r="G464" s="206">
        <f t="shared" si="15"/>
        <v>3060640</v>
      </c>
      <c r="H464" s="258">
        <v>980.16</v>
      </c>
      <c r="I464" s="258">
        <v>771.77</v>
      </c>
      <c r="J464" s="217">
        <v>208.39</v>
      </c>
      <c r="K464" s="217" t="s">
        <v>2780</v>
      </c>
    </row>
    <row r="465" spans="1:11">
      <c r="A465" s="217">
        <v>462</v>
      </c>
      <c r="B465" s="218" t="s">
        <v>3246</v>
      </c>
      <c r="C465" s="217" t="s">
        <v>6</v>
      </c>
      <c r="D465" s="217" t="s">
        <v>24</v>
      </c>
      <c r="E465" s="209">
        <v>3221000</v>
      </c>
      <c r="F465" s="212">
        <f t="shared" si="14"/>
        <v>3124370</v>
      </c>
      <c r="G465" s="206">
        <f t="shared" si="15"/>
        <v>3027740</v>
      </c>
      <c r="H465" s="258">
        <v>980.16</v>
      </c>
      <c r="I465" s="258">
        <v>771.77</v>
      </c>
      <c r="J465" s="217">
        <v>208.39</v>
      </c>
      <c r="K465" s="217" t="s">
        <v>2785</v>
      </c>
    </row>
    <row r="466" spans="1:11">
      <c r="A466" s="217">
        <v>463</v>
      </c>
      <c r="B466" s="218" t="s">
        <v>3247</v>
      </c>
      <c r="C466" s="217" t="s">
        <v>6</v>
      </c>
      <c r="D466" s="217" t="s">
        <v>24</v>
      </c>
      <c r="E466" s="209">
        <v>3221000</v>
      </c>
      <c r="F466" s="212">
        <f t="shared" si="14"/>
        <v>3124370</v>
      </c>
      <c r="G466" s="206">
        <f t="shared" si="15"/>
        <v>3027740</v>
      </c>
      <c r="H466" s="258">
        <v>980.16</v>
      </c>
      <c r="I466" s="258">
        <v>771.77</v>
      </c>
      <c r="J466" s="217">
        <v>208.39</v>
      </c>
      <c r="K466" s="217" t="s">
        <v>2785</v>
      </c>
    </row>
    <row r="467" spans="1:11">
      <c r="A467" s="217">
        <v>464</v>
      </c>
      <c r="B467" s="218" t="s">
        <v>3248</v>
      </c>
      <c r="C467" s="217" t="s">
        <v>9</v>
      </c>
      <c r="D467" s="217" t="s">
        <v>24</v>
      </c>
      <c r="E467" s="209">
        <v>3250000</v>
      </c>
      <c r="F467" s="212">
        <f t="shared" si="14"/>
        <v>3152500</v>
      </c>
      <c r="G467" s="206">
        <f t="shared" si="15"/>
        <v>3055000</v>
      </c>
      <c r="H467" s="258">
        <v>980.05</v>
      </c>
      <c r="I467" s="258">
        <v>771.77</v>
      </c>
      <c r="J467" s="217">
        <v>208.28</v>
      </c>
      <c r="K467" s="217" t="s">
        <v>2780</v>
      </c>
    </row>
    <row r="468" spans="1:11">
      <c r="A468" s="217">
        <v>465</v>
      </c>
      <c r="B468" s="218" t="s">
        <v>3249</v>
      </c>
      <c r="C468" s="217" t="s">
        <v>9</v>
      </c>
      <c r="D468" s="217" t="s">
        <v>24</v>
      </c>
      <c r="E468" s="209">
        <v>3250000</v>
      </c>
      <c r="F468" s="212">
        <f t="shared" si="14"/>
        <v>3152500</v>
      </c>
      <c r="G468" s="206">
        <f t="shared" si="15"/>
        <v>3055000</v>
      </c>
      <c r="H468" s="258">
        <v>980.16</v>
      </c>
      <c r="I468" s="258">
        <v>771.77</v>
      </c>
      <c r="J468" s="217">
        <v>208.39</v>
      </c>
      <c r="K468" s="217" t="s">
        <v>2780</v>
      </c>
    </row>
    <row r="469" spans="1:11">
      <c r="A469" s="217">
        <v>466</v>
      </c>
      <c r="B469" s="218" t="s">
        <v>3250</v>
      </c>
      <c r="C469" s="217" t="s">
        <v>7</v>
      </c>
      <c r="D469" s="217" t="s">
        <v>24</v>
      </c>
      <c r="E469" s="209">
        <v>3215000</v>
      </c>
      <c r="F469" s="212">
        <f t="shared" si="14"/>
        <v>3118550</v>
      </c>
      <c r="G469" s="206">
        <f t="shared" si="15"/>
        <v>3022100</v>
      </c>
      <c r="H469" s="258">
        <v>980.16</v>
      </c>
      <c r="I469" s="258">
        <v>771.77</v>
      </c>
      <c r="J469" s="217">
        <v>208.39</v>
      </c>
      <c r="K469" s="217" t="s">
        <v>2785</v>
      </c>
    </row>
    <row r="470" spans="1:11">
      <c r="A470" s="217">
        <v>467</v>
      </c>
      <c r="B470" s="218" t="s">
        <v>3251</v>
      </c>
      <c r="C470" s="217" t="s">
        <v>7</v>
      </c>
      <c r="D470" s="217" t="s">
        <v>24</v>
      </c>
      <c r="E470" s="209">
        <v>3215000</v>
      </c>
      <c r="F470" s="212">
        <f t="shared" si="14"/>
        <v>3118550</v>
      </c>
      <c r="G470" s="206">
        <f t="shared" si="15"/>
        <v>3022100</v>
      </c>
      <c r="H470" s="258">
        <v>980.16</v>
      </c>
      <c r="I470" s="258">
        <v>771.77</v>
      </c>
      <c r="J470" s="217">
        <v>208.39</v>
      </c>
      <c r="K470" s="217" t="s">
        <v>2785</v>
      </c>
    </row>
    <row r="471" spans="1:11">
      <c r="A471" s="217">
        <v>468</v>
      </c>
      <c r="B471" s="218" t="s">
        <v>3252</v>
      </c>
      <c r="C471" s="217" t="s">
        <v>10</v>
      </c>
      <c r="D471" s="217" t="s">
        <v>24</v>
      </c>
      <c r="E471" s="209">
        <v>3243000</v>
      </c>
      <c r="F471" s="212">
        <f t="shared" si="14"/>
        <v>3145710</v>
      </c>
      <c r="G471" s="206">
        <f t="shared" si="15"/>
        <v>3048420</v>
      </c>
      <c r="H471" s="258">
        <v>980.16</v>
      </c>
      <c r="I471" s="258">
        <v>771.77</v>
      </c>
      <c r="J471" s="217">
        <v>208.39</v>
      </c>
      <c r="K471" s="217" t="s">
        <v>2780</v>
      </c>
    </row>
    <row r="472" spans="1:11">
      <c r="A472" s="217">
        <v>469</v>
      </c>
      <c r="B472" s="218" t="s">
        <v>3253</v>
      </c>
      <c r="C472" s="217" t="s">
        <v>10</v>
      </c>
      <c r="D472" s="217" t="s">
        <v>24</v>
      </c>
      <c r="E472" s="209">
        <v>3243000</v>
      </c>
      <c r="F472" s="212">
        <f t="shared" si="14"/>
        <v>3145710</v>
      </c>
      <c r="G472" s="206">
        <f t="shared" si="15"/>
        <v>3048420</v>
      </c>
      <c r="H472" s="258">
        <v>980.05</v>
      </c>
      <c r="I472" s="258">
        <v>771.77</v>
      </c>
      <c r="J472" s="217">
        <v>208.28</v>
      </c>
      <c r="K472" s="217" t="s">
        <v>2780</v>
      </c>
    </row>
    <row r="473" spans="1:11">
      <c r="A473" s="217">
        <v>470</v>
      </c>
      <c r="B473" s="218" t="s">
        <v>3254</v>
      </c>
      <c r="C473" s="217" t="s">
        <v>8</v>
      </c>
      <c r="D473" s="217" t="s">
        <v>24</v>
      </c>
      <c r="E473" s="209">
        <v>3209000</v>
      </c>
      <c r="F473" s="212">
        <f t="shared" si="14"/>
        <v>3112730</v>
      </c>
      <c r="G473" s="206">
        <f t="shared" si="15"/>
        <v>3016460</v>
      </c>
      <c r="H473" s="258">
        <v>980.16</v>
      </c>
      <c r="I473" s="258">
        <v>771.77</v>
      </c>
      <c r="J473" s="217">
        <v>208.39</v>
      </c>
      <c r="K473" s="217" t="s">
        <v>2785</v>
      </c>
    </row>
    <row r="474" spans="1:11">
      <c r="A474" s="217">
        <v>471</v>
      </c>
      <c r="B474" s="218" t="s">
        <v>3255</v>
      </c>
      <c r="C474" s="217" t="s">
        <v>8</v>
      </c>
      <c r="D474" s="217" t="s">
        <v>24</v>
      </c>
      <c r="E474" s="209">
        <v>3209000</v>
      </c>
      <c r="F474" s="212">
        <f t="shared" si="14"/>
        <v>3112730</v>
      </c>
      <c r="G474" s="206">
        <f t="shared" si="15"/>
        <v>3016460</v>
      </c>
      <c r="H474" s="258">
        <v>980.16</v>
      </c>
      <c r="I474" s="258">
        <v>771.77</v>
      </c>
      <c r="J474" s="217">
        <v>208.39</v>
      </c>
      <c r="K474" s="217" t="s">
        <v>2785</v>
      </c>
    </row>
    <row r="475" spans="1:11">
      <c r="A475" s="217">
        <v>472</v>
      </c>
      <c r="B475" s="218" t="s">
        <v>3256</v>
      </c>
      <c r="C475" s="217" t="s">
        <v>9</v>
      </c>
      <c r="D475" s="217" t="s">
        <v>24</v>
      </c>
      <c r="E475" s="209">
        <v>3203000</v>
      </c>
      <c r="F475" s="212">
        <f t="shared" si="14"/>
        <v>3106910</v>
      </c>
      <c r="G475" s="206">
        <f t="shared" si="15"/>
        <v>3010820</v>
      </c>
      <c r="H475" s="258">
        <v>980.16</v>
      </c>
      <c r="I475" s="258">
        <v>771.77</v>
      </c>
      <c r="J475" s="217">
        <v>208.39</v>
      </c>
      <c r="K475" s="217" t="s">
        <v>2785</v>
      </c>
    </row>
    <row r="476" spans="1:11">
      <c r="A476" s="217">
        <v>473</v>
      </c>
      <c r="B476" s="218" t="s">
        <v>3257</v>
      </c>
      <c r="C476" s="217" t="s">
        <v>9</v>
      </c>
      <c r="D476" s="217" t="s">
        <v>24</v>
      </c>
      <c r="E476" s="209">
        <v>3203000</v>
      </c>
      <c r="F476" s="212">
        <f t="shared" si="14"/>
        <v>3106910</v>
      </c>
      <c r="G476" s="206">
        <f t="shared" si="15"/>
        <v>3010820</v>
      </c>
      <c r="H476" s="258">
        <v>980.16</v>
      </c>
      <c r="I476" s="258">
        <v>771.77</v>
      </c>
      <c r="J476" s="217">
        <v>208.39</v>
      </c>
      <c r="K476" s="217" t="s">
        <v>2785</v>
      </c>
    </row>
    <row r="477" spans="1:11">
      <c r="A477" s="217">
        <v>474</v>
      </c>
      <c r="B477" s="218" t="s">
        <v>3258</v>
      </c>
      <c r="C477" s="217" t="s">
        <v>10</v>
      </c>
      <c r="D477" s="217" t="s">
        <v>24</v>
      </c>
      <c r="E477" s="209">
        <v>3200000</v>
      </c>
      <c r="F477" s="212">
        <f t="shared" si="14"/>
        <v>3104000</v>
      </c>
      <c r="G477" s="206">
        <f t="shared" si="15"/>
        <v>3008000</v>
      </c>
      <c r="H477" s="258">
        <v>980.16</v>
      </c>
      <c r="I477" s="258">
        <v>771.77</v>
      </c>
      <c r="J477" s="217">
        <v>208.39</v>
      </c>
      <c r="K477" s="217" t="s">
        <v>2785</v>
      </c>
    </row>
    <row r="478" spans="1:11">
      <c r="A478" s="217">
        <v>475</v>
      </c>
      <c r="B478" s="218" t="s">
        <v>3259</v>
      </c>
      <c r="C478" s="217" t="s">
        <v>10</v>
      </c>
      <c r="D478" s="217" t="s">
        <v>24</v>
      </c>
      <c r="E478" s="209">
        <v>3200000</v>
      </c>
      <c r="F478" s="212">
        <f t="shared" si="14"/>
        <v>3104000</v>
      </c>
      <c r="G478" s="206">
        <f t="shared" si="15"/>
        <v>3008000</v>
      </c>
      <c r="H478" s="258">
        <v>980.16</v>
      </c>
      <c r="I478" s="258">
        <v>771.77</v>
      </c>
      <c r="J478" s="217">
        <v>208.39</v>
      </c>
      <c r="K478" s="217" t="s">
        <v>2785</v>
      </c>
    </row>
    <row r="479" spans="1:11">
      <c r="A479" s="217">
        <v>476</v>
      </c>
      <c r="B479" s="218" t="s">
        <v>4966</v>
      </c>
      <c r="C479" s="217" t="s">
        <v>11</v>
      </c>
      <c r="D479" s="217" t="s">
        <v>36</v>
      </c>
      <c r="E479" s="209">
        <v>2380000</v>
      </c>
      <c r="F479" s="212">
        <f t="shared" si="14"/>
        <v>2308600</v>
      </c>
      <c r="G479" s="206">
        <f t="shared" si="15"/>
        <v>2237200</v>
      </c>
      <c r="H479" s="258">
        <v>617.30999999999995</v>
      </c>
      <c r="I479" s="258">
        <v>549.82000000000005</v>
      </c>
      <c r="J479" s="217">
        <v>67.489999999999995</v>
      </c>
      <c r="K479" s="217" t="s">
        <v>2780</v>
      </c>
    </row>
    <row r="480" spans="1:11">
      <c r="A480" s="217">
        <v>477</v>
      </c>
      <c r="B480" s="218" t="s">
        <v>4967</v>
      </c>
      <c r="C480" s="217" t="s">
        <v>4</v>
      </c>
      <c r="D480" s="217" t="s">
        <v>36</v>
      </c>
      <c r="E480" s="209">
        <v>2357000</v>
      </c>
      <c r="F480" s="212">
        <f t="shared" si="14"/>
        <v>2286290</v>
      </c>
      <c r="G480" s="206">
        <f t="shared" si="15"/>
        <v>2215580</v>
      </c>
      <c r="H480" s="258">
        <v>617.30999999999995</v>
      </c>
      <c r="I480" s="258">
        <v>549.82000000000005</v>
      </c>
      <c r="J480" s="217">
        <v>67.489999999999995</v>
      </c>
      <c r="K480" s="217" t="s">
        <v>2780</v>
      </c>
    </row>
    <row r="481" spans="1:11">
      <c r="A481" s="217">
        <v>478</v>
      </c>
      <c r="B481" s="218" t="s">
        <v>3260</v>
      </c>
      <c r="C481" s="217" t="s">
        <v>4</v>
      </c>
      <c r="D481" s="217" t="s">
        <v>36</v>
      </c>
      <c r="E481" s="209">
        <v>2323000</v>
      </c>
      <c r="F481" s="212">
        <f t="shared" si="14"/>
        <v>2253310</v>
      </c>
      <c r="G481" s="206">
        <f t="shared" si="15"/>
        <v>2183620</v>
      </c>
      <c r="H481" s="258">
        <v>617.30999999999995</v>
      </c>
      <c r="I481" s="258">
        <v>549.82000000000005</v>
      </c>
      <c r="J481" s="217">
        <v>67.489999999999995</v>
      </c>
      <c r="K481" s="217" t="s">
        <v>2785</v>
      </c>
    </row>
    <row r="482" spans="1:11">
      <c r="A482" s="217">
        <v>479</v>
      </c>
      <c r="B482" s="218" t="s">
        <v>3261</v>
      </c>
      <c r="C482" s="217" t="s">
        <v>4458</v>
      </c>
      <c r="D482" s="217" t="s">
        <v>36</v>
      </c>
      <c r="E482" s="209">
        <v>2319000</v>
      </c>
      <c r="F482" s="212">
        <f t="shared" si="14"/>
        <v>2249430</v>
      </c>
      <c r="G482" s="206">
        <f t="shared" si="15"/>
        <v>2179860</v>
      </c>
      <c r="H482" s="258">
        <v>617.30999999999995</v>
      </c>
      <c r="I482" s="258">
        <v>549.82000000000005</v>
      </c>
      <c r="J482" s="217">
        <v>67.489999999999995</v>
      </c>
      <c r="K482" s="217" t="s">
        <v>2785</v>
      </c>
    </row>
    <row r="483" spans="1:11">
      <c r="A483" s="217">
        <v>480</v>
      </c>
      <c r="B483" s="218" t="s">
        <v>3262</v>
      </c>
      <c r="C483" s="217" t="s">
        <v>8</v>
      </c>
      <c r="D483" s="217" t="s">
        <v>36</v>
      </c>
      <c r="E483" s="209">
        <v>2339000</v>
      </c>
      <c r="F483" s="212">
        <f t="shared" si="14"/>
        <v>2268830</v>
      </c>
      <c r="G483" s="206">
        <f t="shared" si="15"/>
        <v>2198660</v>
      </c>
      <c r="H483" s="258">
        <v>617.30999999999995</v>
      </c>
      <c r="I483" s="258">
        <v>549.82000000000005</v>
      </c>
      <c r="J483" s="217">
        <v>67.489999999999995</v>
      </c>
      <c r="K483" s="217" t="s">
        <v>2780</v>
      </c>
    </row>
    <row r="484" spans="1:11">
      <c r="A484" s="217">
        <v>481</v>
      </c>
      <c r="B484" s="218" t="s">
        <v>3263</v>
      </c>
      <c r="C484" s="217" t="s">
        <v>8</v>
      </c>
      <c r="D484" s="217" t="s">
        <v>36</v>
      </c>
      <c r="E484" s="209">
        <v>2339000</v>
      </c>
      <c r="F484" s="212">
        <f t="shared" si="14"/>
        <v>2268830</v>
      </c>
      <c r="G484" s="206">
        <f t="shared" si="15"/>
        <v>2198660</v>
      </c>
      <c r="H484" s="258">
        <v>617.30999999999995</v>
      </c>
      <c r="I484" s="258">
        <v>549.82000000000005</v>
      </c>
      <c r="J484" s="217">
        <v>67.489999999999995</v>
      </c>
      <c r="K484" s="217" t="s">
        <v>2780</v>
      </c>
    </row>
    <row r="485" spans="1:11">
      <c r="A485" s="217">
        <v>482</v>
      </c>
      <c r="B485" s="218" t="s">
        <v>3264</v>
      </c>
      <c r="C485" s="217" t="s">
        <v>9</v>
      </c>
      <c r="D485" s="217" t="s">
        <v>36</v>
      </c>
      <c r="E485" s="209">
        <v>2335000</v>
      </c>
      <c r="F485" s="212">
        <f t="shared" si="14"/>
        <v>2264950</v>
      </c>
      <c r="G485" s="206">
        <f t="shared" si="15"/>
        <v>2194900</v>
      </c>
      <c r="H485" s="258">
        <v>617.30999999999995</v>
      </c>
      <c r="I485" s="258">
        <v>549.82000000000005</v>
      </c>
      <c r="J485" s="217">
        <v>67.489999999999995</v>
      </c>
      <c r="K485" s="217" t="s">
        <v>2780</v>
      </c>
    </row>
    <row r="486" spans="1:11">
      <c r="A486" s="217">
        <v>483</v>
      </c>
      <c r="B486" s="218" t="s">
        <v>4554</v>
      </c>
      <c r="C486" s="217" t="s">
        <v>10</v>
      </c>
      <c r="D486" s="217" t="s">
        <v>36</v>
      </c>
      <c r="E486" s="209">
        <v>2330000</v>
      </c>
      <c r="F486" s="212">
        <f t="shared" si="14"/>
        <v>2260100</v>
      </c>
      <c r="G486" s="206">
        <f t="shared" si="15"/>
        <v>2190200</v>
      </c>
      <c r="H486" s="258">
        <v>617.30999999999995</v>
      </c>
      <c r="I486" s="258">
        <v>549.82000000000005</v>
      </c>
      <c r="J486" s="217">
        <v>67.489999999999995</v>
      </c>
      <c r="K486" s="217" t="s">
        <v>2780</v>
      </c>
    </row>
    <row r="487" spans="1:11">
      <c r="A487" s="217">
        <v>484</v>
      </c>
      <c r="B487" s="218" t="s">
        <v>3265</v>
      </c>
      <c r="C487" s="217" t="s">
        <v>10</v>
      </c>
      <c r="D487" s="217" t="s">
        <v>36</v>
      </c>
      <c r="E487" s="209">
        <v>2300000</v>
      </c>
      <c r="F487" s="212">
        <f t="shared" si="14"/>
        <v>2231000</v>
      </c>
      <c r="G487" s="206">
        <f t="shared" si="15"/>
        <v>2162000</v>
      </c>
      <c r="H487" s="258">
        <v>617.30999999999995</v>
      </c>
      <c r="I487" s="258">
        <v>549.82000000000005</v>
      </c>
      <c r="J487" s="217">
        <v>67.489999999999995</v>
      </c>
      <c r="K487" s="217" t="s">
        <v>2785</v>
      </c>
    </row>
    <row r="488" spans="1:11">
      <c r="A488" s="217">
        <v>485</v>
      </c>
      <c r="B488" s="218" t="s">
        <v>3266</v>
      </c>
      <c r="C488" s="217" t="s">
        <v>4495</v>
      </c>
      <c r="D488" s="217" t="s">
        <v>35</v>
      </c>
      <c r="E488" s="209">
        <v>1398000</v>
      </c>
      <c r="F488" s="212">
        <f t="shared" si="14"/>
        <v>1356060</v>
      </c>
      <c r="G488" s="206">
        <f t="shared" si="15"/>
        <v>1314120</v>
      </c>
      <c r="H488" s="258">
        <v>401.82</v>
      </c>
      <c r="I488" s="258">
        <v>292.45999999999998</v>
      </c>
      <c r="J488" s="217">
        <v>109.36</v>
      </c>
      <c r="K488" s="217" t="s">
        <v>2792</v>
      </c>
    </row>
    <row r="489" spans="1:11">
      <c r="A489" s="217">
        <v>486</v>
      </c>
      <c r="B489" s="218" t="s">
        <v>3267</v>
      </c>
      <c r="C489" s="217" t="s">
        <v>4495</v>
      </c>
      <c r="D489" s="217" t="s">
        <v>35</v>
      </c>
      <c r="E489" s="209">
        <v>1398000</v>
      </c>
      <c r="F489" s="212">
        <f t="shared" si="14"/>
        <v>1356060</v>
      </c>
      <c r="G489" s="206">
        <f t="shared" si="15"/>
        <v>1314120</v>
      </c>
      <c r="H489" s="258">
        <v>401.82</v>
      </c>
      <c r="I489" s="258">
        <v>292.45999999999998</v>
      </c>
      <c r="J489" s="217">
        <v>109.36</v>
      </c>
      <c r="K489" s="217" t="s">
        <v>2792</v>
      </c>
    </row>
    <row r="490" spans="1:11">
      <c r="A490" s="217">
        <v>487</v>
      </c>
      <c r="B490" s="218" t="s">
        <v>3268</v>
      </c>
      <c r="C490" s="217" t="s">
        <v>4495</v>
      </c>
      <c r="D490" s="217" t="s">
        <v>35</v>
      </c>
      <c r="E490" s="209">
        <v>1398000</v>
      </c>
      <c r="F490" s="212">
        <f t="shared" si="14"/>
        <v>1356060</v>
      </c>
      <c r="G490" s="206">
        <f t="shared" si="15"/>
        <v>1314120</v>
      </c>
      <c r="H490" s="258">
        <v>401.82</v>
      </c>
      <c r="I490" s="258">
        <v>292.45999999999998</v>
      </c>
      <c r="J490" s="217">
        <v>109.36</v>
      </c>
      <c r="K490" s="217" t="s">
        <v>2787</v>
      </c>
    </row>
    <row r="491" spans="1:11">
      <c r="A491" s="217">
        <v>488</v>
      </c>
      <c r="B491" s="218" t="s">
        <v>3269</v>
      </c>
      <c r="C491" s="217" t="s">
        <v>4494</v>
      </c>
      <c r="D491" s="217" t="s">
        <v>35</v>
      </c>
      <c r="E491" s="209">
        <v>1395000</v>
      </c>
      <c r="F491" s="212">
        <f t="shared" si="14"/>
        <v>1353150</v>
      </c>
      <c r="G491" s="206">
        <f t="shared" si="15"/>
        <v>1311300</v>
      </c>
      <c r="H491" s="258">
        <v>401.82</v>
      </c>
      <c r="I491" s="258">
        <v>292.45999999999998</v>
      </c>
      <c r="J491" s="217">
        <v>109.36</v>
      </c>
      <c r="K491" s="217" t="s">
        <v>2792</v>
      </c>
    </row>
    <row r="492" spans="1:11">
      <c r="A492" s="217">
        <v>489</v>
      </c>
      <c r="B492" s="218" t="s">
        <v>3270</v>
      </c>
      <c r="C492" s="217" t="s">
        <v>4494</v>
      </c>
      <c r="D492" s="217" t="s">
        <v>35</v>
      </c>
      <c r="E492" s="209">
        <v>1395000</v>
      </c>
      <c r="F492" s="212">
        <f t="shared" si="14"/>
        <v>1353150</v>
      </c>
      <c r="G492" s="206">
        <f t="shared" si="15"/>
        <v>1311300</v>
      </c>
      <c r="H492" s="258">
        <v>401.82</v>
      </c>
      <c r="I492" s="258">
        <v>292.45999999999998</v>
      </c>
      <c r="J492" s="217">
        <v>109.36</v>
      </c>
      <c r="K492" s="217" t="s">
        <v>2792</v>
      </c>
    </row>
    <row r="493" spans="1:11">
      <c r="A493" s="217">
        <v>490</v>
      </c>
      <c r="B493" s="218" t="s">
        <v>3271</v>
      </c>
      <c r="C493" s="217" t="s">
        <v>4494</v>
      </c>
      <c r="D493" s="217" t="s">
        <v>35</v>
      </c>
      <c r="E493" s="209">
        <v>1395000</v>
      </c>
      <c r="F493" s="212">
        <f t="shared" si="14"/>
        <v>1353150</v>
      </c>
      <c r="G493" s="206">
        <f t="shared" si="15"/>
        <v>1311300</v>
      </c>
      <c r="H493" s="258">
        <v>401.82</v>
      </c>
      <c r="I493" s="258">
        <v>292.45999999999998</v>
      </c>
      <c r="J493" s="217">
        <v>109.36</v>
      </c>
      <c r="K493" s="217" t="s">
        <v>2787</v>
      </c>
    </row>
    <row r="494" spans="1:11">
      <c r="A494" s="217">
        <v>491</v>
      </c>
      <c r="B494" s="218" t="s">
        <v>3272</v>
      </c>
      <c r="C494" s="217" t="s">
        <v>4494</v>
      </c>
      <c r="D494" s="217" t="s">
        <v>35</v>
      </c>
      <c r="E494" s="209">
        <v>1395000</v>
      </c>
      <c r="F494" s="212">
        <f t="shared" si="14"/>
        <v>1353150</v>
      </c>
      <c r="G494" s="206">
        <f t="shared" si="15"/>
        <v>1311300</v>
      </c>
      <c r="H494" s="258">
        <v>401.82</v>
      </c>
      <c r="I494" s="258">
        <v>292.45999999999998</v>
      </c>
      <c r="J494" s="217">
        <v>109.36</v>
      </c>
      <c r="K494" s="217" t="s">
        <v>2787</v>
      </c>
    </row>
    <row r="495" spans="1:11">
      <c r="A495" s="217">
        <v>492</v>
      </c>
      <c r="B495" s="218" t="s">
        <v>3273</v>
      </c>
      <c r="C495" s="217" t="s">
        <v>33</v>
      </c>
      <c r="D495" s="217" t="s">
        <v>35</v>
      </c>
      <c r="E495" s="209">
        <v>1392000</v>
      </c>
      <c r="F495" s="212">
        <f t="shared" si="14"/>
        <v>1350240</v>
      </c>
      <c r="G495" s="206">
        <f t="shared" si="15"/>
        <v>1308480</v>
      </c>
      <c r="H495" s="258">
        <v>401.82</v>
      </c>
      <c r="I495" s="258">
        <v>292.45999999999998</v>
      </c>
      <c r="J495" s="217">
        <v>109.36</v>
      </c>
      <c r="K495" s="217" t="s">
        <v>2792</v>
      </c>
    </row>
    <row r="496" spans="1:11">
      <c r="A496" s="217">
        <v>493</v>
      </c>
      <c r="B496" s="218" t="s">
        <v>3274</v>
      </c>
      <c r="C496" s="217" t="s">
        <v>33</v>
      </c>
      <c r="D496" s="217" t="s">
        <v>35</v>
      </c>
      <c r="E496" s="209">
        <v>1392000</v>
      </c>
      <c r="F496" s="212">
        <f t="shared" si="14"/>
        <v>1350240</v>
      </c>
      <c r="G496" s="206">
        <f t="shared" si="15"/>
        <v>1308480</v>
      </c>
      <c r="H496" s="258">
        <v>401.82</v>
      </c>
      <c r="I496" s="258">
        <v>292.45999999999998</v>
      </c>
      <c r="J496" s="217">
        <v>109.36</v>
      </c>
      <c r="K496" s="217" t="s">
        <v>2792</v>
      </c>
    </row>
    <row r="497" spans="1:11">
      <c r="A497" s="217">
        <v>494</v>
      </c>
      <c r="B497" s="218" t="s">
        <v>3275</v>
      </c>
      <c r="C497" s="217" t="s">
        <v>33</v>
      </c>
      <c r="D497" s="217" t="s">
        <v>35</v>
      </c>
      <c r="E497" s="209">
        <v>1392000</v>
      </c>
      <c r="F497" s="212">
        <f t="shared" si="14"/>
        <v>1350240</v>
      </c>
      <c r="G497" s="206">
        <f t="shared" si="15"/>
        <v>1308480</v>
      </c>
      <c r="H497" s="258">
        <v>401.82</v>
      </c>
      <c r="I497" s="258">
        <v>292.45999999999998</v>
      </c>
      <c r="J497" s="217">
        <v>109.36</v>
      </c>
      <c r="K497" s="217" t="s">
        <v>2787</v>
      </c>
    </row>
    <row r="498" spans="1:11">
      <c r="A498" s="217">
        <v>495</v>
      </c>
      <c r="B498" s="218" t="s">
        <v>3276</v>
      </c>
      <c r="C498" s="217" t="s">
        <v>33</v>
      </c>
      <c r="D498" s="217" t="s">
        <v>35</v>
      </c>
      <c r="E498" s="209">
        <v>1392000</v>
      </c>
      <c r="F498" s="212">
        <f t="shared" si="14"/>
        <v>1350240</v>
      </c>
      <c r="G498" s="206">
        <f t="shared" si="15"/>
        <v>1308480</v>
      </c>
      <c r="H498" s="258">
        <v>401.82</v>
      </c>
      <c r="I498" s="258">
        <v>292.45999999999998</v>
      </c>
      <c r="J498" s="217">
        <v>109.36</v>
      </c>
      <c r="K498" s="217" t="s">
        <v>2787</v>
      </c>
    </row>
    <row r="499" spans="1:11">
      <c r="A499" s="217">
        <v>496</v>
      </c>
      <c r="B499" s="218" t="s">
        <v>3277</v>
      </c>
      <c r="C499" s="217" t="s">
        <v>34</v>
      </c>
      <c r="D499" s="217" t="s">
        <v>35</v>
      </c>
      <c r="E499" s="209">
        <v>1393000</v>
      </c>
      <c r="F499" s="212">
        <f t="shared" si="14"/>
        <v>1351210</v>
      </c>
      <c r="G499" s="206">
        <f t="shared" si="15"/>
        <v>1309420</v>
      </c>
      <c r="H499" s="258">
        <v>361.13</v>
      </c>
      <c r="I499" s="258">
        <v>292.45999999999998</v>
      </c>
      <c r="J499" s="217">
        <v>68.67</v>
      </c>
      <c r="K499" s="217" t="s">
        <v>2792</v>
      </c>
    </row>
    <row r="500" spans="1:11">
      <c r="A500" s="217">
        <v>497</v>
      </c>
      <c r="B500" s="218" t="s">
        <v>3278</v>
      </c>
      <c r="C500" s="217" t="s">
        <v>34</v>
      </c>
      <c r="D500" s="217" t="s">
        <v>35</v>
      </c>
      <c r="E500" s="209">
        <v>1393000</v>
      </c>
      <c r="F500" s="212">
        <f t="shared" si="14"/>
        <v>1351210</v>
      </c>
      <c r="G500" s="206">
        <f t="shared" si="15"/>
        <v>1309420</v>
      </c>
      <c r="H500" s="258">
        <v>361.13</v>
      </c>
      <c r="I500" s="258">
        <v>292.45999999999998</v>
      </c>
      <c r="J500" s="217">
        <v>68.67</v>
      </c>
      <c r="K500" s="217" t="s">
        <v>2787</v>
      </c>
    </row>
    <row r="501" spans="1:11">
      <c r="A501" s="217">
        <v>498</v>
      </c>
      <c r="B501" s="218" t="s">
        <v>3279</v>
      </c>
      <c r="C501" s="217" t="s">
        <v>34</v>
      </c>
      <c r="D501" s="217" t="s">
        <v>35</v>
      </c>
      <c r="E501" s="209">
        <v>1393000</v>
      </c>
      <c r="F501" s="212">
        <f t="shared" si="14"/>
        <v>1351210</v>
      </c>
      <c r="G501" s="206">
        <f t="shared" si="15"/>
        <v>1309420</v>
      </c>
      <c r="H501" s="258">
        <v>361.13</v>
      </c>
      <c r="I501" s="258">
        <v>292.45999999999998</v>
      </c>
      <c r="J501" s="217">
        <v>68.67</v>
      </c>
      <c r="K501" s="217" t="s">
        <v>2787</v>
      </c>
    </row>
    <row r="502" spans="1:11">
      <c r="A502" s="217">
        <v>499</v>
      </c>
      <c r="B502" s="218" t="s">
        <v>3280</v>
      </c>
      <c r="C502" s="217" t="s">
        <v>34</v>
      </c>
      <c r="D502" s="217" t="s">
        <v>35</v>
      </c>
      <c r="E502" s="209">
        <v>1390000</v>
      </c>
      <c r="F502" s="212">
        <f t="shared" si="14"/>
        <v>1348300</v>
      </c>
      <c r="G502" s="206">
        <f t="shared" si="15"/>
        <v>1306600</v>
      </c>
      <c r="H502" s="258">
        <v>401.82</v>
      </c>
      <c r="I502" s="258">
        <v>292.45999999999998</v>
      </c>
      <c r="J502" s="217">
        <v>109.36</v>
      </c>
      <c r="K502" s="217" t="s">
        <v>2792</v>
      </c>
    </row>
    <row r="503" spans="1:11">
      <c r="A503" s="217">
        <v>500</v>
      </c>
      <c r="B503" s="218" t="s">
        <v>3281</v>
      </c>
      <c r="C503" s="217" t="s">
        <v>34</v>
      </c>
      <c r="D503" s="217" t="s">
        <v>35</v>
      </c>
      <c r="E503" s="209">
        <v>1390000</v>
      </c>
      <c r="F503" s="212">
        <f t="shared" si="14"/>
        <v>1348300</v>
      </c>
      <c r="G503" s="206">
        <f t="shared" si="15"/>
        <v>1306600</v>
      </c>
      <c r="H503" s="258">
        <v>401.82</v>
      </c>
      <c r="I503" s="258">
        <v>292.45999999999998</v>
      </c>
      <c r="J503" s="217">
        <v>109.36</v>
      </c>
      <c r="K503" s="217" t="s">
        <v>2792</v>
      </c>
    </row>
    <row r="504" spans="1:11">
      <c r="A504" s="217">
        <v>501</v>
      </c>
      <c r="B504" s="218" t="s">
        <v>3282</v>
      </c>
      <c r="C504" s="217" t="s">
        <v>34</v>
      </c>
      <c r="D504" s="217" t="s">
        <v>35</v>
      </c>
      <c r="E504" s="209">
        <v>1390000</v>
      </c>
      <c r="F504" s="212">
        <f t="shared" si="14"/>
        <v>1348300</v>
      </c>
      <c r="G504" s="206">
        <f t="shared" si="15"/>
        <v>1306600</v>
      </c>
      <c r="H504" s="258">
        <v>401.82</v>
      </c>
      <c r="I504" s="258">
        <v>292.45999999999998</v>
      </c>
      <c r="J504" s="217">
        <v>109.36</v>
      </c>
      <c r="K504" s="217" t="s">
        <v>2787</v>
      </c>
    </row>
    <row r="505" spans="1:11">
      <c r="A505" s="217">
        <v>502</v>
      </c>
      <c r="B505" s="218" t="s">
        <v>3283</v>
      </c>
      <c r="C505" s="217" t="s">
        <v>34</v>
      </c>
      <c r="D505" s="217" t="s">
        <v>35</v>
      </c>
      <c r="E505" s="209">
        <v>1390000</v>
      </c>
      <c r="F505" s="212">
        <f t="shared" si="14"/>
        <v>1348300</v>
      </c>
      <c r="G505" s="206">
        <f t="shared" si="15"/>
        <v>1306600</v>
      </c>
      <c r="H505" s="258">
        <v>401.82</v>
      </c>
      <c r="I505" s="258">
        <v>292.45999999999998</v>
      </c>
      <c r="J505" s="217">
        <v>109.36</v>
      </c>
      <c r="K505" s="217" t="s">
        <v>2787</v>
      </c>
    </row>
    <row r="506" spans="1:11">
      <c r="A506" s="217">
        <v>503</v>
      </c>
      <c r="B506" s="218" t="s">
        <v>3284</v>
      </c>
      <c r="C506" s="217" t="s">
        <v>34</v>
      </c>
      <c r="D506" s="217" t="s">
        <v>35</v>
      </c>
      <c r="E506" s="209">
        <v>1388000</v>
      </c>
      <c r="F506" s="212">
        <f t="shared" si="14"/>
        <v>1346360</v>
      </c>
      <c r="G506" s="206">
        <f t="shared" si="15"/>
        <v>1304720</v>
      </c>
      <c r="H506" s="258">
        <v>395.68</v>
      </c>
      <c r="I506" s="258">
        <v>292.45999999999998</v>
      </c>
      <c r="J506" s="217">
        <v>103.23</v>
      </c>
      <c r="K506" s="217" t="s">
        <v>2792</v>
      </c>
    </row>
    <row r="507" spans="1:11">
      <c r="A507" s="217">
        <v>504</v>
      </c>
      <c r="B507" s="218" t="s">
        <v>3285</v>
      </c>
      <c r="C507" s="217" t="s">
        <v>34</v>
      </c>
      <c r="D507" s="217" t="s">
        <v>35</v>
      </c>
      <c r="E507" s="209">
        <v>1388000</v>
      </c>
      <c r="F507" s="212">
        <f t="shared" si="14"/>
        <v>1346360</v>
      </c>
      <c r="G507" s="206">
        <f t="shared" si="15"/>
        <v>1304720</v>
      </c>
      <c r="H507" s="258">
        <v>395.68</v>
      </c>
      <c r="I507" s="258">
        <v>292.45999999999998</v>
      </c>
      <c r="J507" s="217">
        <v>103.23</v>
      </c>
      <c r="K507" s="217" t="s">
        <v>2792</v>
      </c>
    </row>
    <row r="508" spans="1:11">
      <c r="A508" s="217">
        <v>505</v>
      </c>
      <c r="B508" s="218" t="s">
        <v>3286</v>
      </c>
      <c r="C508" s="217" t="s">
        <v>34</v>
      </c>
      <c r="D508" s="217" t="s">
        <v>35</v>
      </c>
      <c r="E508" s="209">
        <v>1388000</v>
      </c>
      <c r="F508" s="212">
        <f t="shared" si="14"/>
        <v>1346360</v>
      </c>
      <c r="G508" s="206">
        <f t="shared" si="15"/>
        <v>1304720</v>
      </c>
      <c r="H508" s="258">
        <v>395.68</v>
      </c>
      <c r="I508" s="258">
        <v>292.45999999999998</v>
      </c>
      <c r="J508" s="217">
        <v>103.23</v>
      </c>
      <c r="K508" s="217" t="s">
        <v>2787</v>
      </c>
    </row>
    <row r="509" spans="1:11">
      <c r="A509" s="217">
        <v>506</v>
      </c>
      <c r="B509" s="218" t="s">
        <v>3287</v>
      </c>
      <c r="C509" s="217" t="s">
        <v>34</v>
      </c>
      <c r="D509" s="217" t="s">
        <v>35</v>
      </c>
      <c r="E509" s="209">
        <v>1388000</v>
      </c>
      <c r="F509" s="212">
        <f t="shared" si="14"/>
        <v>1346360</v>
      </c>
      <c r="G509" s="206">
        <f t="shared" si="15"/>
        <v>1304720</v>
      </c>
      <c r="H509" s="258">
        <v>395.68</v>
      </c>
      <c r="I509" s="258">
        <v>292.45999999999998</v>
      </c>
      <c r="J509" s="217">
        <v>103.23</v>
      </c>
      <c r="K509" s="217" t="s">
        <v>2787</v>
      </c>
    </row>
    <row r="510" spans="1:11">
      <c r="A510" s="217">
        <v>507</v>
      </c>
      <c r="B510" s="218" t="s">
        <v>3288</v>
      </c>
      <c r="C510" s="217" t="s">
        <v>34</v>
      </c>
      <c r="D510" s="217" t="s">
        <v>35</v>
      </c>
      <c r="E510" s="209">
        <v>1387000</v>
      </c>
      <c r="F510" s="212">
        <f t="shared" si="14"/>
        <v>1345390</v>
      </c>
      <c r="G510" s="206">
        <f t="shared" si="15"/>
        <v>1303780</v>
      </c>
      <c r="H510" s="258">
        <v>386.85</v>
      </c>
      <c r="I510" s="258">
        <v>292.45999999999998</v>
      </c>
      <c r="J510" s="217">
        <v>94.4</v>
      </c>
      <c r="K510" s="217" t="s">
        <v>2792</v>
      </c>
    </row>
    <row r="511" spans="1:11">
      <c r="A511" s="217">
        <v>508</v>
      </c>
      <c r="B511" s="218" t="s">
        <v>3289</v>
      </c>
      <c r="C511" s="217" t="s">
        <v>34</v>
      </c>
      <c r="D511" s="217" t="s">
        <v>35</v>
      </c>
      <c r="E511" s="209">
        <v>1387000</v>
      </c>
      <c r="F511" s="212">
        <f t="shared" si="14"/>
        <v>1345390</v>
      </c>
      <c r="G511" s="206">
        <f t="shared" si="15"/>
        <v>1303780</v>
      </c>
      <c r="H511" s="258">
        <v>386.85</v>
      </c>
      <c r="I511" s="258">
        <v>292.45999999999998</v>
      </c>
      <c r="J511" s="217">
        <v>94.4</v>
      </c>
      <c r="K511" s="217" t="s">
        <v>2787</v>
      </c>
    </row>
    <row r="512" spans="1:11">
      <c r="A512" s="217">
        <v>509</v>
      </c>
      <c r="B512" s="218" t="s">
        <v>3290</v>
      </c>
      <c r="C512" s="217" t="s">
        <v>34</v>
      </c>
      <c r="D512" s="217" t="s">
        <v>35</v>
      </c>
      <c r="E512" s="209">
        <v>1387000</v>
      </c>
      <c r="F512" s="212">
        <f t="shared" si="14"/>
        <v>1345390</v>
      </c>
      <c r="G512" s="206">
        <f t="shared" si="15"/>
        <v>1303780</v>
      </c>
      <c r="H512" s="258">
        <v>386.85</v>
      </c>
      <c r="I512" s="258">
        <v>292.45999999999998</v>
      </c>
      <c r="J512" s="217">
        <v>94.4</v>
      </c>
      <c r="K512" s="217" t="s">
        <v>2787</v>
      </c>
    </row>
    <row r="513" spans="1:11">
      <c r="A513" s="217">
        <v>510</v>
      </c>
      <c r="B513" s="218" t="s">
        <v>3291</v>
      </c>
      <c r="C513" s="217" t="s">
        <v>4461</v>
      </c>
      <c r="D513" s="217" t="s">
        <v>35</v>
      </c>
      <c r="E513" s="209">
        <v>1391000</v>
      </c>
      <c r="F513" s="212">
        <f t="shared" si="14"/>
        <v>1349270</v>
      </c>
      <c r="G513" s="206">
        <f t="shared" si="15"/>
        <v>1307540</v>
      </c>
      <c r="H513" s="258">
        <v>361.13</v>
      </c>
      <c r="I513" s="258">
        <v>292.45999999999998</v>
      </c>
      <c r="J513" s="217">
        <v>68.67</v>
      </c>
      <c r="K513" s="217" t="s">
        <v>2792</v>
      </c>
    </row>
    <row r="514" spans="1:11">
      <c r="A514" s="217">
        <v>511</v>
      </c>
      <c r="B514" s="218" t="s">
        <v>3292</v>
      </c>
      <c r="C514" s="217" t="s">
        <v>4461</v>
      </c>
      <c r="D514" s="217" t="s">
        <v>35</v>
      </c>
      <c r="E514" s="209">
        <v>1391000</v>
      </c>
      <c r="F514" s="212">
        <f t="shared" si="14"/>
        <v>1349270</v>
      </c>
      <c r="G514" s="206">
        <f t="shared" si="15"/>
        <v>1307540</v>
      </c>
      <c r="H514" s="258">
        <v>361.13</v>
      </c>
      <c r="I514" s="258">
        <v>292.45999999999998</v>
      </c>
      <c r="J514" s="217">
        <v>68.67</v>
      </c>
      <c r="K514" s="217" t="s">
        <v>2792</v>
      </c>
    </row>
    <row r="515" spans="1:11">
      <c r="A515" s="217">
        <v>512</v>
      </c>
      <c r="B515" s="218" t="s">
        <v>3293</v>
      </c>
      <c r="C515" s="217" t="s">
        <v>4461</v>
      </c>
      <c r="D515" s="217" t="s">
        <v>35</v>
      </c>
      <c r="E515" s="209">
        <v>1391000</v>
      </c>
      <c r="F515" s="212">
        <f t="shared" ref="F515:F578" si="16">E515*0.97</f>
        <v>1349270</v>
      </c>
      <c r="G515" s="206">
        <f t="shared" ref="G515:G578" si="17">E515*0.94</f>
        <v>1307540</v>
      </c>
      <c r="H515" s="258">
        <v>361.13</v>
      </c>
      <c r="I515" s="258">
        <v>292.45999999999998</v>
      </c>
      <c r="J515" s="217">
        <v>68.67</v>
      </c>
      <c r="K515" s="217" t="s">
        <v>2787</v>
      </c>
    </row>
    <row r="516" spans="1:11">
      <c r="A516" s="217">
        <v>513</v>
      </c>
      <c r="B516" s="218" t="s">
        <v>3294</v>
      </c>
      <c r="C516" s="217" t="s">
        <v>4461</v>
      </c>
      <c r="D516" s="217" t="s">
        <v>35</v>
      </c>
      <c r="E516" s="209">
        <v>1391000</v>
      </c>
      <c r="F516" s="212">
        <f t="shared" si="16"/>
        <v>1349270</v>
      </c>
      <c r="G516" s="206">
        <f t="shared" si="17"/>
        <v>1307540</v>
      </c>
      <c r="H516" s="258">
        <v>361.13</v>
      </c>
      <c r="I516" s="258">
        <v>292.45999999999998</v>
      </c>
      <c r="J516" s="217">
        <v>68.67</v>
      </c>
      <c r="K516" s="217" t="s">
        <v>2787</v>
      </c>
    </row>
    <row r="517" spans="1:11">
      <c r="A517" s="217">
        <v>514</v>
      </c>
      <c r="B517" s="218" t="s">
        <v>3295</v>
      </c>
      <c r="C517" s="217" t="s">
        <v>4461</v>
      </c>
      <c r="D517" s="217" t="s">
        <v>35</v>
      </c>
      <c r="E517" s="209">
        <v>1387000</v>
      </c>
      <c r="F517" s="212">
        <f t="shared" si="16"/>
        <v>1345390</v>
      </c>
      <c r="G517" s="206">
        <f t="shared" si="17"/>
        <v>1303780</v>
      </c>
      <c r="H517" s="258">
        <v>401.82</v>
      </c>
      <c r="I517" s="258">
        <v>292.45999999999998</v>
      </c>
      <c r="J517" s="217">
        <v>109.36</v>
      </c>
      <c r="K517" s="217" t="s">
        <v>2792</v>
      </c>
    </row>
    <row r="518" spans="1:11">
      <c r="A518" s="217">
        <v>515</v>
      </c>
      <c r="B518" s="218" t="s">
        <v>3296</v>
      </c>
      <c r="C518" s="217" t="s">
        <v>4461</v>
      </c>
      <c r="D518" s="217" t="s">
        <v>35</v>
      </c>
      <c r="E518" s="209">
        <v>1387000</v>
      </c>
      <c r="F518" s="212">
        <f t="shared" si="16"/>
        <v>1345390</v>
      </c>
      <c r="G518" s="206">
        <f t="shared" si="17"/>
        <v>1303780</v>
      </c>
      <c r="H518" s="258">
        <v>401.82</v>
      </c>
      <c r="I518" s="258">
        <v>292.45999999999998</v>
      </c>
      <c r="J518" s="217">
        <v>109.36</v>
      </c>
      <c r="K518" s="217" t="s">
        <v>2792</v>
      </c>
    </row>
    <row r="519" spans="1:11">
      <c r="A519" s="217">
        <v>516</v>
      </c>
      <c r="B519" s="218" t="s">
        <v>3297</v>
      </c>
      <c r="C519" s="217" t="s">
        <v>4461</v>
      </c>
      <c r="D519" s="217" t="s">
        <v>35</v>
      </c>
      <c r="E519" s="209">
        <v>1387000</v>
      </c>
      <c r="F519" s="212">
        <f t="shared" si="16"/>
        <v>1345390</v>
      </c>
      <c r="G519" s="206">
        <f t="shared" si="17"/>
        <v>1303780</v>
      </c>
      <c r="H519" s="258">
        <v>401.82</v>
      </c>
      <c r="I519" s="258">
        <v>292.45999999999998</v>
      </c>
      <c r="J519" s="217">
        <v>109.36</v>
      </c>
      <c r="K519" s="217" t="s">
        <v>2787</v>
      </c>
    </row>
    <row r="520" spans="1:11">
      <c r="A520" s="217">
        <v>517</v>
      </c>
      <c r="B520" s="218" t="s">
        <v>3298</v>
      </c>
      <c r="C520" s="217" t="s">
        <v>4461</v>
      </c>
      <c r="D520" s="217" t="s">
        <v>35</v>
      </c>
      <c r="E520" s="209">
        <v>1387000</v>
      </c>
      <c r="F520" s="212">
        <f t="shared" si="16"/>
        <v>1345390</v>
      </c>
      <c r="G520" s="206">
        <f t="shared" si="17"/>
        <v>1303780</v>
      </c>
      <c r="H520" s="258">
        <v>401.82</v>
      </c>
      <c r="I520" s="258">
        <v>292.45999999999998</v>
      </c>
      <c r="J520" s="217">
        <v>109.36</v>
      </c>
      <c r="K520" s="217" t="s">
        <v>2787</v>
      </c>
    </row>
    <row r="521" spans="1:11">
      <c r="A521" s="217">
        <v>518</v>
      </c>
      <c r="B521" s="218" t="s">
        <v>4555</v>
      </c>
      <c r="C521" s="217" t="s">
        <v>34</v>
      </c>
      <c r="D521" s="217" t="s">
        <v>35</v>
      </c>
      <c r="E521" s="209">
        <v>1385000</v>
      </c>
      <c r="F521" s="212">
        <f t="shared" si="16"/>
        <v>1343450</v>
      </c>
      <c r="G521" s="206">
        <f t="shared" si="17"/>
        <v>1301900</v>
      </c>
      <c r="H521" s="258">
        <v>341.11</v>
      </c>
      <c r="I521" s="258">
        <v>293.95999999999998</v>
      </c>
      <c r="J521" s="217">
        <v>47.15</v>
      </c>
      <c r="K521" s="217" t="s">
        <v>2792</v>
      </c>
    </row>
    <row r="522" spans="1:11">
      <c r="A522" s="217">
        <v>519</v>
      </c>
      <c r="B522" s="218" t="s">
        <v>4556</v>
      </c>
      <c r="C522" s="217" t="s">
        <v>34</v>
      </c>
      <c r="D522" s="217" t="s">
        <v>35</v>
      </c>
      <c r="E522" s="209">
        <v>1384000</v>
      </c>
      <c r="F522" s="212">
        <f t="shared" si="16"/>
        <v>1342480</v>
      </c>
      <c r="G522" s="206">
        <f t="shared" si="17"/>
        <v>1300960</v>
      </c>
      <c r="H522" s="258">
        <v>375.34</v>
      </c>
      <c r="I522" s="258">
        <v>292.45999999999998</v>
      </c>
      <c r="J522" s="217">
        <v>82.88</v>
      </c>
      <c r="K522" s="217" t="s">
        <v>2792</v>
      </c>
    </row>
    <row r="523" spans="1:11">
      <c r="A523" s="217">
        <v>520</v>
      </c>
      <c r="B523" s="218" t="s">
        <v>4557</v>
      </c>
      <c r="C523" s="217" t="s">
        <v>34</v>
      </c>
      <c r="D523" s="217" t="s">
        <v>35</v>
      </c>
      <c r="E523" s="209">
        <v>1384000</v>
      </c>
      <c r="F523" s="212">
        <f t="shared" si="16"/>
        <v>1342480</v>
      </c>
      <c r="G523" s="206">
        <f t="shared" si="17"/>
        <v>1300960</v>
      </c>
      <c r="H523" s="258">
        <v>375.34</v>
      </c>
      <c r="I523" s="258">
        <v>292.45999999999998</v>
      </c>
      <c r="J523" s="217">
        <v>82.88</v>
      </c>
      <c r="K523" s="217" t="s">
        <v>2792</v>
      </c>
    </row>
    <row r="524" spans="1:11">
      <c r="A524" s="217">
        <v>521</v>
      </c>
      <c r="B524" s="218" t="s">
        <v>4558</v>
      </c>
      <c r="C524" s="217" t="s">
        <v>34</v>
      </c>
      <c r="D524" s="217" t="s">
        <v>35</v>
      </c>
      <c r="E524" s="209">
        <v>1385000</v>
      </c>
      <c r="F524" s="212">
        <f t="shared" si="16"/>
        <v>1343450</v>
      </c>
      <c r="G524" s="206">
        <f t="shared" si="17"/>
        <v>1301900</v>
      </c>
      <c r="H524" s="258">
        <v>341.11</v>
      </c>
      <c r="I524" s="258">
        <v>293.95999999999998</v>
      </c>
      <c r="J524" s="217">
        <v>47.15</v>
      </c>
      <c r="K524" s="217" t="s">
        <v>2792</v>
      </c>
    </row>
    <row r="525" spans="1:11">
      <c r="A525" s="217">
        <v>522</v>
      </c>
      <c r="B525" s="218" t="s">
        <v>3299</v>
      </c>
      <c r="C525" s="217" t="s">
        <v>34</v>
      </c>
      <c r="D525" s="217" t="s">
        <v>35</v>
      </c>
      <c r="E525" s="209">
        <v>1385000</v>
      </c>
      <c r="F525" s="212">
        <f t="shared" si="16"/>
        <v>1343450</v>
      </c>
      <c r="G525" s="206">
        <f t="shared" si="17"/>
        <v>1301900</v>
      </c>
      <c r="H525" s="258">
        <v>341.11</v>
      </c>
      <c r="I525" s="258">
        <v>293.95999999999998</v>
      </c>
      <c r="J525" s="217">
        <v>47.15</v>
      </c>
      <c r="K525" s="217" t="s">
        <v>2787</v>
      </c>
    </row>
    <row r="526" spans="1:11">
      <c r="A526" s="217">
        <v>523</v>
      </c>
      <c r="B526" s="218" t="s">
        <v>3300</v>
      </c>
      <c r="C526" s="217" t="s">
        <v>34</v>
      </c>
      <c r="D526" s="217" t="s">
        <v>35</v>
      </c>
      <c r="E526" s="209">
        <v>1384000</v>
      </c>
      <c r="F526" s="212">
        <f t="shared" si="16"/>
        <v>1342480</v>
      </c>
      <c r="G526" s="206">
        <f t="shared" si="17"/>
        <v>1300960</v>
      </c>
      <c r="H526" s="258">
        <v>375.34</v>
      </c>
      <c r="I526" s="258">
        <v>292.45999999999998</v>
      </c>
      <c r="J526" s="217">
        <v>82.88</v>
      </c>
      <c r="K526" s="217" t="s">
        <v>2787</v>
      </c>
    </row>
    <row r="527" spans="1:11">
      <c r="A527" s="217">
        <v>524</v>
      </c>
      <c r="B527" s="218" t="s">
        <v>3301</v>
      </c>
      <c r="C527" s="217" t="s">
        <v>34</v>
      </c>
      <c r="D527" s="217" t="s">
        <v>35</v>
      </c>
      <c r="E527" s="209">
        <v>1384000</v>
      </c>
      <c r="F527" s="212">
        <f t="shared" si="16"/>
        <v>1342480</v>
      </c>
      <c r="G527" s="206">
        <f t="shared" si="17"/>
        <v>1300960</v>
      </c>
      <c r="H527" s="258">
        <v>375.34</v>
      </c>
      <c r="I527" s="258">
        <v>292.45999999999998</v>
      </c>
      <c r="J527" s="217">
        <v>82.88</v>
      </c>
      <c r="K527" s="217" t="s">
        <v>2787</v>
      </c>
    </row>
    <row r="528" spans="1:11">
      <c r="A528" s="217">
        <v>525</v>
      </c>
      <c r="B528" s="218" t="s">
        <v>3302</v>
      </c>
      <c r="C528" s="217" t="s">
        <v>34</v>
      </c>
      <c r="D528" s="217" t="s">
        <v>35</v>
      </c>
      <c r="E528" s="209">
        <v>1385000</v>
      </c>
      <c r="F528" s="212">
        <f t="shared" si="16"/>
        <v>1343450</v>
      </c>
      <c r="G528" s="206">
        <f t="shared" si="17"/>
        <v>1301900</v>
      </c>
      <c r="H528" s="258">
        <v>341.11</v>
      </c>
      <c r="I528" s="258">
        <v>293.95999999999998</v>
      </c>
      <c r="J528" s="217">
        <v>47.15</v>
      </c>
      <c r="K528" s="217" t="s">
        <v>2787</v>
      </c>
    </row>
    <row r="529" spans="1:11">
      <c r="A529" s="217">
        <v>526</v>
      </c>
      <c r="B529" s="218" t="s">
        <v>3303</v>
      </c>
      <c r="C529" s="217" t="s">
        <v>4461</v>
      </c>
      <c r="D529" s="217" t="s">
        <v>35</v>
      </c>
      <c r="E529" s="209">
        <v>1385000</v>
      </c>
      <c r="F529" s="212">
        <f t="shared" si="16"/>
        <v>1343450</v>
      </c>
      <c r="G529" s="206">
        <f t="shared" si="17"/>
        <v>1301900</v>
      </c>
      <c r="H529" s="258">
        <v>395.68</v>
      </c>
      <c r="I529" s="258">
        <v>292.45999999999998</v>
      </c>
      <c r="J529" s="217">
        <v>103.23</v>
      </c>
      <c r="K529" s="217" t="s">
        <v>2792</v>
      </c>
    </row>
    <row r="530" spans="1:11">
      <c r="A530" s="217">
        <v>527</v>
      </c>
      <c r="B530" s="218" t="s">
        <v>3304</v>
      </c>
      <c r="C530" s="217" t="s">
        <v>4461</v>
      </c>
      <c r="D530" s="217" t="s">
        <v>35</v>
      </c>
      <c r="E530" s="209">
        <v>1385000</v>
      </c>
      <c r="F530" s="212">
        <f t="shared" si="16"/>
        <v>1343450</v>
      </c>
      <c r="G530" s="206">
        <f t="shared" si="17"/>
        <v>1301900</v>
      </c>
      <c r="H530" s="258">
        <v>395.68</v>
      </c>
      <c r="I530" s="258">
        <v>292.45999999999998</v>
      </c>
      <c r="J530" s="217">
        <v>103.23</v>
      </c>
      <c r="K530" s="217" t="s">
        <v>2792</v>
      </c>
    </row>
    <row r="531" spans="1:11">
      <c r="A531" s="217">
        <v>528</v>
      </c>
      <c r="B531" s="218" t="s">
        <v>3305</v>
      </c>
      <c r="C531" s="217" t="s">
        <v>4461</v>
      </c>
      <c r="D531" s="217" t="s">
        <v>35</v>
      </c>
      <c r="E531" s="209">
        <v>1385000</v>
      </c>
      <c r="F531" s="212">
        <f t="shared" si="16"/>
        <v>1343450</v>
      </c>
      <c r="G531" s="206">
        <f t="shared" si="17"/>
        <v>1301900</v>
      </c>
      <c r="H531" s="258">
        <v>395.68</v>
      </c>
      <c r="I531" s="258">
        <v>292.45999999999998</v>
      </c>
      <c r="J531" s="217">
        <v>103.23</v>
      </c>
      <c r="K531" s="217" t="s">
        <v>2787</v>
      </c>
    </row>
    <row r="532" spans="1:11">
      <c r="A532" s="217">
        <v>529</v>
      </c>
      <c r="B532" s="218" t="s">
        <v>3306</v>
      </c>
      <c r="C532" s="217" t="s">
        <v>4461</v>
      </c>
      <c r="D532" s="217" t="s">
        <v>35</v>
      </c>
      <c r="E532" s="209">
        <v>1385000</v>
      </c>
      <c r="F532" s="212">
        <f t="shared" si="16"/>
        <v>1343450</v>
      </c>
      <c r="G532" s="206">
        <f t="shared" si="17"/>
        <v>1301900</v>
      </c>
      <c r="H532" s="258">
        <v>395.68</v>
      </c>
      <c r="I532" s="258">
        <v>292.45999999999998</v>
      </c>
      <c r="J532" s="217">
        <v>103.23</v>
      </c>
      <c r="K532" s="217" t="s">
        <v>2787</v>
      </c>
    </row>
    <row r="533" spans="1:11">
      <c r="A533" s="217">
        <v>530</v>
      </c>
      <c r="B533" s="218" t="s">
        <v>4559</v>
      </c>
      <c r="C533" s="217" t="s">
        <v>4461</v>
      </c>
      <c r="D533" s="217" t="s">
        <v>35</v>
      </c>
      <c r="E533" s="209">
        <v>1385000</v>
      </c>
      <c r="F533" s="212">
        <f t="shared" si="16"/>
        <v>1343450</v>
      </c>
      <c r="G533" s="206">
        <f t="shared" si="17"/>
        <v>1301900</v>
      </c>
      <c r="H533" s="258">
        <v>386.85</v>
      </c>
      <c r="I533" s="258">
        <v>292.45999999999998</v>
      </c>
      <c r="J533" s="217">
        <v>94.4</v>
      </c>
      <c r="K533" s="217" t="s">
        <v>2792</v>
      </c>
    </row>
    <row r="534" spans="1:11">
      <c r="A534" s="217">
        <v>531</v>
      </c>
      <c r="B534" s="218" t="s">
        <v>3307</v>
      </c>
      <c r="C534" s="217" t="s">
        <v>4461</v>
      </c>
      <c r="D534" s="217" t="s">
        <v>35</v>
      </c>
      <c r="E534" s="209">
        <v>1385000</v>
      </c>
      <c r="F534" s="212">
        <f t="shared" si="16"/>
        <v>1343450</v>
      </c>
      <c r="G534" s="206">
        <f t="shared" si="17"/>
        <v>1301900</v>
      </c>
      <c r="H534" s="258">
        <v>386.85</v>
      </c>
      <c r="I534" s="258">
        <v>292.45999999999998</v>
      </c>
      <c r="J534" s="217">
        <v>94.4</v>
      </c>
      <c r="K534" s="217" t="s">
        <v>2787</v>
      </c>
    </row>
    <row r="535" spans="1:11">
      <c r="A535" s="217">
        <v>532</v>
      </c>
      <c r="B535" s="218" t="s">
        <v>3308</v>
      </c>
      <c r="C535" s="217" t="s">
        <v>4461</v>
      </c>
      <c r="D535" s="217" t="s">
        <v>35</v>
      </c>
      <c r="E535" s="209">
        <v>1385000</v>
      </c>
      <c r="F535" s="212">
        <f t="shared" si="16"/>
        <v>1343450</v>
      </c>
      <c r="G535" s="206">
        <f t="shared" si="17"/>
        <v>1301900</v>
      </c>
      <c r="H535" s="258">
        <v>386.85</v>
      </c>
      <c r="I535" s="258">
        <v>292.45999999999998</v>
      </c>
      <c r="J535" s="217">
        <v>94.4</v>
      </c>
      <c r="K535" s="217" t="s">
        <v>2787</v>
      </c>
    </row>
    <row r="536" spans="1:11">
      <c r="A536" s="217">
        <v>533</v>
      </c>
      <c r="B536" s="218" t="s">
        <v>3309</v>
      </c>
      <c r="C536" s="217" t="s">
        <v>4460</v>
      </c>
      <c r="D536" s="217" t="s">
        <v>35</v>
      </c>
      <c r="E536" s="209">
        <v>1388000</v>
      </c>
      <c r="F536" s="212">
        <f t="shared" si="16"/>
        <v>1346360</v>
      </c>
      <c r="G536" s="206">
        <f t="shared" si="17"/>
        <v>1304720</v>
      </c>
      <c r="H536" s="258">
        <v>361.13</v>
      </c>
      <c r="I536" s="258">
        <v>292.45999999999998</v>
      </c>
      <c r="J536" s="217">
        <v>68.67</v>
      </c>
      <c r="K536" s="217" t="s">
        <v>2792</v>
      </c>
    </row>
    <row r="537" spans="1:11">
      <c r="A537" s="217">
        <v>534</v>
      </c>
      <c r="B537" s="218" t="s">
        <v>3310</v>
      </c>
      <c r="C537" s="217" t="s">
        <v>4460</v>
      </c>
      <c r="D537" s="217" t="s">
        <v>35</v>
      </c>
      <c r="E537" s="209">
        <v>1388000</v>
      </c>
      <c r="F537" s="212">
        <f t="shared" si="16"/>
        <v>1346360</v>
      </c>
      <c r="G537" s="206">
        <f t="shared" si="17"/>
        <v>1304720</v>
      </c>
      <c r="H537" s="258">
        <v>361.13</v>
      </c>
      <c r="I537" s="258">
        <v>292.45999999999998</v>
      </c>
      <c r="J537" s="217">
        <v>68.67</v>
      </c>
      <c r="K537" s="217" t="s">
        <v>2787</v>
      </c>
    </row>
    <row r="538" spans="1:11">
      <c r="A538" s="217">
        <v>535</v>
      </c>
      <c r="B538" s="218" t="s">
        <v>3311</v>
      </c>
      <c r="C538" s="217" t="s">
        <v>4460</v>
      </c>
      <c r="D538" s="217" t="s">
        <v>35</v>
      </c>
      <c r="E538" s="209">
        <v>1388000</v>
      </c>
      <c r="F538" s="212">
        <f t="shared" si="16"/>
        <v>1346360</v>
      </c>
      <c r="G538" s="206">
        <f t="shared" si="17"/>
        <v>1304720</v>
      </c>
      <c r="H538" s="258">
        <v>361.13</v>
      </c>
      <c r="I538" s="258">
        <v>292.45999999999998</v>
      </c>
      <c r="J538" s="217">
        <v>68.67</v>
      </c>
      <c r="K538" s="217" t="s">
        <v>2787</v>
      </c>
    </row>
    <row r="539" spans="1:11">
      <c r="A539" s="217">
        <v>536</v>
      </c>
      <c r="B539" s="218" t="s">
        <v>4560</v>
      </c>
      <c r="C539" s="217" t="s">
        <v>4461</v>
      </c>
      <c r="D539" s="217" t="s">
        <v>35</v>
      </c>
      <c r="E539" s="209">
        <v>1381000</v>
      </c>
      <c r="F539" s="212">
        <f t="shared" si="16"/>
        <v>1339570</v>
      </c>
      <c r="G539" s="206">
        <f t="shared" si="17"/>
        <v>1298140</v>
      </c>
      <c r="H539" s="258">
        <v>375.34</v>
      </c>
      <c r="I539" s="258">
        <v>292.45999999999998</v>
      </c>
      <c r="J539" s="217">
        <v>82.88</v>
      </c>
      <c r="K539" s="217" t="s">
        <v>2792</v>
      </c>
    </row>
    <row r="540" spans="1:11">
      <c r="A540" s="217">
        <v>537</v>
      </c>
      <c r="B540" s="218" t="s">
        <v>4561</v>
      </c>
      <c r="C540" s="217" t="s">
        <v>4461</v>
      </c>
      <c r="D540" s="217" t="s">
        <v>35</v>
      </c>
      <c r="E540" s="209">
        <v>1381000</v>
      </c>
      <c r="F540" s="212">
        <f t="shared" si="16"/>
        <v>1339570</v>
      </c>
      <c r="G540" s="206">
        <f t="shared" si="17"/>
        <v>1298140</v>
      </c>
      <c r="H540" s="258">
        <v>375.34</v>
      </c>
      <c r="I540" s="258">
        <v>292.45999999999998</v>
      </c>
      <c r="J540" s="217">
        <v>82.88</v>
      </c>
      <c r="K540" s="217" t="s">
        <v>2792</v>
      </c>
    </row>
    <row r="541" spans="1:11">
      <c r="A541" s="217">
        <v>538</v>
      </c>
      <c r="B541" s="218" t="s">
        <v>3312</v>
      </c>
      <c r="C541" s="217" t="s">
        <v>4461</v>
      </c>
      <c r="D541" s="217" t="s">
        <v>35</v>
      </c>
      <c r="E541" s="209">
        <v>1381000</v>
      </c>
      <c r="F541" s="212">
        <f t="shared" si="16"/>
        <v>1339570</v>
      </c>
      <c r="G541" s="206">
        <f t="shared" si="17"/>
        <v>1298140</v>
      </c>
      <c r="H541" s="258">
        <v>375.34</v>
      </c>
      <c r="I541" s="258">
        <v>292.45999999999998</v>
      </c>
      <c r="J541" s="217">
        <v>82.88</v>
      </c>
      <c r="K541" s="217" t="s">
        <v>2787</v>
      </c>
    </row>
    <row r="542" spans="1:11">
      <c r="A542" s="217">
        <v>539</v>
      </c>
      <c r="B542" s="218" t="s">
        <v>3313</v>
      </c>
      <c r="C542" s="217" t="s">
        <v>4461</v>
      </c>
      <c r="D542" s="217" t="s">
        <v>35</v>
      </c>
      <c r="E542" s="209">
        <v>1381000</v>
      </c>
      <c r="F542" s="212">
        <f t="shared" si="16"/>
        <v>1339570</v>
      </c>
      <c r="G542" s="206">
        <f t="shared" si="17"/>
        <v>1298140</v>
      </c>
      <c r="H542" s="258">
        <v>375.34</v>
      </c>
      <c r="I542" s="258">
        <v>292.45999999999998</v>
      </c>
      <c r="J542" s="217">
        <v>82.88</v>
      </c>
      <c r="K542" s="217" t="s">
        <v>2787</v>
      </c>
    </row>
    <row r="543" spans="1:11">
      <c r="A543" s="217">
        <v>540</v>
      </c>
      <c r="B543" s="218" t="s">
        <v>3314</v>
      </c>
      <c r="C543" s="217" t="s">
        <v>4460</v>
      </c>
      <c r="D543" s="217" t="s">
        <v>35</v>
      </c>
      <c r="E543" s="209">
        <v>1385000</v>
      </c>
      <c r="F543" s="212">
        <f t="shared" si="16"/>
        <v>1343450</v>
      </c>
      <c r="G543" s="206">
        <f t="shared" si="17"/>
        <v>1301900</v>
      </c>
      <c r="H543" s="258">
        <v>401.82</v>
      </c>
      <c r="I543" s="258">
        <v>292.45999999999998</v>
      </c>
      <c r="J543" s="217">
        <v>109.36</v>
      </c>
      <c r="K543" s="217" t="s">
        <v>2792</v>
      </c>
    </row>
    <row r="544" spans="1:11">
      <c r="A544" s="217">
        <v>541</v>
      </c>
      <c r="B544" s="218" t="s">
        <v>3315</v>
      </c>
      <c r="C544" s="217" t="s">
        <v>4460</v>
      </c>
      <c r="D544" s="217" t="s">
        <v>35</v>
      </c>
      <c r="E544" s="209">
        <v>1385000</v>
      </c>
      <c r="F544" s="212">
        <f t="shared" si="16"/>
        <v>1343450</v>
      </c>
      <c r="G544" s="206">
        <f t="shared" si="17"/>
        <v>1301900</v>
      </c>
      <c r="H544" s="258">
        <v>401.82</v>
      </c>
      <c r="I544" s="258">
        <v>292.45999999999998</v>
      </c>
      <c r="J544" s="217">
        <v>109.36</v>
      </c>
      <c r="K544" s="217" t="s">
        <v>2792</v>
      </c>
    </row>
    <row r="545" spans="1:11">
      <c r="A545" s="217">
        <v>542</v>
      </c>
      <c r="B545" s="218" t="s">
        <v>3316</v>
      </c>
      <c r="C545" s="217" t="s">
        <v>4460</v>
      </c>
      <c r="D545" s="217" t="s">
        <v>35</v>
      </c>
      <c r="E545" s="209">
        <v>1385000</v>
      </c>
      <c r="F545" s="212">
        <f t="shared" si="16"/>
        <v>1343450</v>
      </c>
      <c r="G545" s="206">
        <f t="shared" si="17"/>
        <v>1301900</v>
      </c>
      <c r="H545" s="258">
        <v>401.82</v>
      </c>
      <c r="I545" s="258">
        <v>292.45999999999998</v>
      </c>
      <c r="J545" s="217">
        <v>109.36</v>
      </c>
      <c r="K545" s="217" t="s">
        <v>2787</v>
      </c>
    </row>
    <row r="546" spans="1:11">
      <c r="A546" s="217">
        <v>543</v>
      </c>
      <c r="B546" s="218" t="s">
        <v>3317</v>
      </c>
      <c r="C546" s="217" t="s">
        <v>4460</v>
      </c>
      <c r="D546" s="217" t="s">
        <v>35</v>
      </c>
      <c r="E546" s="209">
        <v>1385000</v>
      </c>
      <c r="F546" s="212">
        <f t="shared" si="16"/>
        <v>1343450</v>
      </c>
      <c r="G546" s="206">
        <f t="shared" si="17"/>
        <v>1301900</v>
      </c>
      <c r="H546" s="258">
        <v>401.82</v>
      </c>
      <c r="I546" s="258">
        <v>292.45999999999998</v>
      </c>
      <c r="J546" s="217">
        <v>109.36</v>
      </c>
      <c r="K546" s="217" t="s">
        <v>2787</v>
      </c>
    </row>
    <row r="547" spans="1:11">
      <c r="A547" s="217">
        <v>544</v>
      </c>
      <c r="B547" s="218" t="s">
        <v>4562</v>
      </c>
      <c r="C547" s="217" t="s">
        <v>4461</v>
      </c>
      <c r="D547" s="217" t="s">
        <v>35</v>
      </c>
      <c r="E547" s="209">
        <v>1382000</v>
      </c>
      <c r="F547" s="212">
        <f t="shared" si="16"/>
        <v>1340540</v>
      </c>
      <c r="G547" s="206">
        <f t="shared" si="17"/>
        <v>1299080</v>
      </c>
      <c r="H547" s="258">
        <v>341.11</v>
      </c>
      <c r="I547" s="258">
        <v>293.95999999999998</v>
      </c>
      <c r="J547" s="217">
        <v>47.15</v>
      </c>
      <c r="K547" s="217" t="s">
        <v>2792</v>
      </c>
    </row>
    <row r="548" spans="1:11">
      <c r="A548" s="217">
        <v>545</v>
      </c>
      <c r="B548" s="218" t="s">
        <v>4563</v>
      </c>
      <c r="C548" s="217" t="s">
        <v>4461</v>
      </c>
      <c r="D548" s="217" t="s">
        <v>35</v>
      </c>
      <c r="E548" s="209">
        <v>1382000</v>
      </c>
      <c r="F548" s="212">
        <f t="shared" si="16"/>
        <v>1340540</v>
      </c>
      <c r="G548" s="206">
        <f t="shared" si="17"/>
        <v>1299080</v>
      </c>
      <c r="H548" s="258">
        <v>341.11</v>
      </c>
      <c r="I548" s="258">
        <v>293.95999999999998</v>
      </c>
      <c r="J548" s="217">
        <v>47.15</v>
      </c>
      <c r="K548" s="217" t="s">
        <v>2792</v>
      </c>
    </row>
    <row r="549" spans="1:11">
      <c r="A549" s="217">
        <v>546</v>
      </c>
      <c r="B549" s="218" t="s">
        <v>3318</v>
      </c>
      <c r="C549" s="217" t="s">
        <v>4461</v>
      </c>
      <c r="D549" s="217" t="s">
        <v>35</v>
      </c>
      <c r="E549" s="209">
        <v>1382000</v>
      </c>
      <c r="F549" s="212">
        <f t="shared" si="16"/>
        <v>1340540</v>
      </c>
      <c r="G549" s="206">
        <f t="shared" si="17"/>
        <v>1299080</v>
      </c>
      <c r="H549" s="258">
        <v>341.11</v>
      </c>
      <c r="I549" s="258">
        <v>293.95999999999998</v>
      </c>
      <c r="J549" s="217">
        <v>47.15</v>
      </c>
      <c r="K549" s="217" t="s">
        <v>2787</v>
      </c>
    </row>
    <row r="550" spans="1:11">
      <c r="A550" s="217">
        <v>547</v>
      </c>
      <c r="B550" s="218" t="s">
        <v>3319</v>
      </c>
      <c r="C550" s="217" t="s">
        <v>4461</v>
      </c>
      <c r="D550" s="217" t="s">
        <v>35</v>
      </c>
      <c r="E550" s="209">
        <v>1382000</v>
      </c>
      <c r="F550" s="212">
        <f t="shared" si="16"/>
        <v>1340540</v>
      </c>
      <c r="G550" s="206">
        <f t="shared" si="17"/>
        <v>1299080</v>
      </c>
      <c r="H550" s="258">
        <v>341.11</v>
      </c>
      <c r="I550" s="258">
        <v>293.95999999999998</v>
      </c>
      <c r="J550" s="217">
        <v>47.15</v>
      </c>
      <c r="K550" s="217" t="s">
        <v>2787</v>
      </c>
    </row>
    <row r="551" spans="1:11">
      <c r="A551" s="217">
        <v>548</v>
      </c>
      <c r="B551" s="218" t="s">
        <v>3320</v>
      </c>
      <c r="C551" s="217" t="s">
        <v>4460</v>
      </c>
      <c r="D551" s="217" t="s">
        <v>35</v>
      </c>
      <c r="E551" s="209">
        <v>1383000</v>
      </c>
      <c r="F551" s="212">
        <f t="shared" si="16"/>
        <v>1341510</v>
      </c>
      <c r="G551" s="206">
        <f t="shared" si="17"/>
        <v>1300020</v>
      </c>
      <c r="H551" s="258">
        <v>395.68</v>
      </c>
      <c r="I551" s="258">
        <v>292.45999999999998</v>
      </c>
      <c r="J551" s="217">
        <v>103.23</v>
      </c>
      <c r="K551" s="217" t="s">
        <v>2792</v>
      </c>
    </row>
    <row r="552" spans="1:11">
      <c r="A552" s="217">
        <v>549</v>
      </c>
      <c r="B552" s="218" t="s">
        <v>3321</v>
      </c>
      <c r="C552" s="217" t="s">
        <v>4460</v>
      </c>
      <c r="D552" s="217" t="s">
        <v>35</v>
      </c>
      <c r="E552" s="209">
        <v>1383000</v>
      </c>
      <c r="F552" s="212">
        <f t="shared" si="16"/>
        <v>1341510</v>
      </c>
      <c r="G552" s="206">
        <f t="shared" si="17"/>
        <v>1300020</v>
      </c>
      <c r="H552" s="258">
        <v>395.68</v>
      </c>
      <c r="I552" s="258">
        <v>292.45999999999998</v>
      </c>
      <c r="J552" s="217">
        <v>103.23</v>
      </c>
      <c r="K552" s="217" t="s">
        <v>2792</v>
      </c>
    </row>
    <row r="553" spans="1:11">
      <c r="A553" s="217">
        <v>550</v>
      </c>
      <c r="B553" s="218" t="s">
        <v>3322</v>
      </c>
      <c r="C553" s="217" t="s">
        <v>4460</v>
      </c>
      <c r="D553" s="217" t="s">
        <v>35</v>
      </c>
      <c r="E553" s="209">
        <v>1383000</v>
      </c>
      <c r="F553" s="212">
        <f t="shared" si="16"/>
        <v>1341510</v>
      </c>
      <c r="G553" s="206">
        <f t="shared" si="17"/>
        <v>1300020</v>
      </c>
      <c r="H553" s="258">
        <v>395.68</v>
      </c>
      <c r="I553" s="258">
        <v>292.45999999999998</v>
      </c>
      <c r="J553" s="217">
        <v>103.23</v>
      </c>
      <c r="K553" s="217" t="s">
        <v>2787</v>
      </c>
    </row>
    <row r="554" spans="1:11">
      <c r="A554" s="217">
        <v>551</v>
      </c>
      <c r="B554" s="218" t="s">
        <v>3323</v>
      </c>
      <c r="C554" s="217" t="s">
        <v>4460</v>
      </c>
      <c r="D554" s="217" t="s">
        <v>35</v>
      </c>
      <c r="E554" s="209">
        <v>1383000</v>
      </c>
      <c r="F554" s="212">
        <f t="shared" si="16"/>
        <v>1341510</v>
      </c>
      <c r="G554" s="206">
        <f t="shared" si="17"/>
        <v>1300020</v>
      </c>
      <c r="H554" s="258">
        <v>395.68</v>
      </c>
      <c r="I554" s="258">
        <v>292.45999999999998</v>
      </c>
      <c r="J554" s="217">
        <v>103.23</v>
      </c>
      <c r="K554" s="217" t="s">
        <v>2787</v>
      </c>
    </row>
    <row r="555" spans="1:11">
      <c r="A555" s="217">
        <v>552</v>
      </c>
      <c r="B555" s="218" t="s">
        <v>4564</v>
      </c>
      <c r="C555" s="217" t="s">
        <v>4460</v>
      </c>
      <c r="D555" s="217" t="s">
        <v>35</v>
      </c>
      <c r="E555" s="209">
        <v>1382000</v>
      </c>
      <c r="F555" s="212">
        <f t="shared" si="16"/>
        <v>1340540</v>
      </c>
      <c r="G555" s="206">
        <f t="shared" si="17"/>
        <v>1299080</v>
      </c>
      <c r="H555" s="258">
        <v>386.85</v>
      </c>
      <c r="I555" s="258">
        <v>292.45999999999998</v>
      </c>
      <c r="J555" s="217">
        <v>94.4</v>
      </c>
      <c r="K555" s="217" t="s">
        <v>2792</v>
      </c>
    </row>
    <row r="556" spans="1:11">
      <c r="A556" s="217">
        <v>553</v>
      </c>
      <c r="B556" s="218" t="s">
        <v>3324</v>
      </c>
      <c r="C556" s="217" t="s">
        <v>4460</v>
      </c>
      <c r="D556" s="217" t="s">
        <v>35</v>
      </c>
      <c r="E556" s="209">
        <v>1382000</v>
      </c>
      <c r="F556" s="212">
        <f t="shared" si="16"/>
        <v>1340540</v>
      </c>
      <c r="G556" s="206">
        <f t="shared" si="17"/>
        <v>1299080</v>
      </c>
      <c r="H556" s="258">
        <v>386.85</v>
      </c>
      <c r="I556" s="258">
        <v>292.45999999999998</v>
      </c>
      <c r="J556" s="217">
        <v>94.4</v>
      </c>
      <c r="K556" s="217" t="s">
        <v>2787</v>
      </c>
    </row>
    <row r="557" spans="1:11">
      <c r="A557" s="217">
        <v>554</v>
      </c>
      <c r="B557" s="218" t="s">
        <v>3325</v>
      </c>
      <c r="C557" s="217" t="s">
        <v>4460</v>
      </c>
      <c r="D557" s="217" t="s">
        <v>35</v>
      </c>
      <c r="E557" s="209">
        <v>1382000</v>
      </c>
      <c r="F557" s="212">
        <f t="shared" si="16"/>
        <v>1340540</v>
      </c>
      <c r="G557" s="206">
        <f t="shared" si="17"/>
        <v>1299080</v>
      </c>
      <c r="H557" s="258">
        <v>386.85</v>
      </c>
      <c r="I557" s="258">
        <v>292.45999999999998</v>
      </c>
      <c r="J557" s="217">
        <v>94.4</v>
      </c>
      <c r="K557" s="217" t="s">
        <v>2787</v>
      </c>
    </row>
    <row r="558" spans="1:11">
      <c r="A558" s="217">
        <v>555</v>
      </c>
      <c r="B558" s="218" t="s">
        <v>3326</v>
      </c>
      <c r="C558" s="217" t="s">
        <v>11</v>
      </c>
      <c r="D558" s="217" t="s">
        <v>35</v>
      </c>
      <c r="E558" s="209">
        <v>1385000</v>
      </c>
      <c r="F558" s="212">
        <f t="shared" si="16"/>
        <v>1343450</v>
      </c>
      <c r="G558" s="206">
        <f t="shared" si="17"/>
        <v>1301900</v>
      </c>
      <c r="H558" s="258">
        <v>361.13</v>
      </c>
      <c r="I558" s="258">
        <v>292.45999999999998</v>
      </c>
      <c r="J558" s="217">
        <v>68.67</v>
      </c>
      <c r="K558" s="217" t="s">
        <v>2792</v>
      </c>
    </row>
    <row r="559" spans="1:11">
      <c r="A559" s="217">
        <v>556</v>
      </c>
      <c r="B559" s="218" t="s">
        <v>3327</v>
      </c>
      <c r="C559" s="217" t="s">
        <v>11</v>
      </c>
      <c r="D559" s="217" t="s">
        <v>35</v>
      </c>
      <c r="E559" s="209">
        <v>1385000</v>
      </c>
      <c r="F559" s="212">
        <f t="shared" si="16"/>
        <v>1343450</v>
      </c>
      <c r="G559" s="206">
        <f t="shared" si="17"/>
        <v>1301900</v>
      </c>
      <c r="H559" s="258">
        <v>361.13</v>
      </c>
      <c r="I559" s="258">
        <v>292.45999999999998</v>
      </c>
      <c r="J559" s="217">
        <v>68.67</v>
      </c>
      <c r="K559" s="217" t="s">
        <v>2792</v>
      </c>
    </row>
    <row r="560" spans="1:11">
      <c r="A560" s="217">
        <v>557</v>
      </c>
      <c r="B560" s="218" t="s">
        <v>3328</v>
      </c>
      <c r="C560" s="217" t="s">
        <v>11</v>
      </c>
      <c r="D560" s="217" t="s">
        <v>35</v>
      </c>
      <c r="E560" s="209">
        <v>1385000</v>
      </c>
      <c r="F560" s="212">
        <f t="shared" si="16"/>
        <v>1343450</v>
      </c>
      <c r="G560" s="206">
        <f t="shared" si="17"/>
        <v>1301900</v>
      </c>
      <c r="H560" s="258">
        <v>361.13</v>
      </c>
      <c r="I560" s="258">
        <v>292.45999999999998</v>
      </c>
      <c r="J560" s="217">
        <v>68.67</v>
      </c>
      <c r="K560" s="217" t="s">
        <v>2787</v>
      </c>
    </row>
    <row r="561" spans="1:11">
      <c r="A561" s="217">
        <v>558</v>
      </c>
      <c r="B561" s="218" t="s">
        <v>3329</v>
      </c>
      <c r="C561" s="217" t="s">
        <v>11</v>
      </c>
      <c r="D561" s="217" t="s">
        <v>35</v>
      </c>
      <c r="E561" s="209">
        <v>1385000</v>
      </c>
      <c r="F561" s="212">
        <f t="shared" si="16"/>
        <v>1343450</v>
      </c>
      <c r="G561" s="206">
        <f t="shared" si="17"/>
        <v>1301900</v>
      </c>
      <c r="H561" s="258">
        <v>361.13</v>
      </c>
      <c r="I561" s="258">
        <v>292.45999999999998</v>
      </c>
      <c r="J561" s="217">
        <v>68.67</v>
      </c>
      <c r="K561" s="217" t="s">
        <v>2787</v>
      </c>
    </row>
    <row r="562" spans="1:11">
      <c r="A562" s="217">
        <v>559</v>
      </c>
      <c r="B562" s="218" t="s">
        <v>3330</v>
      </c>
      <c r="C562" s="217" t="s">
        <v>4460</v>
      </c>
      <c r="D562" s="217" t="s">
        <v>35</v>
      </c>
      <c r="E562" s="209">
        <v>1379000</v>
      </c>
      <c r="F562" s="212">
        <f t="shared" si="16"/>
        <v>1337630</v>
      </c>
      <c r="G562" s="206">
        <f t="shared" si="17"/>
        <v>1296260</v>
      </c>
      <c r="H562" s="258">
        <v>341.11</v>
      </c>
      <c r="I562" s="258">
        <v>293.95999999999998</v>
      </c>
      <c r="J562" s="217">
        <v>47.15</v>
      </c>
      <c r="K562" s="217" t="s">
        <v>2792</v>
      </c>
    </row>
    <row r="563" spans="1:11">
      <c r="A563" s="217">
        <v>560</v>
      </c>
      <c r="B563" s="218" t="s">
        <v>3331</v>
      </c>
      <c r="C563" s="217" t="s">
        <v>4460</v>
      </c>
      <c r="D563" s="217" t="s">
        <v>35</v>
      </c>
      <c r="E563" s="209">
        <v>1379000</v>
      </c>
      <c r="F563" s="212">
        <f t="shared" si="16"/>
        <v>1337630</v>
      </c>
      <c r="G563" s="206">
        <f t="shared" si="17"/>
        <v>1296260</v>
      </c>
      <c r="H563" s="258">
        <v>375.34</v>
      </c>
      <c r="I563" s="258">
        <v>292.45999999999998</v>
      </c>
      <c r="J563" s="217">
        <v>82.88</v>
      </c>
      <c r="K563" s="217" t="s">
        <v>2792</v>
      </c>
    </row>
    <row r="564" spans="1:11">
      <c r="A564" s="217">
        <v>561</v>
      </c>
      <c r="B564" s="218" t="s">
        <v>3332</v>
      </c>
      <c r="C564" s="217" t="s">
        <v>4460</v>
      </c>
      <c r="D564" s="217" t="s">
        <v>35</v>
      </c>
      <c r="E564" s="209">
        <v>1379000</v>
      </c>
      <c r="F564" s="212">
        <f t="shared" si="16"/>
        <v>1337630</v>
      </c>
      <c r="G564" s="206">
        <f t="shared" si="17"/>
        <v>1296260</v>
      </c>
      <c r="H564" s="258">
        <v>375.34</v>
      </c>
      <c r="I564" s="258">
        <v>292.45999999999998</v>
      </c>
      <c r="J564" s="217">
        <v>82.88</v>
      </c>
      <c r="K564" s="217" t="s">
        <v>2792</v>
      </c>
    </row>
    <row r="565" spans="1:11">
      <c r="A565" s="217">
        <v>562</v>
      </c>
      <c r="B565" s="218" t="s">
        <v>3333</v>
      </c>
      <c r="C565" s="217" t="s">
        <v>4460</v>
      </c>
      <c r="D565" s="217" t="s">
        <v>35</v>
      </c>
      <c r="E565" s="209">
        <v>1379000</v>
      </c>
      <c r="F565" s="212">
        <f t="shared" si="16"/>
        <v>1337630</v>
      </c>
      <c r="G565" s="206">
        <f t="shared" si="17"/>
        <v>1296260</v>
      </c>
      <c r="H565" s="258">
        <v>341.11</v>
      </c>
      <c r="I565" s="258">
        <v>293.95999999999998</v>
      </c>
      <c r="J565" s="217">
        <v>47.15</v>
      </c>
      <c r="K565" s="217" t="s">
        <v>2787</v>
      </c>
    </row>
    <row r="566" spans="1:11">
      <c r="A566" s="217">
        <v>563</v>
      </c>
      <c r="B566" s="218" t="s">
        <v>3334</v>
      </c>
      <c r="C566" s="217" t="s">
        <v>4460</v>
      </c>
      <c r="D566" s="217" t="s">
        <v>35</v>
      </c>
      <c r="E566" s="209">
        <v>1379000</v>
      </c>
      <c r="F566" s="212">
        <f t="shared" si="16"/>
        <v>1337630</v>
      </c>
      <c r="G566" s="206">
        <f t="shared" si="17"/>
        <v>1296260</v>
      </c>
      <c r="H566" s="258">
        <v>375.34</v>
      </c>
      <c r="I566" s="258">
        <v>292.45999999999998</v>
      </c>
      <c r="J566" s="217">
        <v>82.88</v>
      </c>
      <c r="K566" s="217" t="s">
        <v>2787</v>
      </c>
    </row>
    <row r="567" spans="1:11">
      <c r="A567" s="217">
        <v>564</v>
      </c>
      <c r="B567" s="218" t="s">
        <v>3335</v>
      </c>
      <c r="C567" s="217" t="s">
        <v>4460</v>
      </c>
      <c r="D567" s="217" t="s">
        <v>35</v>
      </c>
      <c r="E567" s="209">
        <v>1379000</v>
      </c>
      <c r="F567" s="212">
        <f t="shared" si="16"/>
        <v>1337630</v>
      </c>
      <c r="G567" s="206">
        <f t="shared" si="17"/>
        <v>1296260</v>
      </c>
      <c r="H567" s="258">
        <v>375.34</v>
      </c>
      <c r="I567" s="258">
        <v>292.45999999999998</v>
      </c>
      <c r="J567" s="217">
        <v>82.88</v>
      </c>
      <c r="K567" s="217" t="s">
        <v>2787</v>
      </c>
    </row>
    <row r="568" spans="1:11">
      <c r="A568" s="217">
        <v>565</v>
      </c>
      <c r="B568" s="218" t="s">
        <v>3336</v>
      </c>
      <c r="C568" s="217" t="s">
        <v>4460</v>
      </c>
      <c r="D568" s="217" t="s">
        <v>35</v>
      </c>
      <c r="E568" s="209">
        <v>1379000</v>
      </c>
      <c r="F568" s="212">
        <f t="shared" si="16"/>
        <v>1337630</v>
      </c>
      <c r="G568" s="206">
        <f t="shared" si="17"/>
        <v>1296260</v>
      </c>
      <c r="H568" s="258">
        <v>341.11</v>
      </c>
      <c r="I568" s="258">
        <v>293.95999999999998</v>
      </c>
      <c r="J568" s="217">
        <v>47.15</v>
      </c>
      <c r="K568" s="217" t="s">
        <v>2787</v>
      </c>
    </row>
    <row r="569" spans="1:11">
      <c r="A569" s="217">
        <v>566</v>
      </c>
      <c r="B569" s="218" t="s">
        <v>3337</v>
      </c>
      <c r="C569" s="217" t="s">
        <v>11</v>
      </c>
      <c r="D569" s="217" t="s">
        <v>35</v>
      </c>
      <c r="E569" s="209">
        <v>1382000</v>
      </c>
      <c r="F569" s="212">
        <f t="shared" si="16"/>
        <v>1340540</v>
      </c>
      <c r="G569" s="206">
        <f t="shared" si="17"/>
        <v>1299080</v>
      </c>
      <c r="H569" s="258">
        <v>401.82</v>
      </c>
      <c r="I569" s="258">
        <v>292.45999999999998</v>
      </c>
      <c r="J569" s="217">
        <v>109.36</v>
      </c>
      <c r="K569" s="217" t="s">
        <v>2792</v>
      </c>
    </row>
    <row r="570" spans="1:11">
      <c r="A570" s="217">
        <v>567</v>
      </c>
      <c r="B570" s="218" t="s">
        <v>3338</v>
      </c>
      <c r="C570" s="217" t="s">
        <v>11</v>
      </c>
      <c r="D570" s="217" t="s">
        <v>35</v>
      </c>
      <c r="E570" s="209">
        <v>1382000</v>
      </c>
      <c r="F570" s="212">
        <f t="shared" si="16"/>
        <v>1340540</v>
      </c>
      <c r="G570" s="206">
        <f t="shared" si="17"/>
        <v>1299080</v>
      </c>
      <c r="H570" s="258">
        <v>401.82</v>
      </c>
      <c r="I570" s="258">
        <v>292.45999999999998</v>
      </c>
      <c r="J570" s="217">
        <v>109.36</v>
      </c>
      <c r="K570" s="217" t="s">
        <v>2792</v>
      </c>
    </row>
    <row r="571" spans="1:11">
      <c r="A571" s="217">
        <v>568</v>
      </c>
      <c r="B571" s="218" t="s">
        <v>3339</v>
      </c>
      <c r="C571" s="217" t="s">
        <v>11</v>
      </c>
      <c r="D571" s="217" t="s">
        <v>35</v>
      </c>
      <c r="E571" s="209">
        <v>1382000</v>
      </c>
      <c r="F571" s="212">
        <f t="shared" si="16"/>
        <v>1340540</v>
      </c>
      <c r="G571" s="206">
        <f t="shared" si="17"/>
        <v>1299080</v>
      </c>
      <c r="H571" s="258">
        <v>401.82</v>
      </c>
      <c r="I571" s="258">
        <v>292.45999999999998</v>
      </c>
      <c r="J571" s="217">
        <v>109.36</v>
      </c>
      <c r="K571" s="217" t="s">
        <v>2787</v>
      </c>
    </row>
    <row r="572" spans="1:11">
      <c r="A572" s="217">
        <v>569</v>
      </c>
      <c r="B572" s="218" t="s">
        <v>3340</v>
      </c>
      <c r="C572" s="217" t="s">
        <v>11</v>
      </c>
      <c r="D572" s="217" t="s">
        <v>35</v>
      </c>
      <c r="E572" s="209">
        <v>1382000</v>
      </c>
      <c r="F572" s="212">
        <f t="shared" si="16"/>
        <v>1340540</v>
      </c>
      <c r="G572" s="206">
        <f t="shared" si="17"/>
        <v>1299080</v>
      </c>
      <c r="H572" s="258">
        <v>401.82</v>
      </c>
      <c r="I572" s="258">
        <v>292.45999999999998</v>
      </c>
      <c r="J572" s="217">
        <v>109.36</v>
      </c>
      <c r="K572" s="217" t="s">
        <v>2787</v>
      </c>
    </row>
    <row r="573" spans="1:11">
      <c r="A573" s="217">
        <v>570</v>
      </c>
      <c r="B573" s="218" t="s">
        <v>3341</v>
      </c>
      <c r="C573" s="217" t="s">
        <v>11</v>
      </c>
      <c r="D573" s="217" t="s">
        <v>35</v>
      </c>
      <c r="E573" s="209">
        <v>1380000</v>
      </c>
      <c r="F573" s="212">
        <f t="shared" si="16"/>
        <v>1338600</v>
      </c>
      <c r="G573" s="206">
        <f t="shared" si="17"/>
        <v>1297200</v>
      </c>
      <c r="H573" s="258">
        <v>395.68</v>
      </c>
      <c r="I573" s="258">
        <v>292.45999999999998</v>
      </c>
      <c r="J573" s="217">
        <v>103.23</v>
      </c>
      <c r="K573" s="217" t="s">
        <v>2792</v>
      </c>
    </row>
    <row r="574" spans="1:11">
      <c r="A574" s="217">
        <v>571</v>
      </c>
      <c r="B574" s="218" t="s">
        <v>3342</v>
      </c>
      <c r="C574" s="217" t="s">
        <v>11</v>
      </c>
      <c r="D574" s="217" t="s">
        <v>35</v>
      </c>
      <c r="E574" s="209">
        <v>1380000</v>
      </c>
      <c r="F574" s="212">
        <f t="shared" si="16"/>
        <v>1338600</v>
      </c>
      <c r="G574" s="206">
        <f t="shared" si="17"/>
        <v>1297200</v>
      </c>
      <c r="H574" s="258">
        <v>395.68</v>
      </c>
      <c r="I574" s="258">
        <v>292.45999999999998</v>
      </c>
      <c r="J574" s="217">
        <v>103.23</v>
      </c>
      <c r="K574" s="217" t="s">
        <v>2792</v>
      </c>
    </row>
    <row r="575" spans="1:11">
      <c r="A575" s="217">
        <v>572</v>
      </c>
      <c r="B575" s="218" t="s">
        <v>3343</v>
      </c>
      <c r="C575" s="217" t="s">
        <v>11</v>
      </c>
      <c r="D575" s="217" t="s">
        <v>35</v>
      </c>
      <c r="E575" s="209">
        <v>1380000</v>
      </c>
      <c r="F575" s="212">
        <f t="shared" si="16"/>
        <v>1338600</v>
      </c>
      <c r="G575" s="206">
        <f t="shared" si="17"/>
        <v>1297200</v>
      </c>
      <c r="H575" s="258">
        <v>395.68</v>
      </c>
      <c r="I575" s="258">
        <v>292.45999999999998</v>
      </c>
      <c r="J575" s="217">
        <v>103.23</v>
      </c>
      <c r="K575" s="217" t="s">
        <v>2787</v>
      </c>
    </row>
    <row r="576" spans="1:11">
      <c r="A576" s="217">
        <v>573</v>
      </c>
      <c r="B576" s="218" t="s">
        <v>3344</v>
      </c>
      <c r="C576" s="217" t="s">
        <v>11</v>
      </c>
      <c r="D576" s="217" t="s">
        <v>35</v>
      </c>
      <c r="E576" s="209">
        <v>1380000</v>
      </c>
      <c r="F576" s="212">
        <f t="shared" si="16"/>
        <v>1338600</v>
      </c>
      <c r="G576" s="206">
        <f t="shared" si="17"/>
        <v>1297200</v>
      </c>
      <c r="H576" s="258">
        <v>395.68</v>
      </c>
      <c r="I576" s="258">
        <v>292.45999999999998</v>
      </c>
      <c r="J576" s="217">
        <v>103.23</v>
      </c>
      <c r="K576" s="217" t="s">
        <v>2787</v>
      </c>
    </row>
    <row r="577" spans="1:11">
      <c r="A577" s="217">
        <v>574</v>
      </c>
      <c r="B577" s="218" t="s">
        <v>3345</v>
      </c>
      <c r="C577" s="217" t="s">
        <v>12</v>
      </c>
      <c r="D577" s="217" t="s">
        <v>35</v>
      </c>
      <c r="E577" s="209">
        <v>1383000</v>
      </c>
      <c r="F577" s="212">
        <f t="shared" si="16"/>
        <v>1341510</v>
      </c>
      <c r="G577" s="206">
        <f t="shared" si="17"/>
        <v>1300020</v>
      </c>
      <c r="H577" s="258">
        <v>361.13</v>
      </c>
      <c r="I577" s="258">
        <v>292.45999999999998</v>
      </c>
      <c r="J577" s="217">
        <v>68.67</v>
      </c>
      <c r="K577" s="217" t="s">
        <v>2792</v>
      </c>
    </row>
    <row r="578" spans="1:11">
      <c r="A578" s="217">
        <v>575</v>
      </c>
      <c r="B578" s="218" t="s">
        <v>3346</v>
      </c>
      <c r="C578" s="217" t="s">
        <v>12</v>
      </c>
      <c r="D578" s="217" t="s">
        <v>35</v>
      </c>
      <c r="E578" s="209">
        <v>1383000</v>
      </c>
      <c r="F578" s="212">
        <f t="shared" si="16"/>
        <v>1341510</v>
      </c>
      <c r="G578" s="206">
        <f t="shared" si="17"/>
        <v>1300020</v>
      </c>
      <c r="H578" s="258">
        <v>361.13</v>
      </c>
      <c r="I578" s="258">
        <v>292.45999999999998</v>
      </c>
      <c r="J578" s="217">
        <v>68.67</v>
      </c>
      <c r="K578" s="217" t="s">
        <v>2792</v>
      </c>
    </row>
    <row r="579" spans="1:11">
      <c r="A579" s="217">
        <v>576</v>
      </c>
      <c r="B579" s="218" t="s">
        <v>3347</v>
      </c>
      <c r="C579" s="217" t="s">
        <v>12</v>
      </c>
      <c r="D579" s="217" t="s">
        <v>35</v>
      </c>
      <c r="E579" s="209">
        <v>1383000</v>
      </c>
      <c r="F579" s="212">
        <f t="shared" ref="F579:F642" si="18">E579*0.97</f>
        <v>1341510</v>
      </c>
      <c r="G579" s="206">
        <f t="shared" ref="G579:G642" si="19">E579*0.94</f>
        <v>1300020</v>
      </c>
      <c r="H579" s="258">
        <v>361.13</v>
      </c>
      <c r="I579" s="258">
        <v>292.45999999999998</v>
      </c>
      <c r="J579" s="217">
        <v>68.67</v>
      </c>
      <c r="K579" s="217" t="s">
        <v>2787</v>
      </c>
    </row>
    <row r="580" spans="1:11">
      <c r="A580" s="217">
        <v>577</v>
      </c>
      <c r="B580" s="218" t="s">
        <v>3348</v>
      </c>
      <c r="C580" s="217" t="s">
        <v>12</v>
      </c>
      <c r="D580" s="217" t="s">
        <v>35</v>
      </c>
      <c r="E580" s="209">
        <v>1383000</v>
      </c>
      <c r="F580" s="212">
        <f t="shared" si="18"/>
        <v>1341510</v>
      </c>
      <c r="G580" s="206">
        <f t="shared" si="19"/>
        <v>1300020</v>
      </c>
      <c r="H580" s="258">
        <v>361.13</v>
      </c>
      <c r="I580" s="258">
        <v>292.45999999999998</v>
      </c>
      <c r="J580" s="217">
        <v>68.67</v>
      </c>
      <c r="K580" s="217" t="s">
        <v>2787</v>
      </c>
    </row>
    <row r="581" spans="1:11">
      <c r="A581" s="217">
        <v>578</v>
      </c>
      <c r="B581" s="218" t="s">
        <v>3349</v>
      </c>
      <c r="C581" s="217" t="s">
        <v>11</v>
      </c>
      <c r="D581" s="217" t="s">
        <v>35</v>
      </c>
      <c r="E581" s="209">
        <v>1379000</v>
      </c>
      <c r="F581" s="212">
        <f t="shared" si="18"/>
        <v>1337630</v>
      </c>
      <c r="G581" s="206">
        <f t="shared" si="19"/>
        <v>1296260</v>
      </c>
      <c r="H581" s="258">
        <v>386.85</v>
      </c>
      <c r="I581" s="258">
        <v>292.45999999999998</v>
      </c>
      <c r="J581" s="217">
        <v>94.4</v>
      </c>
      <c r="K581" s="217" t="s">
        <v>2792</v>
      </c>
    </row>
    <row r="582" spans="1:11">
      <c r="A582" s="217">
        <v>579</v>
      </c>
      <c r="B582" s="218" t="s">
        <v>3350</v>
      </c>
      <c r="C582" s="217" t="s">
        <v>11</v>
      </c>
      <c r="D582" s="217" t="s">
        <v>35</v>
      </c>
      <c r="E582" s="209">
        <v>1379000</v>
      </c>
      <c r="F582" s="212">
        <f t="shared" si="18"/>
        <v>1337630</v>
      </c>
      <c r="G582" s="206">
        <f t="shared" si="19"/>
        <v>1296260</v>
      </c>
      <c r="H582" s="258">
        <v>386.85</v>
      </c>
      <c r="I582" s="258">
        <v>292.45999999999998</v>
      </c>
      <c r="J582" s="217">
        <v>94.4</v>
      </c>
      <c r="K582" s="217" t="s">
        <v>2792</v>
      </c>
    </row>
    <row r="583" spans="1:11">
      <c r="A583" s="217">
        <v>580</v>
      </c>
      <c r="B583" s="218" t="s">
        <v>3351</v>
      </c>
      <c r="C583" s="217" t="s">
        <v>11</v>
      </c>
      <c r="D583" s="217" t="s">
        <v>35</v>
      </c>
      <c r="E583" s="209">
        <v>1379000</v>
      </c>
      <c r="F583" s="212">
        <f t="shared" si="18"/>
        <v>1337630</v>
      </c>
      <c r="G583" s="206">
        <f t="shared" si="19"/>
        <v>1296260</v>
      </c>
      <c r="H583" s="258">
        <v>386.85</v>
      </c>
      <c r="I583" s="258">
        <v>292.45999999999998</v>
      </c>
      <c r="J583" s="217">
        <v>94.4</v>
      </c>
      <c r="K583" s="217" t="s">
        <v>2787</v>
      </c>
    </row>
    <row r="584" spans="1:11">
      <c r="A584" s="217">
        <v>581</v>
      </c>
      <c r="B584" s="218" t="s">
        <v>3352</v>
      </c>
      <c r="C584" s="217" t="s">
        <v>11</v>
      </c>
      <c r="D584" s="217" t="s">
        <v>35</v>
      </c>
      <c r="E584" s="209">
        <v>1379000</v>
      </c>
      <c r="F584" s="212">
        <f t="shared" si="18"/>
        <v>1337630</v>
      </c>
      <c r="G584" s="206">
        <f t="shared" si="19"/>
        <v>1296260</v>
      </c>
      <c r="H584" s="258">
        <v>386.85</v>
      </c>
      <c r="I584" s="258">
        <v>292.45999999999998</v>
      </c>
      <c r="J584" s="217">
        <v>94.4</v>
      </c>
      <c r="K584" s="217" t="s">
        <v>2787</v>
      </c>
    </row>
    <row r="585" spans="1:11">
      <c r="A585" s="217">
        <v>582</v>
      </c>
      <c r="B585" s="218" t="s">
        <v>3353</v>
      </c>
      <c r="C585" s="217" t="s">
        <v>11</v>
      </c>
      <c r="D585" s="217" t="s">
        <v>35</v>
      </c>
      <c r="E585" s="209">
        <v>1377000</v>
      </c>
      <c r="F585" s="212">
        <f t="shared" si="18"/>
        <v>1335690</v>
      </c>
      <c r="G585" s="206">
        <f t="shared" si="19"/>
        <v>1294380</v>
      </c>
      <c r="H585" s="258">
        <v>341.11</v>
      </c>
      <c r="I585" s="258">
        <v>293.95999999999998</v>
      </c>
      <c r="J585" s="217">
        <v>47.15</v>
      </c>
      <c r="K585" s="217" t="s">
        <v>2792</v>
      </c>
    </row>
    <row r="586" spans="1:11">
      <c r="A586" s="217">
        <v>583</v>
      </c>
      <c r="B586" s="218" t="s">
        <v>3354</v>
      </c>
      <c r="C586" s="217" t="s">
        <v>11</v>
      </c>
      <c r="D586" s="217" t="s">
        <v>35</v>
      </c>
      <c r="E586" s="209">
        <v>1376000</v>
      </c>
      <c r="F586" s="212">
        <f t="shared" si="18"/>
        <v>1334720</v>
      </c>
      <c r="G586" s="206">
        <f t="shared" si="19"/>
        <v>1293440</v>
      </c>
      <c r="H586" s="258">
        <v>375.34</v>
      </c>
      <c r="I586" s="258">
        <v>292.45999999999998</v>
      </c>
      <c r="J586" s="217">
        <v>82.88</v>
      </c>
      <c r="K586" s="217" t="s">
        <v>2792</v>
      </c>
    </row>
    <row r="587" spans="1:11">
      <c r="A587" s="217">
        <v>584</v>
      </c>
      <c r="B587" s="218" t="s">
        <v>3355</v>
      </c>
      <c r="C587" s="217" t="s">
        <v>11</v>
      </c>
      <c r="D587" s="217" t="s">
        <v>35</v>
      </c>
      <c r="E587" s="209">
        <v>1376000</v>
      </c>
      <c r="F587" s="212">
        <f t="shared" si="18"/>
        <v>1334720</v>
      </c>
      <c r="G587" s="206">
        <f t="shared" si="19"/>
        <v>1293440</v>
      </c>
      <c r="H587" s="258">
        <v>375.34</v>
      </c>
      <c r="I587" s="258">
        <v>292.45999999999998</v>
      </c>
      <c r="J587" s="217">
        <v>82.88</v>
      </c>
      <c r="K587" s="217" t="s">
        <v>2792</v>
      </c>
    </row>
    <row r="588" spans="1:11">
      <c r="A588" s="217">
        <v>585</v>
      </c>
      <c r="B588" s="218" t="s">
        <v>3356</v>
      </c>
      <c r="C588" s="217" t="s">
        <v>11</v>
      </c>
      <c r="D588" s="217" t="s">
        <v>35</v>
      </c>
      <c r="E588" s="209">
        <v>1377000</v>
      </c>
      <c r="F588" s="212">
        <f t="shared" si="18"/>
        <v>1335690</v>
      </c>
      <c r="G588" s="206">
        <f t="shared" si="19"/>
        <v>1294380</v>
      </c>
      <c r="H588" s="258">
        <v>341.11</v>
      </c>
      <c r="I588" s="258">
        <v>293.95999999999998</v>
      </c>
      <c r="J588" s="217">
        <v>47.15</v>
      </c>
      <c r="K588" s="217" t="s">
        <v>2792</v>
      </c>
    </row>
    <row r="589" spans="1:11">
      <c r="A589" s="217">
        <v>586</v>
      </c>
      <c r="B589" s="218" t="s">
        <v>3357</v>
      </c>
      <c r="C589" s="217" t="s">
        <v>11</v>
      </c>
      <c r="D589" s="217" t="s">
        <v>35</v>
      </c>
      <c r="E589" s="209">
        <v>1377000</v>
      </c>
      <c r="F589" s="212">
        <f t="shared" si="18"/>
        <v>1335690</v>
      </c>
      <c r="G589" s="206">
        <f t="shared" si="19"/>
        <v>1294380</v>
      </c>
      <c r="H589" s="258">
        <v>341.11</v>
      </c>
      <c r="I589" s="258">
        <v>293.95999999999998</v>
      </c>
      <c r="J589" s="217">
        <v>47.15</v>
      </c>
      <c r="K589" s="217" t="s">
        <v>2787</v>
      </c>
    </row>
    <row r="590" spans="1:11">
      <c r="A590" s="217">
        <v>587</v>
      </c>
      <c r="B590" s="218" t="s">
        <v>3358</v>
      </c>
      <c r="C590" s="217" t="s">
        <v>11</v>
      </c>
      <c r="D590" s="217" t="s">
        <v>35</v>
      </c>
      <c r="E590" s="209">
        <v>1376000</v>
      </c>
      <c r="F590" s="212">
        <f t="shared" si="18"/>
        <v>1334720</v>
      </c>
      <c r="G590" s="206">
        <f t="shared" si="19"/>
        <v>1293440</v>
      </c>
      <c r="H590" s="258">
        <v>375.34</v>
      </c>
      <c r="I590" s="258">
        <v>292.45999999999998</v>
      </c>
      <c r="J590" s="217">
        <v>82.88</v>
      </c>
      <c r="K590" s="217" t="s">
        <v>2787</v>
      </c>
    </row>
    <row r="591" spans="1:11">
      <c r="A591" s="217">
        <v>588</v>
      </c>
      <c r="B591" s="218" t="s">
        <v>3359</v>
      </c>
      <c r="C591" s="217" t="s">
        <v>11</v>
      </c>
      <c r="D591" s="217" t="s">
        <v>35</v>
      </c>
      <c r="E591" s="209">
        <v>1376000</v>
      </c>
      <c r="F591" s="212">
        <f t="shared" si="18"/>
        <v>1334720</v>
      </c>
      <c r="G591" s="206">
        <f t="shared" si="19"/>
        <v>1293440</v>
      </c>
      <c r="H591" s="258">
        <v>375.34</v>
      </c>
      <c r="I591" s="258">
        <v>292.45999999999998</v>
      </c>
      <c r="J591" s="217">
        <v>82.88</v>
      </c>
      <c r="K591" s="217" t="s">
        <v>2787</v>
      </c>
    </row>
    <row r="592" spans="1:11">
      <c r="A592" s="217">
        <v>589</v>
      </c>
      <c r="B592" s="218" t="s">
        <v>3360</v>
      </c>
      <c r="C592" s="217" t="s">
        <v>11</v>
      </c>
      <c r="D592" s="217" t="s">
        <v>35</v>
      </c>
      <c r="E592" s="209">
        <v>1377000</v>
      </c>
      <c r="F592" s="212">
        <f t="shared" si="18"/>
        <v>1335690</v>
      </c>
      <c r="G592" s="206">
        <f t="shared" si="19"/>
        <v>1294380</v>
      </c>
      <c r="H592" s="258">
        <v>341.11</v>
      </c>
      <c r="I592" s="258">
        <v>293.95999999999998</v>
      </c>
      <c r="J592" s="217">
        <v>47.15</v>
      </c>
      <c r="K592" s="217" t="s">
        <v>2787</v>
      </c>
    </row>
    <row r="593" spans="1:11">
      <c r="A593" s="217">
        <v>590</v>
      </c>
      <c r="B593" s="218" t="s">
        <v>3361</v>
      </c>
      <c r="C593" s="217" t="s">
        <v>12</v>
      </c>
      <c r="D593" s="217" t="s">
        <v>35</v>
      </c>
      <c r="E593" s="209">
        <v>1379000</v>
      </c>
      <c r="F593" s="212">
        <f t="shared" si="18"/>
        <v>1337630</v>
      </c>
      <c r="G593" s="206">
        <f t="shared" si="19"/>
        <v>1296260</v>
      </c>
      <c r="H593" s="258">
        <v>401.82</v>
      </c>
      <c r="I593" s="258">
        <v>292.45999999999998</v>
      </c>
      <c r="J593" s="217">
        <v>109.36</v>
      </c>
      <c r="K593" s="217" t="s">
        <v>2792</v>
      </c>
    </row>
    <row r="594" spans="1:11">
      <c r="A594" s="217">
        <v>591</v>
      </c>
      <c r="B594" s="218" t="s">
        <v>3362</v>
      </c>
      <c r="C594" s="217" t="s">
        <v>12</v>
      </c>
      <c r="D594" s="217" t="s">
        <v>35</v>
      </c>
      <c r="E594" s="209">
        <v>1379000</v>
      </c>
      <c r="F594" s="212">
        <f t="shared" si="18"/>
        <v>1337630</v>
      </c>
      <c r="G594" s="206">
        <f t="shared" si="19"/>
        <v>1296260</v>
      </c>
      <c r="H594" s="258">
        <v>401.82</v>
      </c>
      <c r="I594" s="258">
        <v>292.45999999999998</v>
      </c>
      <c r="J594" s="217">
        <v>109.36</v>
      </c>
      <c r="K594" s="217" t="s">
        <v>2792</v>
      </c>
    </row>
    <row r="595" spans="1:11">
      <c r="A595" s="217">
        <v>592</v>
      </c>
      <c r="B595" s="218" t="s">
        <v>3363</v>
      </c>
      <c r="C595" s="217" t="s">
        <v>12</v>
      </c>
      <c r="D595" s="217" t="s">
        <v>35</v>
      </c>
      <c r="E595" s="209">
        <v>1379000</v>
      </c>
      <c r="F595" s="212">
        <f t="shared" si="18"/>
        <v>1337630</v>
      </c>
      <c r="G595" s="206">
        <f t="shared" si="19"/>
        <v>1296260</v>
      </c>
      <c r="H595" s="258">
        <v>401.82</v>
      </c>
      <c r="I595" s="258">
        <v>292.45999999999998</v>
      </c>
      <c r="J595" s="217">
        <v>109.36</v>
      </c>
      <c r="K595" s="217" t="s">
        <v>2787</v>
      </c>
    </row>
    <row r="596" spans="1:11">
      <c r="A596" s="217">
        <v>593</v>
      </c>
      <c r="B596" s="218" t="s">
        <v>3364</v>
      </c>
      <c r="C596" s="217" t="s">
        <v>12</v>
      </c>
      <c r="D596" s="217" t="s">
        <v>35</v>
      </c>
      <c r="E596" s="209">
        <v>1379000</v>
      </c>
      <c r="F596" s="212">
        <f t="shared" si="18"/>
        <v>1337630</v>
      </c>
      <c r="G596" s="206">
        <f t="shared" si="19"/>
        <v>1296260</v>
      </c>
      <c r="H596" s="258">
        <v>401.82</v>
      </c>
      <c r="I596" s="258">
        <v>292.45999999999998</v>
      </c>
      <c r="J596" s="217">
        <v>109.36</v>
      </c>
      <c r="K596" s="217" t="s">
        <v>2787</v>
      </c>
    </row>
    <row r="597" spans="1:11">
      <c r="A597" s="217">
        <v>594</v>
      </c>
      <c r="B597" s="218" t="s">
        <v>3365</v>
      </c>
      <c r="C597" s="217" t="s">
        <v>12</v>
      </c>
      <c r="D597" s="217" t="s">
        <v>35</v>
      </c>
      <c r="E597" s="209">
        <v>1378000</v>
      </c>
      <c r="F597" s="212">
        <f t="shared" si="18"/>
        <v>1336660</v>
      </c>
      <c r="G597" s="206">
        <f t="shared" si="19"/>
        <v>1295320</v>
      </c>
      <c r="H597" s="258">
        <v>395.68</v>
      </c>
      <c r="I597" s="258">
        <v>292.45999999999998</v>
      </c>
      <c r="J597" s="217">
        <v>103.23</v>
      </c>
      <c r="K597" s="217" t="s">
        <v>2792</v>
      </c>
    </row>
    <row r="598" spans="1:11">
      <c r="A598" s="217">
        <v>595</v>
      </c>
      <c r="B598" s="218" t="s">
        <v>3366</v>
      </c>
      <c r="C598" s="217" t="s">
        <v>12</v>
      </c>
      <c r="D598" s="217" t="s">
        <v>35</v>
      </c>
      <c r="E598" s="209">
        <v>1378000</v>
      </c>
      <c r="F598" s="212">
        <f t="shared" si="18"/>
        <v>1336660</v>
      </c>
      <c r="G598" s="206">
        <f t="shared" si="19"/>
        <v>1295320</v>
      </c>
      <c r="H598" s="258">
        <v>395.68</v>
      </c>
      <c r="I598" s="258">
        <v>292.45999999999998</v>
      </c>
      <c r="J598" s="217">
        <v>103.23</v>
      </c>
      <c r="K598" s="217" t="s">
        <v>2792</v>
      </c>
    </row>
    <row r="599" spans="1:11">
      <c r="A599" s="217">
        <v>596</v>
      </c>
      <c r="B599" s="218" t="s">
        <v>3367</v>
      </c>
      <c r="C599" s="217" t="s">
        <v>12</v>
      </c>
      <c r="D599" s="217" t="s">
        <v>35</v>
      </c>
      <c r="E599" s="209">
        <v>1378000</v>
      </c>
      <c r="F599" s="212">
        <f t="shared" si="18"/>
        <v>1336660</v>
      </c>
      <c r="G599" s="206">
        <f t="shared" si="19"/>
        <v>1295320</v>
      </c>
      <c r="H599" s="258">
        <v>395.68</v>
      </c>
      <c r="I599" s="258">
        <v>292.45999999999998</v>
      </c>
      <c r="J599" s="217">
        <v>103.23</v>
      </c>
      <c r="K599" s="217" t="s">
        <v>2787</v>
      </c>
    </row>
    <row r="600" spans="1:11">
      <c r="A600" s="217">
        <v>597</v>
      </c>
      <c r="B600" s="218" t="s">
        <v>3368</v>
      </c>
      <c r="C600" s="217" t="s">
        <v>12</v>
      </c>
      <c r="D600" s="217" t="s">
        <v>35</v>
      </c>
      <c r="E600" s="209">
        <v>1378000</v>
      </c>
      <c r="F600" s="212">
        <f t="shared" si="18"/>
        <v>1336660</v>
      </c>
      <c r="G600" s="206">
        <f t="shared" si="19"/>
        <v>1295320</v>
      </c>
      <c r="H600" s="258">
        <v>395.68</v>
      </c>
      <c r="I600" s="258">
        <v>292.45999999999998</v>
      </c>
      <c r="J600" s="217">
        <v>103.23</v>
      </c>
      <c r="K600" s="217" t="s">
        <v>2787</v>
      </c>
    </row>
    <row r="601" spans="1:11">
      <c r="A601" s="217">
        <v>598</v>
      </c>
      <c r="B601" s="218" t="s">
        <v>3369</v>
      </c>
      <c r="C601" s="217" t="s">
        <v>32</v>
      </c>
      <c r="D601" s="217" t="s">
        <v>35</v>
      </c>
      <c r="E601" s="209">
        <v>1380000</v>
      </c>
      <c r="F601" s="212">
        <f t="shared" si="18"/>
        <v>1338600</v>
      </c>
      <c r="G601" s="206">
        <f t="shared" si="19"/>
        <v>1297200</v>
      </c>
      <c r="H601" s="258">
        <v>361.13</v>
      </c>
      <c r="I601" s="258">
        <v>292.45999999999998</v>
      </c>
      <c r="J601" s="217">
        <v>68.67</v>
      </c>
      <c r="K601" s="217" t="s">
        <v>2792</v>
      </c>
    </row>
    <row r="602" spans="1:11">
      <c r="A602" s="217">
        <v>599</v>
      </c>
      <c r="B602" s="218" t="s">
        <v>3370</v>
      </c>
      <c r="C602" s="217" t="s">
        <v>32</v>
      </c>
      <c r="D602" s="217" t="s">
        <v>35</v>
      </c>
      <c r="E602" s="209">
        <v>1380000</v>
      </c>
      <c r="F602" s="212">
        <f t="shared" si="18"/>
        <v>1338600</v>
      </c>
      <c r="G602" s="206">
        <f t="shared" si="19"/>
        <v>1297200</v>
      </c>
      <c r="H602" s="258">
        <v>361.13</v>
      </c>
      <c r="I602" s="258">
        <v>292.45999999999998</v>
      </c>
      <c r="J602" s="217">
        <v>68.67</v>
      </c>
      <c r="K602" s="217" t="s">
        <v>2792</v>
      </c>
    </row>
    <row r="603" spans="1:11">
      <c r="A603" s="217">
        <v>600</v>
      </c>
      <c r="B603" s="218" t="s">
        <v>3371</v>
      </c>
      <c r="C603" s="217" t="s">
        <v>32</v>
      </c>
      <c r="D603" s="217" t="s">
        <v>35</v>
      </c>
      <c r="E603" s="209">
        <v>1380000</v>
      </c>
      <c r="F603" s="212">
        <f t="shared" si="18"/>
        <v>1338600</v>
      </c>
      <c r="G603" s="206">
        <f t="shared" si="19"/>
        <v>1297200</v>
      </c>
      <c r="H603" s="258">
        <v>361.13</v>
      </c>
      <c r="I603" s="258">
        <v>292.45999999999998</v>
      </c>
      <c r="J603" s="217">
        <v>68.67</v>
      </c>
      <c r="K603" s="217" t="s">
        <v>2787</v>
      </c>
    </row>
    <row r="604" spans="1:11">
      <c r="A604" s="217">
        <v>601</v>
      </c>
      <c r="B604" s="218" t="s">
        <v>3372</v>
      </c>
      <c r="C604" s="217" t="s">
        <v>32</v>
      </c>
      <c r="D604" s="217" t="s">
        <v>35</v>
      </c>
      <c r="E604" s="209">
        <v>1380000</v>
      </c>
      <c r="F604" s="212">
        <f t="shared" si="18"/>
        <v>1338600</v>
      </c>
      <c r="G604" s="206">
        <f t="shared" si="19"/>
        <v>1297200</v>
      </c>
      <c r="H604" s="258">
        <v>361.13</v>
      </c>
      <c r="I604" s="258">
        <v>292.45999999999998</v>
      </c>
      <c r="J604" s="217">
        <v>68.67</v>
      </c>
      <c r="K604" s="217" t="s">
        <v>2787</v>
      </c>
    </row>
    <row r="605" spans="1:11">
      <c r="A605" s="217">
        <v>602</v>
      </c>
      <c r="B605" s="218" t="s">
        <v>3373</v>
      </c>
      <c r="C605" s="217" t="s">
        <v>12</v>
      </c>
      <c r="D605" s="217" t="s">
        <v>35</v>
      </c>
      <c r="E605" s="209">
        <v>1377000</v>
      </c>
      <c r="F605" s="212">
        <f t="shared" si="18"/>
        <v>1335690</v>
      </c>
      <c r="G605" s="206">
        <f t="shared" si="19"/>
        <v>1294380</v>
      </c>
      <c r="H605" s="258">
        <v>386.85</v>
      </c>
      <c r="I605" s="258">
        <v>292.45999999999998</v>
      </c>
      <c r="J605" s="217">
        <v>94.4</v>
      </c>
      <c r="K605" s="217" t="s">
        <v>2792</v>
      </c>
    </row>
    <row r="606" spans="1:11">
      <c r="A606" s="217">
        <v>603</v>
      </c>
      <c r="B606" s="218" t="s">
        <v>3374</v>
      </c>
      <c r="C606" s="217" t="s">
        <v>12</v>
      </c>
      <c r="D606" s="217" t="s">
        <v>35</v>
      </c>
      <c r="E606" s="209">
        <v>1377000</v>
      </c>
      <c r="F606" s="212">
        <f t="shared" si="18"/>
        <v>1335690</v>
      </c>
      <c r="G606" s="206">
        <f t="shared" si="19"/>
        <v>1294380</v>
      </c>
      <c r="H606" s="258">
        <v>386.85</v>
      </c>
      <c r="I606" s="258">
        <v>292.45999999999998</v>
      </c>
      <c r="J606" s="217">
        <v>94.4</v>
      </c>
      <c r="K606" s="217" t="s">
        <v>2792</v>
      </c>
    </row>
    <row r="607" spans="1:11">
      <c r="A607" s="217">
        <v>604</v>
      </c>
      <c r="B607" s="218" t="s">
        <v>3375</v>
      </c>
      <c r="C607" s="217" t="s">
        <v>12</v>
      </c>
      <c r="D607" s="217" t="s">
        <v>35</v>
      </c>
      <c r="E607" s="209">
        <v>1377000</v>
      </c>
      <c r="F607" s="212">
        <f t="shared" si="18"/>
        <v>1335690</v>
      </c>
      <c r="G607" s="206">
        <f t="shared" si="19"/>
        <v>1294380</v>
      </c>
      <c r="H607" s="258">
        <v>386.85</v>
      </c>
      <c r="I607" s="258">
        <v>292.45999999999998</v>
      </c>
      <c r="J607" s="217">
        <v>94.4</v>
      </c>
      <c r="K607" s="217" t="s">
        <v>2787</v>
      </c>
    </row>
    <row r="608" spans="1:11">
      <c r="A608" s="217">
        <v>605</v>
      </c>
      <c r="B608" s="218" t="s">
        <v>3376</v>
      </c>
      <c r="C608" s="217" t="s">
        <v>12</v>
      </c>
      <c r="D608" s="217" t="s">
        <v>35</v>
      </c>
      <c r="E608" s="209">
        <v>1377000</v>
      </c>
      <c r="F608" s="212">
        <f t="shared" si="18"/>
        <v>1335690</v>
      </c>
      <c r="G608" s="206">
        <f t="shared" si="19"/>
        <v>1294380</v>
      </c>
      <c r="H608" s="258">
        <v>386.85</v>
      </c>
      <c r="I608" s="258">
        <v>292.45999999999998</v>
      </c>
      <c r="J608" s="217">
        <v>94.4</v>
      </c>
      <c r="K608" s="217" t="s">
        <v>2787</v>
      </c>
    </row>
    <row r="609" spans="1:11">
      <c r="A609" s="217">
        <v>606</v>
      </c>
      <c r="B609" s="218" t="s">
        <v>3377</v>
      </c>
      <c r="C609" s="217" t="s">
        <v>12</v>
      </c>
      <c r="D609" s="217" t="s">
        <v>35</v>
      </c>
      <c r="E609" s="209">
        <v>1374000</v>
      </c>
      <c r="F609" s="212">
        <f t="shared" si="18"/>
        <v>1332780</v>
      </c>
      <c r="G609" s="206">
        <f t="shared" si="19"/>
        <v>1291560</v>
      </c>
      <c r="H609" s="258">
        <v>341.11</v>
      </c>
      <c r="I609" s="258">
        <v>293.95999999999998</v>
      </c>
      <c r="J609" s="217">
        <v>47.15</v>
      </c>
      <c r="K609" s="217" t="s">
        <v>2792</v>
      </c>
    </row>
    <row r="610" spans="1:11">
      <c r="A610" s="217">
        <v>607</v>
      </c>
      <c r="B610" s="218" t="s">
        <v>3378</v>
      </c>
      <c r="C610" s="217" t="s">
        <v>12</v>
      </c>
      <c r="D610" s="217" t="s">
        <v>35</v>
      </c>
      <c r="E610" s="209">
        <v>1374000</v>
      </c>
      <c r="F610" s="212">
        <f t="shared" si="18"/>
        <v>1332780</v>
      </c>
      <c r="G610" s="206">
        <f t="shared" si="19"/>
        <v>1291560</v>
      </c>
      <c r="H610" s="258">
        <v>375.34</v>
      </c>
      <c r="I610" s="258">
        <v>292.45999999999998</v>
      </c>
      <c r="J610" s="217">
        <v>82.88</v>
      </c>
      <c r="K610" s="217" t="s">
        <v>2792</v>
      </c>
    </row>
    <row r="611" spans="1:11">
      <c r="A611" s="217">
        <v>608</v>
      </c>
      <c r="B611" s="218" t="s">
        <v>3379</v>
      </c>
      <c r="C611" s="217" t="s">
        <v>12</v>
      </c>
      <c r="D611" s="217" t="s">
        <v>35</v>
      </c>
      <c r="E611" s="209">
        <v>1374000</v>
      </c>
      <c r="F611" s="212">
        <f t="shared" si="18"/>
        <v>1332780</v>
      </c>
      <c r="G611" s="206">
        <f t="shared" si="19"/>
        <v>1291560</v>
      </c>
      <c r="H611" s="258">
        <v>375.34</v>
      </c>
      <c r="I611" s="258">
        <v>292.45999999999998</v>
      </c>
      <c r="J611" s="217">
        <v>82.88</v>
      </c>
      <c r="K611" s="217" t="s">
        <v>2792</v>
      </c>
    </row>
    <row r="612" spans="1:11">
      <c r="A612" s="217">
        <v>609</v>
      </c>
      <c r="B612" s="218" t="s">
        <v>3380</v>
      </c>
      <c r="C612" s="217" t="s">
        <v>12</v>
      </c>
      <c r="D612" s="217" t="s">
        <v>35</v>
      </c>
      <c r="E612" s="209">
        <v>1374000</v>
      </c>
      <c r="F612" s="212">
        <f t="shared" si="18"/>
        <v>1332780</v>
      </c>
      <c r="G612" s="206">
        <f t="shared" si="19"/>
        <v>1291560</v>
      </c>
      <c r="H612" s="258">
        <v>341.11</v>
      </c>
      <c r="I612" s="258">
        <v>293.95999999999998</v>
      </c>
      <c r="J612" s="217">
        <v>47.15</v>
      </c>
      <c r="K612" s="217" t="s">
        <v>2792</v>
      </c>
    </row>
    <row r="613" spans="1:11">
      <c r="A613" s="217">
        <v>610</v>
      </c>
      <c r="B613" s="218" t="s">
        <v>3381</v>
      </c>
      <c r="C613" s="217" t="s">
        <v>12</v>
      </c>
      <c r="D613" s="217" t="s">
        <v>35</v>
      </c>
      <c r="E613" s="209">
        <v>1374000</v>
      </c>
      <c r="F613" s="212">
        <f t="shared" si="18"/>
        <v>1332780</v>
      </c>
      <c r="G613" s="206">
        <f t="shared" si="19"/>
        <v>1291560</v>
      </c>
      <c r="H613" s="258">
        <v>375.34</v>
      </c>
      <c r="I613" s="258">
        <v>292.45999999999998</v>
      </c>
      <c r="J613" s="217">
        <v>82.88</v>
      </c>
      <c r="K613" s="217" t="s">
        <v>2787</v>
      </c>
    </row>
    <row r="614" spans="1:11">
      <c r="A614" s="217">
        <v>611</v>
      </c>
      <c r="B614" s="218" t="s">
        <v>3382</v>
      </c>
      <c r="C614" s="217" t="s">
        <v>12</v>
      </c>
      <c r="D614" s="217" t="s">
        <v>35</v>
      </c>
      <c r="E614" s="209">
        <v>1374000</v>
      </c>
      <c r="F614" s="212">
        <f t="shared" si="18"/>
        <v>1332780</v>
      </c>
      <c r="G614" s="206">
        <f t="shared" si="19"/>
        <v>1291560</v>
      </c>
      <c r="H614" s="258">
        <v>375.34</v>
      </c>
      <c r="I614" s="258">
        <v>292.45999999999998</v>
      </c>
      <c r="J614" s="217">
        <v>82.88</v>
      </c>
      <c r="K614" s="217" t="s">
        <v>2787</v>
      </c>
    </row>
    <row r="615" spans="1:11">
      <c r="A615" s="217">
        <v>612</v>
      </c>
      <c r="B615" s="218" t="s">
        <v>3383</v>
      </c>
      <c r="C615" s="217" t="s">
        <v>12</v>
      </c>
      <c r="D615" s="217" t="s">
        <v>35</v>
      </c>
      <c r="E615" s="209">
        <v>1374000</v>
      </c>
      <c r="F615" s="212">
        <f t="shared" si="18"/>
        <v>1332780</v>
      </c>
      <c r="G615" s="206">
        <f t="shared" si="19"/>
        <v>1291560</v>
      </c>
      <c r="H615" s="258">
        <v>341.11</v>
      </c>
      <c r="I615" s="258">
        <v>293.95999999999998</v>
      </c>
      <c r="J615" s="217">
        <v>47.15</v>
      </c>
      <c r="K615" s="217" t="s">
        <v>2787</v>
      </c>
    </row>
    <row r="616" spans="1:11">
      <c r="A616" s="217">
        <v>613</v>
      </c>
      <c r="B616" s="218" t="s">
        <v>3384</v>
      </c>
      <c r="C616" s="217" t="s">
        <v>32</v>
      </c>
      <c r="D616" s="217" t="s">
        <v>35</v>
      </c>
      <c r="E616" s="209">
        <v>1377000</v>
      </c>
      <c r="F616" s="212">
        <f t="shared" si="18"/>
        <v>1335690</v>
      </c>
      <c r="G616" s="206">
        <f t="shared" si="19"/>
        <v>1294380</v>
      </c>
      <c r="H616" s="258">
        <v>401.82</v>
      </c>
      <c r="I616" s="258">
        <v>292.45999999999998</v>
      </c>
      <c r="J616" s="217">
        <v>109.36</v>
      </c>
      <c r="K616" s="217" t="s">
        <v>2792</v>
      </c>
    </row>
    <row r="617" spans="1:11">
      <c r="A617" s="217">
        <v>614</v>
      </c>
      <c r="B617" s="218" t="s">
        <v>3385</v>
      </c>
      <c r="C617" s="217" t="s">
        <v>32</v>
      </c>
      <c r="D617" s="217" t="s">
        <v>35</v>
      </c>
      <c r="E617" s="209">
        <v>1377000</v>
      </c>
      <c r="F617" s="212">
        <f t="shared" si="18"/>
        <v>1335690</v>
      </c>
      <c r="G617" s="206">
        <f t="shared" si="19"/>
        <v>1294380</v>
      </c>
      <c r="H617" s="258">
        <v>401.82</v>
      </c>
      <c r="I617" s="258">
        <v>292.45999999999998</v>
      </c>
      <c r="J617" s="217">
        <v>109.36</v>
      </c>
      <c r="K617" s="217" t="s">
        <v>2792</v>
      </c>
    </row>
    <row r="618" spans="1:11">
      <c r="A618" s="217">
        <v>615</v>
      </c>
      <c r="B618" s="218" t="s">
        <v>3386</v>
      </c>
      <c r="C618" s="217" t="s">
        <v>32</v>
      </c>
      <c r="D618" s="217" t="s">
        <v>35</v>
      </c>
      <c r="E618" s="209">
        <v>1377000</v>
      </c>
      <c r="F618" s="212">
        <f t="shared" si="18"/>
        <v>1335690</v>
      </c>
      <c r="G618" s="206">
        <f t="shared" si="19"/>
        <v>1294380</v>
      </c>
      <c r="H618" s="258">
        <v>401.82</v>
      </c>
      <c r="I618" s="258">
        <v>292.45999999999998</v>
      </c>
      <c r="J618" s="217">
        <v>109.36</v>
      </c>
      <c r="K618" s="217" t="s">
        <v>2787</v>
      </c>
    </row>
    <row r="619" spans="1:11">
      <c r="A619" s="217">
        <v>616</v>
      </c>
      <c r="B619" s="218" t="s">
        <v>3387</v>
      </c>
      <c r="C619" s="217" t="s">
        <v>32</v>
      </c>
      <c r="D619" s="217" t="s">
        <v>35</v>
      </c>
      <c r="E619" s="209">
        <v>1377000</v>
      </c>
      <c r="F619" s="212">
        <f t="shared" si="18"/>
        <v>1335690</v>
      </c>
      <c r="G619" s="206">
        <f t="shared" si="19"/>
        <v>1294380</v>
      </c>
      <c r="H619" s="258">
        <v>401.82</v>
      </c>
      <c r="I619" s="258">
        <v>292.45999999999998</v>
      </c>
      <c r="J619" s="217">
        <v>109.36</v>
      </c>
      <c r="K619" s="217" t="s">
        <v>2787</v>
      </c>
    </row>
    <row r="620" spans="1:11">
      <c r="A620" s="217">
        <v>617</v>
      </c>
      <c r="B620" s="218" t="s">
        <v>3388</v>
      </c>
      <c r="C620" s="217" t="s">
        <v>32</v>
      </c>
      <c r="D620" s="217" t="s">
        <v>35</v>
      </c>
      <c r="E620" s="209">
        <v>1375000</v>
      </c>
      <c r="F620" s="212">
        <f t="shared" si="18"/>
        <v>1333750</v>
      </c>
      <c r="G620" s="206">
        <f t="shared" si="19"/>
        <v>1292500</v>
      </c>
      <c r="H620" s="258">
        <v>395.68</v>
      </c>
      <c r="I620" s="258">
        <v>292.45999999999998</v>
      </c>
      <c r="J620" s="217">
        <v>103.23</v>
      </c>
      <c r="K620" s="217" t="s">
        <v>2792</v>
      </c>
    </row>
    <row r="621" spans="1:11">
      <c r="A621" s="217">
        <v>618</v>
      </c>
      <c r="B621" s="218" t="s">
        <v>3389</v>
      </c>
      <c r="C621" s="217" t="s">
        <v>32</v>
      </c>
      <c r="D621" s="217" t="s">
        <v>35</v>
      </c>
      <c r="E621" s="209">
        <v>1375000</v>
      </c>
      <c r="F621" s="212">
        <f t="shared" si="18"/>
        <v>1333750</v>
      </c>
      <c r="G621" s="206">
        <f t="shared" si="19"/>
        <v>1292500</v>
      </c>
      <c r="H621" s="258">
        <v>395.68</v>
      </c>
      <c r="I621" s="258">
        <v>292.45999999999998</v>
      </c>
      <c r="J621" s="217">
        <v>103.23</v>
      </c>
      <c r="K621" s="217" t="s">
        <v>2792</v>
      </c>
    </row>
    <row r="622" spans="1:11">
      <c r="A622" s="217">
        <v>619</v>
      </c>
      <c r="B622" s="218" t="s">
        <v>3390</v>
      </c>
      <c r="C622" s="217" t="s">
        <v>32</v>
      </c>
      <c r="D622" s="217" t="s">
        <v>35</v>
      </c>
      <c r="E622" s="209">
        <v>1375000</v>
      </c>
      <c r="F622" s="212">
        <f t="shared" si="18"/>
        <v>1333750</v>
      </c>
      <c r="G622" s="206">
        <f t="shared" si="19"/>
        <v>1292500</v>
      </c>
      <c r="H622" s="258">
        <v>395.68</v>
      </c>
      <c r="I622" s="258">
        <v>292.45999999999998</v>
      </c>
      <c r="J622" s="217">
        <v>103.23</v>
      </c>
      <c r="K622" s="217" t="s">
        <v>2787</v>
      </c>
    </row>
    <row r="623" spans="1:11">
      <c r="A623" s="217">
        <v>620</v>
      </c>
      <c r="B623" s="218" t="s">
        <v>3391</v>
      </c>
      <c r="C623" s="217" t="s">
        <v>32</v>
      </c>
      <c r="D623" s="217" t="s">
        <v>35</v>
      </c>
      <c r="E623" s="209">
        <v>1375000</v>
      </c>
      <c r="F623" s="212">
        <f t="shared" si="18"/>
        <v>1333750</v>
      </c>
      <c r="G623" s="206">
        <f t="shared" si="19"/>
        <v>1292500</v>
      </c>
      <c r="H623" s="258">
        <v>395.68</v>
      </c>
      <c r="I623" s="258">
        <v>292.45999999999998</v>
      </c>
      <c r="J623" s="217">
        <v>103.23</v>
      </c>
      <c r="K623" s="217" t="s">
        <v>2787</v>
      </c>
    </row>
    <row r="624" spans="1:11">
      <c r="A624" s="217">
        <v>621</v>
      </c>
      <c r="B624" s="218" t="s">
        <v>3392</v>
      </c>
      <c r="C624" s="217" t="s">
        <v>32</v>
      </c>
      <c r="D624" s="217" t="s">
        <v>35</v>
      </c>
      <c r="E624" s="209">
        <v>1374000</v>
      </c>
      <c r="F624" s="212">
        <f t="shared" si="18"/>
        <v>1332780</v>
      </c>
      <c r="G624" s="206">
        <f t="shared" si="19"/>
        <v>1291560</v>
      </c>
      <c r="H624" s="258">
        <v>386.85</v>
      </c>
      <c r="I624" s="258">
        <v>292.45999999999998</v>
      </c>
      <c r="J624" s="217">
        <v>94.4</v>
      </c>
      <c r="K624" s="217" t="s">
        <v>2792</v>
      </c>
    </row>
    <row r="625" spans="1:11">
      <c r="A625" s="217">
        <v>622</v>
      </c>
      <c r="B625" s="218" t="s">
        <v>3393</v>
      </c>
      <c r="C625" s="217" t="s">
        <v>32</v>
      </c>
      <c r="D625" s="217" t="s">
        <v>35</v>
      </c>
      <c r="E625" s="209">
        <v>1374000</v>
      </c>
      <c r="F625" s="212">
        <f t="shared" si="18"/>
        <v>1332780</v>
      </c>
      <c r="G625" s="206">
        <f t="shared" si="19"/>
        <v>1291560</v>
      </c>
      <c r="H625" s="258">
        <v>386.85</v>
      </c>
      <c r="I625" s="258">
        <v>292.45999999999998</v>
      </c>
      <c r="J625" s="217">
        <v>94.4</v>
      </c>
      <c r="K625" s="217" t="s">
        <v>2792</v>
      </c>
    </row>
    <row r="626" spans="1:11">
      <c r="A626" s="217">
        <v>623</v>
      </c>
      <c r="B626" s="218" t="s">
        <v>3394</v>
      </c>
      <c r="C626" s="217" t="s">
        <v>32</v>
      </c>
      <c r="D626" s="217" t="s">
        <v>35</v>
      </c>
      <c r="E626" s="209">
        <v>1374000</v>
      </c>
      <c r="F626" s="212">
        <f t="shared" si="18"/>
        <v>1332780</v>
      </c>
      <c r="G626" s="206">
        <f t="shared" si="19"/>
        <v>1291560</v>
      </c>
      <c r="H626" s="258">
        <v>386.85</v>
      </c>
      <c r="I626" s="258">
        <v>292.45999999999998</v>
      </c>
      <c r="J626" s="217">
        <v>94.4</v>
      </c>
      <c r="K626" s="217" t="s">
        <v>2787</v>
      </c>
    </row>
    <row r="627" spans="1:11">
      <c r="A627" s="217">
        <v>624</v>
      </c>
      <c r="B627" s="218" t="s">
        <v>3395</v>
      </c>
      <c r="C627" s="217" t="s">
        <v>32</v>
      </c>
      <c r="D627" s="217" t="s">
        <v>35</v>
      </c>
      <c r="E627" s="209">
        <v>1374000</v>
      </c>
      <c r="F627" s="212">
        <f t="shared" si="18"/>
        <v>1332780</v>
      </c>
      <c r="G627" s="206">
        <f t="shared" si="19"/>
        <v>1291560</v>
      </c>
      <c r="H627" s="258">
        <v>386.85</v>
      </c>
      <c r="I627" s="258">
        <v>292.45999999999998</v>
      </c>
      <c r="J627" s="217">
        <v>94.4</v>
      </c>
      <c r="K627" s="217" t="s">
        <v>2787</v>
      </c>
    </row>
    <row r="628" spans="1:11">
      <c r="A628" s="217">
        <v>625</v>
      </c>
      <c r="B628" s="218" t="s">
        <v>3396</v>
      </c>
      <c r="C628" s="217" t="s">
        <v>4459</v>
      </c>
      <c r="D628" s="217" t="s">
        <v>35</v>
      </c>
      <c r="E628" s="209">
        <v>1377000</v>
      </c>
      <c r="F628" s="212">
        <f t="shared" si="18"/>
        <v>1335690</v>
      </c>
      <c r="G628" s="206">
        <f t="shared" si="19"/>
        <v>1294380</v>
      </c>
      <c r="H628" s="258">
        <v>361.13</v>
      </c>
      <c r="I628" s="258">
        <v>292.45999999999998</v>
      </c>
      <c r="J628" s="217">
        <v>68.67</v>
      </c>
      <c r="K628" s="217" t="s">
        <v>2792</v>
      </c>
    </row>
    <row r="629" spans="1:11">
      <c r="A629" s="217">
        <v>626</v>
      </c>
      <c r="B629" s="218" t="s">
        <v>3397</v>
      </c>
      <c r="C629" s="217" t="s">
        <v>4459</v>
      </c>
      <c r="D629" s="217" t="s">
        <v>35</v>
      </c>
      <c r="E629" s="209">
        <v>1377000</v>
      </c>
      <c r="F629" s="212">
        <f t="shared" si="18"/>
        <v>1335690</v>
      </c>
      <c r="G629" s="206">
        <f t="shared" si="19"/>
        <v>1294380</v>
      </c>
      <c r="H629" s="258">
        <v>361.13</v>
      </c>
      <c r="I629" s="258">
        <v>292.45999999999998</v>
      </c>
      <c r="J629" s="217">
        <v>68.67</v>
      </c>
      <c r="K629" s="217" t="s">
        <v>2792</v>
      </c>
    </row>
    <row r="630" spans="1:11">
      <c r="A630" s="217">
        <v>627</v>
      </c>
      <c r="B630" s="218" t="s">
        <v>3398</v>
      </c>
      <c r="C630" s="217" t="s">
        <v>4459</v>
      </c>
      <c r="D630" s="217" t="s">
        <v>35</v>
      </c>
      <c r="E630" s="209">
        <v>1377000</v>
      </c>
      <c r="F630" s="212">
        <f t="shared" si="18"/>
        <v>1335690</v>
      </c>
      <c r="G630" s="206">
        <f t="shared" si="19"/>
        <v>1294380</v>
      </c>
      <c r="H630" s="258">
        <v>361.13</v>
      </c>
      <c r="I630" s="258">
        <v>292.45999999999998</v>
      </c>
      <c r="J630" s="217">
        <v>68.67</v>
      </c>
      <c r="K630" s="217" t="s">
        <v>2787</v>
      </c>
    </row>
    <row r="631" spans="1:11">
      <c r="A631" s="217">
        <v>628</v>
      </c>
      <c r="B631" s="218" t="s">
        <v>3399</v>
      </c>
      <c r="C631" s="217" t="s">
        <v>4459</v>
      </c>
      <c r="D631" s="217" t="s">
        <v>35</v>
      </c>
      <c r="E631" s="209">
        <v>1377000</v>
      </c>
      <c r="F631" s="212">
        <f t="shared" si="18"/>
        <v>1335690</v>
      </c>
      <c r="G631" s="206">
        <f t="shared" si="19"/>
        <v>1294380</v>
      </c>
      <c r="H631" s="258">
        <v>361.13</v>
      </c>
      <c r="I631" s="258">
        <v>292.45999999999998</v>
      </c>
      <c r="J631" s="217">
        <v>68.67</v>
      </c>
      <c r="K631" s="217" t="s">
        <v>2787</v>
      </c>
    </row>
    <row r="632" spans="1:11">
      <c r="A632" s="217">
        <v>629</v>
      </c>
      <c r="B632" s="218" t="s">
        <v>3400</v>
      </c>
      <c r="C632" s="217" t="s">
        <v>32</v>
      </c>
      <c r="D632" s="217" t="s">
        <v>35</v>
      </c>
      <c r="E632" s="209">
        <v>1372000</v>
      </c>
      <c r="F632" s="212">
        <f t="shared" si="18"/>
        <v>1330840</v>
      </c>
      <c r="G632" s="206">
        <f t="shared" si="19"/>
        <v>1289680</v>
      </c>
      <c r="H632" s="258">
        <v>341.11</v>
      </c>
      <c r="I632" s="258">
        <v>293.95999999999998</v>
      </c>
      <c r="J632" s="217">
        <v>47.15</v>
      </c>
      <c r="K632" s="217" t="s">
        <v>2792</v>
      </c>
    </row>
    <row r="633" spans="1:11">
      <c r="A633" s="217">
        <v>630</v>
      </c>
      <c r="B633" s="218" t="s">
        <v>3401</v>
      </c>
      <c r="C633" s="217" t="s">
        <v>32</v>
      </c>
      <c r="D633" s="217" t="s">
        <v>35</v>
      </c>
      <c r="E633" s="209">
        <v>1371000</v>
      </c>
      <c r="F633" s="212">
        <f t="shared" si="18"/>
        <v>1329870</v>
      </c>
      <c r="G633" s="206">
        <f t="shared" si="19"/>
        <v>1288740</v>
      </c>
      <c r="H633" s="258">
        <v>375.34</v>
      </c>
      <c r="I633" s="258">
        <v>292.45999999999998</v>
      </c>
      <c r="J633" s="217">
        <v>82.88</v>
      </c>
      <c r="K633" s="217" t="s">
        <v>2792</v>
      </c>
    </row>
    <row r="634" spans="1:11">
      <c r="A634" s="217">
        <v>631</v>
      </c>
      <c r="B634" s="218" t="s">
        <v>3402</v>
      </c>
      <c r="C634" s="217" t="s">
        <v>32</v>
      </c>
      <c r="D634" s="217" t="s">
        <v>35</v>
      </c>
      <c r="E634" s="209">
        <v>1372000</v>
      </c>
      <c r="F634" s="212">
        <f t="shared" si="18"/>
        <v>1330840</v>
      </c>
      <c r="G634" s="206">
        <f t="shared" si="19"/>
        <v>1289680</v>
      </c>
      <c r="H634" s="258">
        <v>341.11</v>
      </c>
      <c r="I634" s="258">
        <v>293.95999999999998</v>
      </c>
      <c r="J634" s="217">
        <v>47.15</v>
      </c>
      <c r="K634" s="217" t="s">
        <v>2792</v>
      </c>
    </row>
    <row r="635" spans="1:11">
      <c r="A635" s="217">
        <v>632</v>
      </c>
      <c r="B635" s="218" t="s">
        <v>3403</v>
      </c>
      <c r="C635" s="217" t="s">
        <v>32</v>
      </c>
      <c r="D635" s="217" t="s">
        <v>35</v>
      </c>
      <c r="E635" s="209">
        <v>1372000</v>
      </c>
      <c r="F635" s="212">
        <f t="shared" si="18"/>
        <v>1330840</v>
      </c>
      <c r="G635" s="206">
        <f t="shared" si="19"/>
        <v>1289680</v>
      </c>
      <c r="H635" s="258">
        <v>341.11</v>
      </c>
      <c r="I635" s="258">
        <v>293.95999999999998</v>
      </c>
      <c r="J635" s="217">
        <v>47.15</v>
      </c>
      <c r="K635" s="217" t="s">
        <v>2787</v>
      </c>
    </row>
    <row r="636" spans="1:11">
      <c r="A636" s="217">
        <v>633</v>
      </c>
      <c r="B636" s="218" t="s">
        <v>3404</v>
      </c>
      <c r="C636" s="217" t="s">
        <v>32</v>
      </c>
      <c r="D636" s="217" t="s">
        <v>35</v>
      </c>
      <c r="E636" s="209">
        <v>1371000</v>
      </c>
      <c r="F636" s="212">
        <f t="shared" si="18"/>
        <v>1329870</v>
      </c>
      <c r="G636" s="206">
        <f t="shared" si="19"/>
        <v>1288740</v>
      </c>
      <c r="H636" s="258">
        <v>375.34</v>
      </c>
      <c r="I636" s="258">
        <v>292.45999999999998</v>
      </c>
      <c r="J636" s="217">
        <v>82.88</v>
      </c>
      <c r="K636" s="217" t="s">
        <v>2787</v>
      </c>
    </row>
    <row r="637" spans="1:11">
      <c r="A637" s="217">
        <v>634</v>
      </c>
      <c r="B637" s="218" t="s">
        <v>3405</v>
      </c>
      <c r="C637" s="217" t="s">
        <v>32</v>
      </c>
      <c r="D637" s="217" t="s">
        <v>35</v>
      </c>
      <c r="E637" s="209">
        <v>1371000</v>
      </c>
      <c r="F637" s="212">
        <f t="shared" si="18"/>
        <v>1329870</v>
      </c>
      <c r="G637" s="206">
        <f t="shared" si="19"/>
        <v>1288740</v>
      </c>
      <c r="H637" s="258">
        <v>375.34</v>
      </c>
      <c r="I637" s="258">
        <v>292.45999999999998</v>
      </c>
      <c r="J637" s="217">
        <v>82.88</v>
      </c>
      <c r="K637" s="217" t="s">
        <v>2787</v>
      </c>
    </row>
    <row r="638" spans="1:11">
      <c r="A638" s="217">
        <v>635</v>
      </c>
      <c r="B638" s="218" t="s">
        <v>3406</v>
      </c>
      <c r="C638" s="217" t="s">
        <v>32</v>
      </c>
      <c r="D638" s="217" t="s">
        <v>35</v>
      </c>
      <c r="E638" s="209">
        <v>1372000</v>
      </c>
      <c r="F638" s="212">
        <f t="shared" si="18"/>
        <v>1330840</v>
      </c>
      <c r="G638" s="206">
        <f t="shared" si="19"/>
        <v>1289680</v>
      </c>
      <c r="H638" s="258">
        <v>341.11</v>
      </c>
      <c r="I638" s="258">
        <v>293.95999999999998</v>
      </c>
      <c r="J638" s="217">
        <v>47.15</v>
      </c>
      <c r="K638" s="217" t="s">
        <v>2787</v>
      </c>
    </row>
    <row r="639" spans="1:11">
      <c r="A639" s="217">
        <v>636</v>
      </c>
      <c r="B639" s="218" t="s">
        <v>3407</v>
      </c>
      <c r="C639" s="217" t="s">
        <v>4459</v>
      </c>
      <c r="D639" s="217" t="s">
        <v>35</v>
      </c>
      <c r="E639" s="209">
        <v>1374000</v>
      </c>
      <c r="F639" s="212">
        <f t="shared" si="18"/>
        <v>1332780</v>
      </c>
      <c r="G639" s="206">
        <f t="shared" si="19"/>
        <v>1291560</v>
      </c>
      <c r="H639" s="258">
        <v>401.82</v>
      </c>
      <c r="I639" s="258">
        <v>292.45999999999998</v>
      </c>
      <c r="J639" s="217">
        <v>109.36</v>
      </c>
      <c r="K639" s="217" t="s">
        <v>2792</v>
      </c>
    </row>
    <row r="640" spans="1:11">
      <c r="A640" s="217">
        <v>637</v>
      </c>
      <c r="B640" s="218" t="s">
        <v>3408</v>
      </c>
      <c r="C640" s="217" t="s">
        <v>4459</v>
      </c>
      <c r="D640" s="217" t="s">
        <v>35</v>
      </c>
      <c r="E640" s="209">
        <v>1374000</v>
      </c>
      <c r="F640" s="212">
        <f t="shared" si="18"/>
        <v>1332780</v>
      </c>
      <c r="G640" s="206">
        <f t="shared" si="19"/>
        <v>1291560</v>
      </c>
      <c r="H640" s="258">
        <v>401.82</v>
      </c>
      <c r="I640" s="258">
        <v>292.45999999999998</v>
      </c>
      <c r="J640" s="217">
        <v>109.36</v>
      </c>
      <c r="K640" s="217" t="s">
        <v>2792</v>
      </c>
    </row>
    <row r="641" spans="1:11">
      <c r="A641" s="217">
        <v>638</v>
      </c>
      <c r="B641" s="218" t="s">
        <v>3409</v>
      </c>
      <c r="C641" s="217" t="s">
        <v>4459</v>
      </c>
      <c r="D641" s="217" t="s">
        <v>35</v>
      </c>
      <c r="E641" s="209">
        <v>1374000</v>
      </c>
      <c r="F641" s="212">
        <f t="shared" si="18"/>
        <v>1332780</v>
      </c>
      <c r="G641" s="206">
        <f t="shared" si="19"/>
        <v>1291560</v>
      </c>
      <c r="H641" s="258">
        <v>401.82</v>
      </c>
      <c r="I641" s="258">
        <v>292.45999999999998</v>
      </c>
      <c r="J641" s="217">
        <v>109.36</v>
      </c>
      <c r="K641" s="217" t="s">
        <v>2787</v>
      </c>
    </row>
    <row r="642" spans="1:11">
      <c r="A642" s="217">
        <v>639</v>
      </c>
      <c r="B642" s="218" t="s">
        <v>3410</v>
      </c>
      <c r="C642" s="217" t="s">
        <v>4459</v>
      </c>
      <c r="D642" s="217" t="s">
        <v>35</v>
      </c>
      <c r="E642" s="209">
        <v>1374000</v>
      </c>
      <c r="F642" s="212">
        <f t="shared" si="18"/>
        <v>1332780</v>
      </c>
      <c r="G642" s="206">
        <f t="shared" si="19"/>
        <v>1291560</v>
      </c>
      <c r="H642" s="258">
        <v>401.82</v>
      </c>
      <c r="I642" s="258">
        <v>292.45999999999998</v>
      </c>
      <c r="J642" s="217">
        <v>109.36</v>
      </c>
      <c r="K642" s="217" t="s">
        <v>2787</v>
      </c>
    </row>
    <row r="643" spans="1:11">
      <c r="A643" s="217">
        <v>640</v>
      </c>
      <c r="B643" s="218" t="s">
        <v>3411</v>
      </c>
      <c r="C643" s="217" t="s">
        <v>4459</v>
      </c>
      <c r="D643" s="217" t="s">
        <v>35</v>
      </c>
      <c r="E643" s="209">
        <v>1372000</v>
      </c>
      <c r="F643" s="212">
        <f t="shared" ref="F643:F706" si="20">E643*0.97</f>
        <v>1330840</v>
      </c>
      <c r="G643" s="206">
        <f t="shared" ref="G643:G706" si="21">E643*0.94</f>
        <v>1289680</v>
      </c>
      <c r="H643" s="258">
        <v>395.68</v>
      </c>
      <c r="I643" s="258">
        <v>292.45999999999998</v>
      </c>
      <c r="J643" s="217">
        <v>103.23</v>
      </c>
      <c r="K643" s="217" t="s">
        <v>2792</v>
      </c>
    </row>
    <row r="644" spans="1:11">
      <c r="A644" s="217">
        <v>641</v>
      </c>
      <c r="B644" s="218" t="s">
        <v>3412</v>
      </c>
      <c r="C644" s="217" t="s">
        <v>4459</v>
      </c>
      <c r="D644" s="217" t="s">
        <v>35</v>
      </c>
      <c r="E644" s="209">
        <v>1372000</v>
      </c>
      <c r="F644" s="212">
        <f t="shared" si="20"/>
        <v>1330840</v>
      </c>
      <c r="G644" s="206">
        <f t="shared" si="21"/>
        <v>1289680</v>
      </c>
      <c r="H644" s="258">
        <v>395.68</v>
      </c>
      <c r="I644" s="258">
        <v>292.45999999999998</v>
      </c>
      <c r="J644" s="217">
        <v>103.23</v>
      </c>
      <c r="K644" s="217" t="s">
        <v>2792</v>
      </c>
    </row>
    <row r="645" spans="1:11">
      <c r="A645" s="217">
        <v>642</v>
      </c>
      <c r="B645" s="218" t="s">
        <v>3413</v>
      </c>
      <c r="C645" s="217" t="s">
        <v>4459</v>
      </c>
      <c r="D645" s="217" t="s">
        <v>35</v>
      </c>
      <c r="E645" s="209">
        <v>1372000</v>
      </c>
      <c r="F645" s="212">
        <f t="shared" si="20"/>
        <v>1330840</v>
      </c>
      <c r="G645" s="206">
        <f t="shared" si="21"/>
        <v>1289680</v>
      </c>
      <c r="H645" s="258">
        <v>395.68</v>
      </c>
      <c r="I645" s="258">
        <v>292.45999999999998</v>
      </c>
      <c r="J645" s="217">
        <v>103.23</v>
      </c>
      <c r="K645" s="217" t="s">
        <v>2787</v>
      </c>
    </row>
    <row r="646" spans="1:11">
      <c r="A646" s="217">
        <v>643</v>
      </c>
      <c r="B646" s="218" t="s">
        <v>3414</v>
      </c>
      <c r="C646" s="217" t="s">
        <v>4459</v>
      </c>
      <c r="D646" s="217" t="s">
        <v>35</v>
      </c>
      <c r="E646" s="209">
        <v>1372000</v>
      </c>
      <c r="F646" s="212">
        <f t="shared" si="20"/>
        <v>1330840</v>
      </c>
      <c r="G646" s="206">
        <f t="shared" si="21"/>
        <v>1289680</v>
      </c>
      <c r="H646" s="258">
        <v>395.68</v>
      </c>
      <c r="I646" s="258">
        <v>292.45999999999998</v>
      </c>
      <c r="J646" s="217">
        <v>103.23</v>
      </c>
      <c r="K646" s="217" t="s">
        <v>2787</v>
      </c>
    </row>
    <row r="647" spans="1:11">
      <c r="A647" s="217">
        <v>644</v>
      </c>
      <c r="B647" s="218" t="s">
        <v>3415</v>
      </c>
      <c r="C647" s="217" t="s">
        <v>4459</v>
      </c>
      <c r="D647" s="217" t="s">
        <v>35</v>
      </c>
      <c r="E647" s="209">
        <v>1371000</v>
      </c>
      <c r="F647" s="212">
        <f t="shared" si="20"/>
        <v>1329870</v>
      </c>
      <c r="G647" s="206">
        <f t="shared" si="21"/>
        <v>1288740</v>
      </c>
      <c r="H647" s="258">
        <v>386.85</v>
      </c>
      <c r="I647" s="258">
        <v>292.45999999999998</v>
      </c>
      <c r="J647" s="217">
        <v>94.4</v>
      </c>
      <c r="K647" s="217" t="s">
        <v>2792</v>
      </c>
    </row>
    <row r="648" spans="1:11">
      <c r="A648" s="217">
        <v>645</v>
      </c>
      <c r="B648" s="218" t="s">
        <v>3416</v>
      </c>
      <c r="C648" s="217" t="s">
        <v>4459</v>
      </c>
      <c r="D648" s="217" t="s">
        <v>35</v>
      </c>
      <c r="E648" s="209">
        <v>1371000</v>
      </c>
      <c r="F648" s="212">
        <f t="shared" si="20"/>
        <v>1329870</v>
      </c>
      <c r="G648" s="206">
        <f t="shared" si="21"/>
        <v>1288740</v>
      </c>
      <c r="H648" s="258">
        <v>386.85</v>
      </c>
      <c r="I648" s="258">
        <v>292.45999999999998</v>
      </c>
      <c r="J648" s="217">
        <v>94.4</v>
      </c>
      <c r="K648" s="217" t="s">
        <v>2787</v>
      </c>
    </row>
    <row r="649" spans="1:11">
      <c r="A649" s="217">
        <v>646</v>
      </c>
      <c r="B649" s="218" t="s">
        <v>3417</v>
      </c>
      <c r="C649" s="217" t="s">
        <v>4459</v>
      </c>
      <c r="D649" s="217" t="s">
        <v>35</v>
      </c>
      <c r="E649" s="209">
        <v>1371000</v>
      </c>
      <c r="F649" s="212">
        <f t="shared" si="20"/>
        <v>1329870</v>
      </c>
      <c r="G649" s="206">
        <f t="shared" si="21"/>
        <v>1288740</v>
      </c>
      <c r="H649" s="258">
        <v>386.85</v>
      </c>
      <c r="I649" s="258">
        <v>292.45999999999998</v>
      </c>
      <c r="J649" s="217">
        <v>94.4</v>
      </c>
      <c r="K649" s="217" t="s">
        <v>2787</v>
      </c>
    </row>
    <row r="650" spans="1:11">
      <c r="A650" s="217">
        <v>647</v>
      </c>
      <c r="B650" s="218" t="s">
        <v>3418</v>
      </c>
      <c r="C650" s="217" t="s">
        <v>5</v>
      </c>
      <c r="D650" s="217" t="s">
        <v>35</v>
      </c>
      <c r="E650" s="209">
        <v>1375000</v>
      </c>
      <c r="F650" s="212">
        <f t="shared" si="20"/>
        <v>1333750</v>
      </c>
      <c r="G650" s="206">
        <f t="shared" si="21"/>
        <v>1292500</v>
      </c>
      <c r="H650" s="258">
        <v>361.13</v>
      </c>
      <c r="I650" s="258">
        <v>292.45999999999998</v>
      </c>
      <c r="J650" s="217">
        <v>68.67</v>
      </c>
      <c r="K650" s="217" t="s">
        <v>2792</v>
      </c>
    </row>
    <row r="651" spans="1:11">
      <c r="A651" s="217">
        <v>648</v>
      </c>
      <c r="B651" s="218" t="s">
        <v>3419</v>
      </c>
      <c r="C651" s="217" t="s">
        <v>5</v>
      </c>
      <c r="D651" s="217" t="s">
        <v>35</v>
      </c>
      <c r="E651" s="209">
        <v>1375000</v>
      </c>
      <c r="F651" s="212">
        <f t="shared" si="20"/>
        <v>1333750</v>
      </c>
      <c r="G651" s="206">
        <f t="shared" si="21"/>
        <v>1292500</v>
      </c>
      <c r="H651" s="258">
        <v>361.13</v>
      </c>
      <c r="I651" s="258">
        <v>292.45999999999998</v>
      </c>
      <c r="J651" s="217">
        <v>68.67</v>
      </c>
      <c r="K651" s="217" t="s">
        <v>2792</v>
      </c>
    </row>
    <row r="652" spans="1:11">
      <c r="A652" s="217">
        <v>649</v>
      </c>
      <c r="B652" s="218" t="s">
        <v>3420</v>
      </c>
      <c r="C652" s="217" t="s">
        <v>5</v>
      </c>
      <c r="D652" s="217" t="s">
        <v>35</v>
      </c>
      <c r="E652" s="209">
        <v>1375000</v>
      </c>
      <c r="F652" s="212">
        <f t="shared" si="20"/>
        <v>1333750</v>
      </c>
      <c r="G652" s="206">
        <f t="shared" si="21"/>
        <v>1292500</v>
      </c>
      <c r="H652" s="258">
        <v>361.13</v>
      </c>
      <c r="I652" s="258">
        <v>292.45999999999998</v>
      </c>
      <c r="J652" s="217">
        <v>68.67</v>
      </c>
      <c r="K652" s="217" t="s">
        <v>2787</v>
      </c>
    </row>
    <row r="653" spans="1:11">
      <c r="A653" s="217">
        <v>650</v>
      </c>
      <c r="B653" s="218" t="s">
        <v>3421</v>
      </c>
      <c r="C653" s="217" t="s">
        <v>5</v>
      </c>
      <c r="D653" s="217" t="s">
        <v>35</v>
      </c>
      <c r="E653" s="209">
        <v>1375000</v>
      </c>
      <c r="F653" s="212">
        <f t="shared" si="20"/>
        <v>1333750</v>
      </c>
      <c r="G653" s="206">
        <f t="shared" si="21"/>
        <v>1292500</v>
      </c>
      <c r="H653" s="258">
        <v>361.13</v>
      </c>
      <c r="I653" s="258">
        <v>292.45999999999998</v>
      </c>
      <c r="J653" s="217">
        <v>68.67</v>
      </c>
      <c r="K653" s="217" t="s">
        <v>2787</v>
      </c>
    </row>
    <row r="654" spans="1:11">
      <c r="A654" s="217">
        <v>651</v>
      </c>
      <c r="B654" s="218" t="s">
        <v>3422</v>
      </c>
      <c r="C654" s="217" t="s">
        <v>4459</v>
      </c>
      <c r="D654" s="217" t="s">
        <v>35</v>
      </c>
      <c r="E654" s="209">
        <v>1368000</v>
      </c>
      <c r="F654" s="212">
        <f t="shared" si="20"/>
        <v>1326960</v>
      </c>
      <c r="G654" s="206">
        <f t="shared" si="21"/>
        <v>1285920</v>
      </c>
      <c r="H654" s="258">
        <v>375.34</v>
      </c>
      <c r="I654" s="258">
        <v>292.45999999999998</v>
      </c>
      <c r="J654" s="217">
        <v>82.88</v>
      </c>
      <c r="K654" s="217" t="s">
        <v>2792</v>
      </c>
    </row>
    <row r="655" spans="1:11">
      <c r="A655" s="217">
        <v>652</v>
      </c>
      <c r="B655" s="218" t="s">
        <v>3423</v>
      </c>
      <c r="C655" s="217" t="s">
        <v>4459</v>
      </c>
      <c r="D655" s="217" t="s">
        <v>35</v>
      </c>
      <c r="E655" s="209">
        <v>1368000</v>
      </c>
      <c r="F655" s="212">
        <f t="shared" si="20"/>
        <v>1326960</v>
      </c>
      <c r="G655" s="206">
        <f t="shared" si="21"/>
        <v>1285920</v>
      </c>
      <c r="H655" s="258">
        <v>375.34</v>
      </c>
      <c r="I655" s="258">
        <v>292.45999999999998</v>
      </c>
      <c r="J655" s="217">
        <v>82.88</v>
      </c>
      <c r="K655" s="217" t="s">
        <v>2787</v>
      </c>
    </row>
    <row r="656" spans="1:11">
      <c r="A656" s="217">
        <v>653</v>
      </c>
      <c r="B656" s="218" t="s">
        <v>3424</v>
      </c>
      <c r="C656" s="217" t="s">
        <v>4459</v>
      </c>
      <c r="D656" s="217" t="s">
        <v>35</v>
      </c>
      <c r="E656" s="209">
        <v>1368000</v>
      </c>
      <c r="F656" s="212">
        <f t="shared" si="20"/>
        <v>1326960</v>
      </c>
      <c r="G656" s="206">
        <f t="shared" si="21"/>
        <v>1285920</v>
      </c>
      <c r="H656" s="258">
        <v>375.34</v>
      </c>
      <c r="I656" s="258">
        <v>292.45999999999998</v>
      </c>
      <c r="J656" s="217">
        <v>82.88</v>
      </c>
      <c r="K656" s="217" t="s">
        <v>2787</v>
      </c>
    </row>
    <row r="657" spans="1:11">
      <c r="A657" s="217">
        <v>654</v>
      </c>
      <c r="B657" s="218" t="s">
        <v>3425</v>
      </c>
      <c r="C657" s="217" t="s">
        <v>5</v>
      </c>
      <c r="D657" s="217" t="s">
        <v>35</v>
      </c>
      <c r="E657" s="209">
        <v>1371000</v>
      </c>
      <c r="F657" s="212">
        <f t="shared" si="20"/>
        <v>1329870</v>
      </c>
      <c r="G657" s="206">
        <f t="shared" si="21"/>
        <v>1288740</v>
      </c>
      <c r="H657" s="258">
        <v>401.82</v>
      </c>
      <c r="I657" s="258">
        <v>292.45999999999998</v>
      </c>
      <c r="J657" s="217">
        <v>109.36</v>
      </c>
      <c r="K657" s="217" t="s">
        <v>2792</v>
      </c>
    </row>
    <row r="658" spans="1:11">
      <c r="A658" s="217">
        <v>655</v>
      </c>
      <c r="B658" s="218" t="s">
        <v>3426</v>
      </c>
      <c r="C658" s="217" t="s">
        <v>5</v>
      </c>
      <c r="D658" s="217" t="s">
        <v>35</v>
      </c>
      <c r="E658" s="209">
        <v>1371000</v>
      </c>
      <c r="F658" s="212">
        <f t="shared" si="20"/>
        <v>1329870</v>
      </c>
      <c r="G658" s="206">
        <f t="shared" si="21"/>
        <v>1288740</v>
      </c>
      <c r="H658" s="258">
        <v>401.82</v>
      </c>
      <c r="I658" s="258">
        <v>292.45999999999998</v>
      </c>
      <c r="J658" s="217">
        <v>109.36</v>
      </c>
      <c r="K658" s="217" t="s">
        <v>2792</v>
      </c>
    </row>
    <row r="659" spans="1:11">
      <c r="A659" s="217">
        <v>656</v>
      </c>
      <c r="B659" s="218" t="s">
        <v>3427</v>
      </c>
      <c r="C659" s="217" t="s">
        <v>5</v>
      </c>
      <c r="D659" s="217" t="s">
        <v>35</v>
      </c>
      <c r="E659" s="209">
        <v>1371000</v>
      </c>
      <c r="F659" s="212">
        <f t="shared" si="20"/>
        <v>1329870</v>
      </c>
      <c r="G659" s="206">
        <f t="shared" si="21"/>
        <v>1288740</v>
      </c>
      <c r="H659" s="258">
        <v>401.82</v>
      </c>
      <c r="I659" s="258">
        <v>292.45999999999998</v>
      </c>
      <c r="J659" s="217">
        <v>109.36</v>
      </c>
      <c r="K659" s="217" t="s">
        <v>2787</v>
      </c>
    </row>
    <row r="660" spans="1:11">
      <c r="A660" s="217">
        <v>657</v>
      </c>
      <c r="B660" s="218" t="s">
        <v>3428</v>
      </c>
      <c r="C660" s="217" t="s">
        <v>5</v>
      </c>
      <c r="D660" s="217" t="s">
        <v>35</v>
      </c>
      <c r="E660" s="209">
        <v>1371000</v>
      </c>
      <c r="F660" s="212">
        <f t="shared" si="20"/>
        <v>1329870</v>
      </c>
      <c r="G660" s="206">
        <f t="shared" si="21"/>
        <v>1288740</v>
      </c>
      <c r="H660" s="258">
        <v>401.82</v>
      </c>
      <c r="I660" s="258">
        <v>292.45999999999998</v>
      </c>
      <c r="J660" s="217">
        <v>109.36</v>
      </c>
      <c r="K660" s="217" t="s">
        <v>2787</v>
      </c>
    </row>
    <row r="661" spans="1:11">
      <c r="A661" s="217">
        <v>658</v>
      </c>
      <c r="B661" s="218" t="s">
        <v>3429</v>
      </c>
      <c r="C661" s="217" t="s">
        <v>4459</v>
      </c>
      <c r="D661" s="217" t="s">
        <v>35</v>
      </c>
      <c r="E661" s="209">
        <v>1369000</v>
      </c>
      <c r="F661" s="212">
        <f t="shared" si="20"/>
        <v>1327930</v>
      </c>
      <c r="G661" s="206">
        <f t="shared" si="21"/>
        <v>1286860</v>
      </c>
      <c r="H661" s="258">
        <v>341.11</v>
      </c>
      <c r="I661" s="258">
        <v>293.95999999999998</v>
      </c>
      <c r="J661" s="217">
        <v>47.15</v>
      </c>
      <c r="K661" s="217" t="s">
        <v>2792</v>
      </c>
    </row>
    <row r="662" spans="1:11">
      <c r="A662" s="217">
        <v>659</v>
      </c>
      <c r="B662" s="218" t="s">
        <v>3430</v>
      </c>
      <c r="C662" s="217" t="s">
        <v>4459</v>
      </c>
      <c r="D662" s="217" t="s">
        <v>35</v>
      </c>
      <c r="E662" s="209">
        <v>1369000</v>
      </c>
      <c r="F662" s="212">
        <f t="shared" si="20"/>
        <v>1327930</v>
      </c>
      <c r="G662" s="206">
        <f t="shared" si="21"/>
        <v>1286860</v>
      </c>
      <c r="H662" s="258">
        <v>341.11</v>
      </c>
      <c r="I662" s="258">
        <v>293.95999999999998</v>
      </c>
      <c r="J662" s="217">
        <v>47.15</v>
      </c>
      <c r="K662" s="217" t="s">
        <v>2787</v>
      </c>
    </row>
    <row r="663" spans="1:11">
      <c r="A663" s="217">
        <v>660</v>
      </c>
      <c r="B663" s="218" t="s">
        <v>3431</v>
      </c>
      <c r="C663" s="217" t="s">
        <v>4459</v>
      </c>
      <c r="D663" s="217" t="s">
        <v>35</v>
      </c>
      <c r="E663" s="209">
        <v>1369000</v>
      </c>
      <c r="F663" s="212">
        <f t="shared" si="20"/>
        <v>1327930</v>
      </c>
      <c r="G663" s="206">
        <f t="shared" si="21"/>
        <v>1286860</v>
      </c>
      <c r="H663" s="258">
        <v>341.11</v>
      </c>
      <c r="I663" s="258">
        <v>293.95999999999998</v>
      </c>
      <c r="J663" s="217">
        <v>47.15</v>
      </c>
      <c r="K663" s="217" t="s">
        <v>2787</v>
      </c>
    </row>
    <row r="664" spans="1:11">
      <c r="A664" s="217">
        <v>661</v>
      </c>
      <c r="B664" s="218" t="s">
        <v>3432</v>
      </c>
      <c r="C664" s="217" t="s">
        <v>5</v>
      </c>
      <c r="D664" s="217" t="s">
        <v>35</v>
      </c>
      <c r="E664" s="209">
        <v>1370000</v>
      </c>
      <c r="F664" s="212">
        <f t="shared" si="20"/>
        <v>1328900</v>
      </c>
      <c r="G664" s="206">
        <f t="shared" si="21"/>
        <v>1287800</v>
      </c>
      <c r="H664" s="258">
        <v>395.68</v>
      </c>
      <c r="I664" s="258">
        <v>292.45999999999998</v>
      </c>
      <c r="J664" s="217">
        <v>103.23</v>
      </c>
      <c r="K664" s="217" t="s">
        <v>2792</v>
      </c>
    </row>
    <row r="665" spans="1:11">
      <c r="A665" s="217">
        <v>662</v>
      </c>
      <c r="B665" s="218" t="s">
        <v>3433</v>
      </c>
      <c r="C665" s="217" t="s">
        <v>5</v>
      </c>
      <c r="D665" s="217" t="s">
        <v>35</v>
      </c>
      <c r="E665" s="209">
        <v>1370000</v>
      </c>
      <c r="F665" s="212">
        <f t="shared" si="20"/>
        <v>1328900</v>
      </c>
      <c r="G665" s="206">
        <f t="shared" si="21"/>
        <v>1287800</v>
      </c>
      <c r="H665" s="258">
        <v>395.68</v>
      </c>
      <c r="I665" s="258">
        <v>292.45999999999998</v>
      </c>
      <c r="J665" s="217">
        <v>103.23</v>
      </c>
      <c r="K665" s="217" t="s">
        <v>2792</v>
      </c>
    </row>
    <row r="666" spans="1:11">
      <c r="A666" s="217">
        <v>663</v>
      </c>
      <c r="B666" s="218" t="s">
        <v>3434</v>
      </c>
      <c r="C666" s="217" t="s">
        <v>5</v>
      </c>
      <c r="D666" s="217" t="s">
        <v>35</v>
      </c>
      <c r="E666" s="209">
        <v>1370000</v>
      </c>
      <c r="F666" s="212">
        <f t="shared" si="20"/>
        <v>1328900</v>
      </c>
      <c r="G666" s="206">
        <f t="shared" si="21"/>
        <v>1287800</v>
      </c>
      <c r="H666" s="258">
        <v>395.68</v>
      </c>
      <c r="I666" s="258">
        <v>292.45999999999998</v>
      </c>
      <c r="J666" s="217">
        <v>103.23</v>
      </c>
      <c r="K666" s="217" t="s">
        <v>2787</v>
      </c>
    </row>
    <row r="667" spans="1:11">
      <c r="A667" s="217">
        <v>664</v>
      </c>
      <c r="B667" s="218" t="s">
        <v>3435</v>
      </c>
      <c r="C667" s="217" t="s">
        <v>5</v>
      </c>
      <c r="D667" s="217" t="s">
        <v>35</v>
      </c>
      <c r="E667" s="209">
        <v>1370000</v>
      </c>
      <c r="F667" s="212">
        <f t="shared" si="20"/>
        <v>1328900</v>
      </c>
      <c r="G667" s="206">
        <f t="shared" si="21"/>
        <v>1287800</v>
      </c>
      <c r="H667" s="258">
        <v>395.68</v>
      </c>
      <c r="I667" s="258">
        <v>292.45999999999998</v>
      </c>
      <c r="J667" s="217">
        <v>103.23</v>
      </c>
      <c r="K667" s="217" t="s">
        <v>2787</v>
      </c>
    </row>
    <row r="668" spans="1:11">
      <c r="A668" s="217">
        <v>665</v>
      </c>
      <c r="B668" s="218" t="s">
        <v>3436</v>
      </c>
      <c r="C668" s="217" t="s">
        <v>5</v>
      </c>
      <c r="D668" s="217" t="s">
        <v>35</v>
      </c>
      <c r="E668" s="209">
        <v>1369000</v>
      </c>
      <c r="F668" s="212">
        <f t="shared" si="20"/>
        <v>1327930</v>
      </c>
      <c r="G668" s="206">
        <f t="shared" si="21"/>
        <v>1286860</v>
      </c>
      <c r="H668" s="258">
        <v>386.85</v>
      </c>
      <c r="I668" s="258">
        <v>292.45999999999998</v>
      </c>
      <c r="J668" s="217">
        <v>94.4</v>
      </c>
      <c r="K668" s="217" t="s">
        <v>2792</v>
      </c>
    </row>
    <row r="669" spans="1:11">
      <c r="A669" s="217">
        <v>666</v>
      </c>
      <c r="B669" s="218" t="s">
        <v>3437</v>
      </c>
      <c r="C669" s="217" t="s">
        <v>5</v>
      </c>
      <c r="D669" s="217" t="s">
        <v>35</v>
      </c>
      <c r="E669" s="209">
        <v>1369000</v>
      </c>
      <c r="F669" s="212">
        <f t="shared" si="20"/>
        <v>1327930</v>
      </c>
      <c r="G669" s="206">
        <f t="shared" si="21"/>
        <v>1286860</v>
      </c>
      <c r="H669" s="258">
        <v>386.85</v>
      </c>
      <c r="I669" s="258">
        <v>292.45999999999998</v>
      </c>
      <c r="J669" s="217">
        <v>94.4</v>
      </c>
      <c r="K669" s="217" t="s">
        <v>2792</v>
      </c>
    </row>
    <row r="670" spans="1:11">
      <c r="A670" s="217">
        <v>667</v>
      </c>
      <c r="B670" s="218" t="s">
        <v>3438</v>
      </c>
      <c r="C670" s="217" t="s">
        <v>5</v>
      </c>
      <c r="D670" s="217" t="s">
        <v>35</v>
      </c>
      <c r="E670" s="209">
        <v>1369000</v>
      </c>
      <c r="F670" s="212">
        <f t="shared" si="20"/>
        <v>1327930</v>
      </c>
      <c r="G670" s="206">
        <f t="shared" si="21"/>
        <v>1286860</v>
      </c>
      <c r="H670" s="258">
        <v>386.85</v>
      </c>
      <c r="I670" s="258">
        <v>292.45999999999998</v>
      </c>
      <c r="J670" s="217">
        <v>94.4</v>
      </c>
      <c r="K670" s="217" t="s">
        <v>2787</v>
      </c>
    </row>
    <row r="671" spans="1:11">
      <c r="A671" s="217">
        <v>668</v>
      </c>
      <c r="B671" s="218" t="s">
        <v>3439</v>
      </c>
      <c r="C671" s="217" t="s">
        <v>5</v>
      </c>
      <c r="D671" s="217" t="s">
        <v>35</v>
      </c>
      <c r="E671" s="209">
        <v>1369000</v>
      </c>
      <c r="F671" s="212">
        <f t="shared" si="20"/>
        <v>1327930</v>
      </c>
      <c r="G671" s="206">
        <f t="shared" si="21"/>
        <v>1286860</v>
      </c>
      <c r="H671" s="258">
        <v>386.85</v>
      </c>
      <c r="I671" s="258">
        <v>292.45999999999998</v>
      </c>
      <c r="J671" s="217">
        <v>94.4</v>
      </c>
      <c r="K671" s="217" t="s">
        <v>2787</v>
      </c>
    </row>
    <row r="672" spans="1:11">
      <c r="A672" s="217">
        <v>669</v>
      </c>
      <c r="B672" s="218" t="s">
        <v>3440</v>
      </c>
      <c r="C672" s="217" t="s">
        <v>4</v>
      </c>
      <c r="D672" s="217" t="s">
        <v>35</v>
      </c>
      <c r="E672" s="209">
        <v>1372000</v>
      </c>
      <c r="F672" s="212">
        <f t="shared" si="20"/>
        <v>1330840</v>
      </c>
      <c r="G672" s="206">
        <f t="shared" si="21"/>
        <v>1289680</v>
      </c>
      <c r="H672" s="258">
        <v>361.13</v>
      </c>
      <c r="I672" s="258">
        <v>292.45999999999998</v>
      </c>
      <c r="J672" s="217">
        <v>68.67</v>
      </c>
      <c r="K672" s="217" t="s">
        <v>2792</v>
      </c>
    </row>
    <row r="673" spans="1:11">
      <c r="A673" s="217">
        <v>670</v>
      </c>
      <c r="B673" s="218" t="s">
        <v>3441</v>
      </c>
      <c r="C673" s="217" t="s">
        <v>4</v>
      </c>
      <c r="D673" s="217" t="s">
        <v>35</v>
      </c>
      <c r="E673" s="209">
        <v>1372000</v>
      </c>
      <c r="F673" s="212">
        <f t="shared" si="20"/>
        <v>1330840</v>
      </c>
      <c r="G673" s="206">
        <f t="shared" si="21"/>
        <v>1289680</v>
      </c>
      <c r="H673" s="258">
        <v>361.13</v>
      </c>
      <c r="I673" s="258">
        <v>292.45999999999998</v>
      </c>
      <c r="J673" s="217">
        <v>68.67</v>
      </c>
      <c r="K673" s="217" t="s">
        <v>2792</v>
      </c>
    </row>
    <row r="674" spans="1:11">
      <c r="A674" s="217">
        <v>671</v>
      </c>
      <c r="B674" s="218" t="s">
        <v>3442</v>
      </c>
      <c r="C674" s="217" t="s">
        <v>4</v>
      </c>
      <c r="D674" s="217" t="s">
        <v>35</v>
      </c>
      <c r="E674" s="209">
        <v>1372000</v>
      </c>
      <c r="F674" s="212">
        <f t="shared" si="20"/>
        <v>1330840</v>
      </c>
      <c r="G674" s="206">
        <f t="shared" si="21"/>
        <v>1289680</v>
      </c>
      <c r="H674" s="258">
        <v>361.13</v>
      </c>
      <c r="I674" s="258">
        <v>292.45999999999998</v>
      </c>
      <c r="J674" s="217">
        <v>68.67</v>
      </c>
      <c r="K674" s="217" t="s">
        <v>2787</v>
      </c>
    </row>
    <row r="675" spans="1:11">
      <c r="A675" s="217">
        <v>672</v>
      </c>
      <c r="B675" s="218" t="s">
        <v>3443</v>
      </c>
      <c r="C675" s="217" t="s">
        <v>4</v>
      </c>
      <c r="D675" s="217" t="s">
        <v>35</v>
      </c>
      <c r="E675" s="209">
        <v>1372000</v>
      </c>
      <c r="F675" s="212">
        <f t="shared" si="20"/>
        <v>1330840</v>
      </c>
      <c r="G675" s="206">
        <f t="shared" si="21"/>
        <v>1289680</v>
      </c>
      <c r="H675" s="258">
        <v>361.13</v>
      </c>
      <c r="I675" s="258">
        <v>292.45999999999998</v>
      </c>
      <c r="J675" s="217">
        <v>68.67</v>
      </c>
      <c r="K675" s="217" t="s">
        <v>2787</v>
      </c>
    </row>
    <row r="676" spans="1:11">
      <c r="A676" s="217">
        <v>673</v>
      </c>
      <c r="B676" s="218" t="s">
        <v>3444</v>
      </c>
      <c r="C676" s="217" t="s">
        <v>5</v>
      </c>
      <c r="D676" s="217" t="s">
        <v>35</v>
      </c>
      <c r="E676" s="209">
        <v>1366000</v>
      </c>
      <c r="F676" s="212">
        <f t="shared" si="20"/>
        <v>1325020</v>
      </c>
      <c r="G676" s="206">
        <f t="shared" si="21"/>
        <v>1284040</v>
      </c>
      <c r="H676" s="258">
        <v>341.11</v>
      </c>
      <c r="I676" s="258">
        <v>293.95999999999998</v>
      </c>
      <c r="J676" s="217">
        <v>47.15</v>
      </c>
      <c r="K676" s="217" t="s">
        <v>2792</v>
      </c>
    </row>
    <row r="677" spans="1:11">
      <c r="A677" s="217">
        <v>674</v>
      </c>
      <c r="B677" s="218" t="s">
        <v>3445</v>
      </c>
      <c r="C677" s="217" t="s">
        <v>5</v>
      </c>
      <c r="D677" s="217" t="s">
        <v>35</v>
      </c>
      <c r="E677" s="209">
        <v>1366000</v>
      </c>
      <c r="F677" s="212">
        <f t="shared" si="20"/>
        <v>1325020</v>
      </c>
      <c r="G677" s="206">
        <f t="shared" si="21"/>
        <v>1284040</v>
      </c>
      <c r="H677" s="258">
        <v>375.34</v>
      </c>
      <c r="I677" s="258">
        <v>292.45999999999998</v>
      </c>
      <c r="J677" s="217">
        <v>82.88</v>
      </c>
      <c r="K677" s="217" t="s">
        <v>2792</v>
      </c>
    </row>
    <row r="678" spans="1:11">
      <c r="A678" s="217">
        <v>675</v>
      </c>
      <c r="B678" s="218" t="s">
        <v>3446</v>
      </c>
      <c r="C678" s="217" t="s">
        <v>5</v>
      </c>
      <c r="D678" s="217" t="s">
        <v>35</v>
      </c>
      <c r="E678" s="209">
        <v>1366000</v>
      </c>
      <c r="F678" s="212">
        <f t="shared" si="20"/>
        <v>1325020</v>
      </c>
      <c r="G678" s="206">
        <f t="shared" si="21"/>
        <v>1284040</v>
      </c>
      <c r="H678" s="258">
        <v>375.34</v>
      </c>
      <c r="I678" s="258">
        <v>292.45999999999998</v>
      </c>
      <c r="J678" s="217">
        <v>82.88</v>
      </c>
      <c r="K678" s="217" t="s">
        <v>2792</v>
      </c>
    </row>
    <row r="679" spans="1:11">
      <c r="A679" s="217">
        <v>676</v>
      </c>
      <c r="B679" s="218" t="s">
        <v>3447</v>
      </c>
      <c r="C679" s="217" t="s">
        <v>5</v>
      </c>
      <c r="D679" s="217" t="s">
        <v>35</v>
      </c>
      <c r="E679" s="209">
        <v>1366000</v>
      </c>
      <c r="F679" s="212">
        <f t="shared" si="20"/>
        <v>1325020</v>
      </c>
      <c r="G679" s="206">
        <f t="shared" si="21"/>
        <v>1284040</v>
      </c>
      <c r="H679" s="258">
        <v>341.11</v>
      </c>
      <c r="I679" s="258">
        <v>293.95999999999998</v>
      </c>
      <c r="J679" s="217">
        <v>47.15</v>
      </c>
      <c r="K679" s="217" t="s">
        <v>2792</v>
      </c>
    </row>
    <row r="680" spans="1:11">
      <c r="A680" s="217">
        <v>677</v>
      </c>
      <c r="B680" s="218" t="s">
        <v>3448</v>
      </c>
      <c r="C680" s="217" t="s">
        <v>5</v>
      </c>
      <c r="D680" s="217" t="s">
        <v>35</v>
      </c>
      <c r="E680" s="209">
        <v>1366000</v>
      </c>
      <c r="F680" s="212">
        <f t="shared" si="20"/>
        <v>1325020</v>
      </c>
      <c r="G680" s="206">
        <f t="shared" si="21"/>
        <v>1284040</v>
      </c>
      <c r="H680" s="258">
        <v>341.11</v>
      </c>
      <c r="I680" s="258">
        <v>293.95999999999998</v>
      </c>
      <c r="J680" s="217">
        <v>47.15</v>
      </c>
      <c r="K680" s="217" t="s">
        <v>2787</v>
      </c>
    </row>
    <row r="681" spans="1:11">
      <c r="A681" s="217">
        <v>678</v>
      </c>
      <c r="B681" s="218" t="s">
        <v>3449</v>
      </c>
      <c r="C681" s="217" t="s">
        <v>5</v>
      </c>
      <c r="D681" s="217" t="s">
        <v>35</v>
      </c>
      <c r="E681" s="209">
        <v>1366000</v>
      </c>
      <c r="F681" s="212">
        <f t="shared" si="20"/>
        <v>1325020</v>
      </c>
      <c r="G681" s="206">
        <f t="shared" si="21"/>
        <v>1284040</v>
      </c>
      <c r="H681" s="258">
        <v>375.34</v>
      </c>
      <c r="I681" s="258">
        <v>292.45999999999998</v>
      </c>
      <c r="J681" s="217">
        <v>82.88</v>
      </c>
      <c r="K681" s="217" t="s">
        <v>2787</v>
      </c>
    </row>
    <row r="682" spans="1:11">
      <c r="A682" s="217">
        <v>679</v>
      </c>
      <c r="B682" s="218" t="s">
        <v>3450</v>
      </c>
      <c r="C682" s="217" t="s">
        <v>5</v>
      </c>
      <c r="D682" s="217" t="s">
        <v>35</v>
      </c>
      <c r="E682" s="209">
        <v>1366000</v>
      </c>
      <c r="F682" s="212">
        <f t="shared" si="20"/>
        <v>1325020</v>
      </c>
      <c r="G682" s="206">
        <f t="shared" si="21"/>
        <v>1284040</v>
      </c>
      <c r="H682" s="258">
        <v>375.34</v>
      </c>
      <c r="I682" s="258">
        <v>292.45999999999998</v>
      </c>
      <c r="J682" s="217">
        <v>82.88</v>
      </c>
      <c r="K682" s="217" t="s">
        <v>2787</v>
      </c>
    </row>
    <row r="683" spans="1:11">
      <c r="A683" s="217">
        <v>680</v>
      </c>
      <c r="B683" s="218" t="s">
        <v>3451</v>
      </c>
      <c r="C683" s="217" t="s">
        <v>5</v>
      </c>
      <c r="D683" s="217" t="s">
        <v>35</v>
      </c>
      <c r="E683" s="209">
        <v>1366000</v>
      </c>
      <c r="F683" s="212">
        <f t="shared" si="20"/>
        <v>1325020</v>
      </c>
      <c r="G683" s="206">
        <f t="shared" si="21"/>
        <v>1284040</v>
      </c>
      <c r="H683" s="258">
        <v>341.11</v>
      </c>
      <c r="I683" s="258">
        <v>293.95999999999998</v>
      </c>
      <c r="J683" s="217">
        <v>47.15</v>
      </c>
      <c r="K683" s="217" t="s">
        <v>2787</v>
      </c>
    </row>
    <row r="684" spans="1:11">
      <c r="A684" s="217">
        <v>681</v>
      </c>
      <c r="B684" s="218" t="s">
        <v>3452</v>
      </c>
      <c r="C684" s="217" t="s">
        <v>4</v>
      </c>
      <c r="D684" s="217" t="s">
        <v>35</v>
      </c>
      <c r="E684" s="209">
        <v>1369000</v>
      </c>
      <c r="F684" s="212">
        <f t="shared" si="20"/>
        <v>1327930</v>
      </c>
      <c r="G684" s="206">
        <f t="shared" si="21"/>
        <v>1286860</v>
      </c>
      <c r="H684" s="258">
        <v>401.82</v>
      </c>
      <c r="I684" s="258">
        <v>292.45999999999998</v>
      </c>
      <c r="J684" s="217">
        <v>109.36</v>
      </c>
      <c r="K684" s="217" t="s">
        <v>2792</v>
      </c>
    </row>
    <row r="685" spans="1:11">
      <c r="A685" s="217">
        <v>682</v>
      </c>
      <c r="B685" s="218" t="s">
        <v>3453</v>
      </c>
      <c r="C685" s="217" t="s">
        <v>4</v>
      </c>
      <c r="D685" s="217" t="s">
        <v>35</v>
      </c>
      <c r="E685" s="209">
        <v>1369000</v>
      </c>
      <c r="F685" s="212">
        <f t="shared" si="20"/>
        <v>1327930</v>
      </c>
      <c r="G685" s="206">
        <f t="shared" si="21"/>
        <v>1286860</v>
      </c>
      <c r="H685" s="258">
        <v>401.82</v>
      </c>
      <c r="I685" s="258">
        <v>292.45999999999998</v>
      </c>
      <c r="J685" s="217">
        <v>109.36</v>
      </c>
      <c r="K685" s="217" t="s">
        <v>2792</v>
      </c>
    </row>
    <row r="686" spans="1:11">
      <c r="A686" s="217">
        <v>683</v>
      </c>
      <c r="B686" s="218" t="s">
        <v>3454</v>
      </c>
      <c r="C686" s="217" t="s">
        <v>4</v>
      </c>
      <c r="D686" s="217" t="s">
        <v>35</v>
      </c>
      <c r="E686" s="209">
        <v>1369000</v>
      </c>
      <c r="F686" s="212">
        <f t="shared" si="20"/>
        <v>1327930</v>
      </c>
      <c r="G686" s="206">
        <f t="shared" si="21"/>
        <v>1286860</v>
      </c>
      <c r="H686" s="258">
        <v>401.82</v>
      </c>
      <c r="I686" s="258">
        <v>292.45999999999998</v>
      </c>
      <c r="J686" s="217">
        <v>109.36</v>
      </c>
      <c r="K686" s="217" t="s">
        <v>2787</v>
      </c>
    </row>
    <row r="687" spans="1:11">
      <c r="A687" s="217">
        <v>684</v>
      </c>
      <c r="B687" s="218" t="s">
        <v>3455</v>
      </c>
      <c r="C687" s="217" t="s">
        <v>4</v>
      </c>
      <c r="D687" s="217" t="s">
        <v>35</v>
      </c>
      <c r="E687" s="209">
        <v>1369000</v>
      </c>
      <c r="F687" s="212">
        <f t="shared" si="20"/>
        <v>1327930</v>
      </c>
      <c r="G687" s="206">
        <f t="shared" si="21"/>
        <v>1286860</v>
      </c>
      <c r="H687" s="258">
        <v>401.82</v>
      </c>
      <c r="I687" s="258">
        <v>292.45999999999998</v>
      </c>
      <c r="J687" s="217">
        <v>109.36</v>
      </c>
      <c r="K687" s="217" t="s">
        <v>2787</v>
      </c>
    </row>
    <row r="688" spans="1:11">
      <c r="A688" s="217">
        <v>685</v>
      </c>
      <c r="B688" s="218" t="s">
        <v>3456</v>
      </c>
      <c r="C688" s="217" t="s">
        <v>4</v>
      </c>
      <c r="D688" s="217" t="s">
        <v>35</v>
      </c>
      <c r="E688" s="209">
        <v>1367000</v>
      </c>
      <c r="F688" s="212">
        <f t="shared" si="20"/>
        <v>1325990</v>
      </c>
      <c r="G688" s="206">
        <f t="shared" si="21"/>
        <v>1284980</v>
      </c>
      <c r="H688" s="258">
        <v>395.68</v>
      </c>
      <c r="I688" s="258">
        <v>292.45999999999998</v>
      </c>
      <c r="J688" s="217">
        <v>103.23</v>
      </c>
      <c r="K688" s="217" t="s">
        <v>2792</v>
      </c>
    </row>
    <row r="689" spans="1:11">
      <c r="A689" s="217">
        <v>686</v>
      </c>
      <c r="B689" s="218" t="s">
        <v>3457</v>
      </c>
      <c r="C689" s="217" t="s">
        <v>4</v>
      </c>
      <c r="D689" s="217" t="s">
        <v>35</v>
      </c>
      <c r="E689" s="209">
        <v>1367000</v>
      </c>
      <c r="F689" s="212">
        <f t="shared" si="20"/>
        <v>1325990</v>
      </c>
      <c r="G689" s="206">
        <f t="shared" si="21"/>
        <v>1284980</v>
      </c>
      <c r="H689" s="258">
        <v>395.68</v>
      </c>
      <c r="I689" s="258">
        <v>292.45999999999998</v>
      </c>
      <c r="J689" s="217">
        <v>103.23</v>
      </c>
      <c r="K689" s="217" t="s">
        <v>2792</v>
      </c>
    </row>
    <row r="690" spans="1:11">
      <c r="A690" s="217">
        <v>687</v>
      </c>
      <c r="B690" s="218" t="s">
        <v>3458</v>
      </c>
      <c r="C690" s="217" t="s">
        <v>4</v>
      </c>
      <c r="D690" s="217" t="s">
        <v>35</v>
      </c>
      <c r="E690" s="209">
        <v>1367000</v>
      </c>
      <c r="F690" s="212">
        <f t="shared" si="20"/>
        <v>1325990</v>
      </c>
      <c r="G690" s="206">
        <f t="shared" si="21"/>
        <v>1284980</v>
      </c>
      <c r="H690" s="258">
        <v>395.68</v>
      </c>
      <c r="I690" s="258">
        <v>292.45999999999998</v>
      </c>
      <c r="J690" s="217">
        <v>103.23</v>
      </c>
      <c r="K690" s="217" t="s">
        <v>2787</v>
      </c>
    </row>
    <row r="691" spans="1:11">
      <c r="A691" s="217">
        <v>688</v>
      </c>
      <c r="B691" s="218" t="s">
        <v>3459</v>
      </c>
      <c r="C691" s="217" t="s">
        <v>4</v>
      </c>
      <c r="D691" s="217" t="s">
        <v>35</v>
      </c>
      <c r="E691" s="209">
        <v>1367000</v>
      </c>
      <c r="F691" s="212">
        <f t="shared" si="20"/>
        <v>1325990</v>
      </c>
      <c r="G691" s="206">
        <f t="shared" si="21"/>
        <v>1284980</v>
      </c>
      <c r="H691" s="258">
        <v>395.68</v>
      </c>
      <c r="I691" s="258">
        <v>292.45999999999998</v>
      </c>
      <c r="J691" s="217">
        <v>103.23</v>
      </c>
      <c r="K691" s="217" t="s">
        <v>2787</v>
      </c>
    </row>
    <row r="692" spans="1:11">
      <c r="A692" s="217">
        <v>689</v>
      </c>
      <c r="B692" s="218" t="s">
        <v>3460</v>
      </c>
      <c r="C692" s="217" t="s">
        <v>4458</v>
      </c>
      <c r="D692" s="217" t="s">
        <v>35</v>
      </c>
      <c r="E692" s="209">
        <v>1370000</v>
      </c>
      <c r="F692" s="212">
        <f t="shared" si="20"/>
        <v>1328900</v>
      </c>
      <c r="G692" s="206">
        <f t="shared" si="21"/>
        <v>1287800</v>
      </c>
      <c r="H692" s="258">
        <v>361.13</v>
      </c>
      <c r="I692" s="258">
        <v>292.45999999999998</v>
      </c>
      <c r="J692" s="217">
        <v>68.67</v>
      </c>
      <c r="K692" s="217" t="s">
        <v>2792</v>
      </c>
    </row>
    <row r="693" spans="1:11">
      <c r="A693" s="217">
        <v>690</v>
      </c>
      <c r="B693" s="218" t="s">
        <v>3461</v>
      </c>
      <c r="C693" s="217" t="s">
        <v>4458</v>
      </c>
      <c r="D693" s="217" t="s">
        <v>35</v>
      </c>
      <c r="E693" s="209">
        <v>1370000</v>
      </c>
      <c r="F693" s="212">
        <f t="shared" si="20"/>
        <v>1328900</v>
      </c>
      <c r="G693" s="206">
        <f t="shared" si="21"/>
        <v>1287800</v>
      </c>
      <c r="H693" s="258">
        <v>361.13</v>
      </c>
      <c r="I693" s="258">
        <v>292.45999999999998</v>
      </c>
      <c r="J693" s="217">
        <v>68.67</v>
      </c>
      <c r="K693" s="217" t="s">
        <v>2792</v>
      </c>
    </row>
    <row r="694" spans="1:11">
      <c r="A694" s="217">
        <v>691</v>
      </c>
      <c r="B694" s="218" t="s">
        <v>3462</v>
      </c>
      <c r="C694" s="217" t="s">
        <v>4458</v>
      </c>
      <c r="D694" s="217" t="s">
        <v>35</v>
      </c>
      <c r="E694" s="209">
        <v>1370000</v>
      </c>
      <c r="F694" s="212">
        <f t="shared" si="20"/>
        <v>1328900</v>
      </c>
      <c r="G694" s="206">
        <f t="shared" si="21"/>
        <v>1287800</v>
      </c>
      <c r="H694" s="258">
        <v>361.13</v>
      </c>
      <c r="I694" s="258">
        <v>292.45999999999998</v>
      </c>
      <c r="J694" s="217">
        <v>68.67</v>
      </c>
      <c r="K694" s="217" t="s">
        <v>2787</v>
      </c>
    </row>
    <row r="695" spans="1:11">
      <c r="A695" s="217">
        <v>692</v>
      </c>
      <c r="B695" s="218" t="s">
        <v>3463</v>
      </c>
      <c r="C695" s="217" t="s">
        <v>4458</v>
      </c>
      <c r="D695" s="217" t="s">
        <v>35</v>
      </c>
      <c r="E695" s="209">
        <v>1370000</v>
      </c>
      <c r="F695" s="212">
        <f t="shared" si="20"/>
        <v>1328900</v>
      </c>
      <c r="G695" s="206">
        <f t="shared" si="21"/>
        <v>1287800</v>
      </c>
      <c r="H695" s="258">
        <v>361.13</v>
      </c>
      <c r="I695" s="258">
        <v>292.45999999999998</v>
      </c>
      <c r="J695" s="217">
        <v>68.67</v>
      </c>
      <c r="K695" s="217" t="s">
        <v>2787</v>
      </c>
    </row>
    <row r="696" spans="1:11">
      <c r="A696" s="217">
        <v>693</v>
      </c>
      <c r="B696" s="218" t="s">
        <v>3464</v>
      </c>
      <c r="C696" s="217" t="s">
        <v>4</v>
      </c>
      <c r="D696" s="217" t="s">
        <v>35</v>
      </c>
      <c r="E696" s="209">
        <v>1366000</v>
      </c>
      <c r="F696" s="212">
        <f t="shared" si="20"/>
        <v>1325020</v>
      </c>
      <c r="G696" s="206">
        <f t="shared" si="21"/>
        <v>1284040</v>
      </c>
      <c r="H696" s="258">
        <v>386.85</v>
      </c>
      <c r="I696" s="258">
        <v>292.45999999999998</v>
      </c>
      <c r="J696" s="217">
        <v>94.4</v>
      </c>
      <c r="K696" s="217" t="s">
        <v>2792</v>
      </c>
    </row>
    <row r="697" spans="1:11">
      <c r="A697" s="217">
        <v>694</v>
      </c>
      <c r="B697" s="218" t="s">
        <v>3465</v>
      </c>
      <c r="C697" s="217" t="s">
        <v>4</v>
      </c>
      <c r="D697" s="217" t="s">
        <v>35</v>
      </c>
      <c r="E697" s="209">
        <v>1366000</v>
      </c>
      <c r="F697" s="212">
        <f t="shared" si="20"/>
        <v>1325020</v>
      </c>
      <c r="G697" s="206">
        <f t="shared" si="21"/>
        <v>1284040</v>
      </c>
      <c r="H697" s="258">
        <v>386.85</v>
      </c>
      <c r="I697" s="258">
        <v>292.45999999999998</v>
      </c>
      <c r="J697" s="217">
        <v>94.4</v>
      </c>
      <c r="K697" s="217" t="s">
        <v>2792</v>
      </c>
    </row>
    <row r="698" spans="1:11">
      <c r="A698" s="217">
        <v>695</v>
      </c>
      <c r="B698" s="218" t="s">
        <v>3466</v>
      </c>
      <c r="C698" s="217" t="s">
        <v>4</v>
      </c>
      <c r="D698" s="217" t="s">
        <v>35</v>
      </c>
      <c r="E698" s="209">
        <v>1366000</v>
      </c>
      <c r="F698" s="212">
        <f t="shared" si="20"/>
        <v>1325020</v>
      </c>
      <c r="G698" s="206">
        <f t="shared" si="21"/>
        <v>1284040</v>
      </c>
      <c r="H698" s="258">
        <v>386.85</v>
      </c>
      <c r="I698" s="258">
        <v>292.45999999999998</v>
      </c>
      <c r="J698" s="217">
        <v>94.4</v>
      </c>
      <c r="K698" s="217" t="s">
        <v>2787</v>
      </c>
    </row>
    <row r="699" spans="1:11">
      <c r="A699" s="217">
        <v>696</v>
      </c>
      <c r="B699" s="218" t="s">
        <v>3467</v>
      </c>
      <c r="C699" s="217" t="s">
        <v>4</v>
      </c>
      <c r="D699" s="217" t="s">
        <v>35</v>
      </c>
      <c r="E699" s="209">
        <v>1366000</v>
      </c>
      <c r="F699" s="212">
        <f t="shared" si="20"/>
        <v>1325020</v>
      </c>
      <c r="G699" s="206">
        <f t="shared" si="21"/>
        <v>1284040</v>
      </c>
      <c r="H699" s="258">
        <v>386.85</v>
      </c>
      <c r="I699" s="258">
        <v>292.45999999999998</v>
      </c>
      <c r="J699" s="217">
        <v>94.4</v>
      </c>
      <c r="K699" s="217" t="s">
        <v>2787</v>
      </c>
    </row>
    <row r="700" spans="1:11">
      <c r="A700" s="217">
        <v>697</v>
      </c>
      <c r="B700" s="218" t="s">
        <v>3468</v>
      </c>
      <c r="C700" s="217" t="s">
        <v>4</v>
      </c>
      <c r="D700" s="217" t="s">
        <v>35</v>
      </c>
      <c r="E700" s="209">
        <v>1364000</v>
      </c>
      <c r="F700" s="212">
        <f t="shared" si="20"/>
        <v>1323080</v>
      </c>
      <c r="G700" s="206">
        <f t="shared" si="21"/>
        <v>1282160</v>
      </c>
      <c r="H700" s="258">
        <v>341.11</v>
      </c>
      <c r="I700" s="258">
        <v>293.95999999999998</v>
      </c>
      <c r="J700" s="217">
        <v>47.15</v>
      </c>
      <c r="K700" s="217" t="s">
        <v>2792</v>
      </c>
    </row>
    <row r="701" spans="1:11">
      <c r="A701" s="217">
        <v>698</v>
      </c>
      <c r="B701" s="218" t="s">
        <v>3469</v>
      </c>
      <c r="C701" s="217" t="s">
        <v>4</v>
      </c>
      <c r="D701" s="217" t="s">
        <v>35</v>
      </c>
      <c r="E701" s="209">
        <v>1363000</v>
      </c>
      <c r="F701" s="212">
        <f t="shared" si="20"/>
        <v>1322110</v>
      </c>
      <c r="G701" s="206">
        <f t="shared" si="21"/>
        <v>1281220</v>
      </c>
      <c r="H701" s="258">
        <v>375.34</v>
      </c>
      <c r="I701" s="258">
        <v>292.45999999999998</v>
      </c>
      <c r="J701" s="217">
        <v>82.88</v>
      </c>
      <c r="K701" s="217" t="s">
        <v>2792</v>
      </c>
    </row>
    <row r="702" spans="1:11">
      <c r="A702" s="217">
        <v>699</v>
      </c>
      <c r="B702" s="218" t="s">
        <v>3470</v>
      </c>
      <c r="C702" s="217" t="s">
        <v>4</v>
      </c>
      <c r="D702" s="217" t="s">
        <v>35</v>
      </c>
      <c r="E702" s="209">
        <v>1363000</v>
      </c>
      <c r="F702" s="212">
        <f t="shared" si="20"/>
        <v>1322110</v>
      </c>
      <c r="G702" s="206">
        <f t="shared" si="21"/>
        <v>1281220</v>
      </c>
      <c r="H702" s="258">
        <v>375.34</v>
      </c>
      <c r="I702" s="258">
        <v>292.45999999999998</v>
      </c>
      <c r="J702" s="217">
        <v>82.88</v>
      </c>
      <c r="K702" s="217" t="s">
        <v>2792</v>
      </c>
    </row>
    <row r="703" spans="1:11">
      <c r="A703" s="217">
        <v>700</v>
      </c>
      <c r="B703" s="218" t="s">
        <v>3471</v>
      </c>
      <c r="C703" s="217" t="s">
        <v>4</v>
      </c>
      <c r="D703" s="217" t="s">
        <v>35</v>
      </c>
      <c r="E703" s="209">
        <v>1364000</v>
      </c>
      <c r="F703" s="212">
        <f t="shared" si="20"/>
        <v>1323080</v>
      </c>
      <c r="G703" s="206">
        <f t="shared" si="21"/>
        <v>1282160</v>
      </c>
      <c r="H703" s="258">
        <v>341.11</v>
      </c>
      <c r="I703" s="258">
        <v>293.95999999999998</v>
      </c>
      <c r="J703" s="217">
        <v>47.15</v>
      </c>
      <c r="K703" s="217" t="s">
        <v>2792</v>
      </c>
    </row>
    <row r="704" spans="1:11">
      <c r="A704" s="217">
        <v>701</v>
      </c>
      <c r="B704" s="218" t="s">
        <v>3472</v>
      </c>
      <c r="C704" s="217" t="s">
        <v>4</v>
      </c>
      <c r="D704" s="217" t="s">
        <v>35</v>
      </c>
      <c r="E704" s="209">
        <v>1364000</v>
      </c>
      <c r="F704" s="212">
        <f t="shared" si="20"/>
        <v>1323080</v>
      </c>
      <c r="G704" s="206">
        <f t="shared" si="21"/>
        <v>1282160</v>
      </c>
      <c r="H704" s="258">
        <v>341.11</v>
      </c>
      <c r="I704" s="258">
        <v>293.95999999999998</v>
      </c>
      <c r="J704" s="217">
        <v>47.15</v>
      </c>
      <c r="K704" s="217" t="s">
        <v>2787</v>
      </c>
    </row>
    <row r="705" spans="1:11">
      <c r="A705" s="217">
        <v>702</v>
      </c>
      <c r="B705" s="218" t="s">
        <v>3473</v>
      </c>
      <c r="C705" s="217" t="s">
        <v>4</v>
      </c>
      <c r="D705" s="217" t="s">
        <v>35</v>
      </c>
      <c r="E705" s="209">
        <v>1363000</v>
      </c>
      <c r="F705" s="212">
        <f t="shared" si="20"/>
        <v>1322110</v>
      </c>
      <c r="G705" s="206">
        <f t="shared" si="21"/>
        <v>1281220</v>
      </c>
      <c r="H705" s="258">
        <v>375.34</v>
      </c>
      <c r="I705" s="258">
        <v>292.45999999999998</v>
      </c>
      <c r="J705" s="217">
        <v>82.88</v>
      </c>
      <c r="K705" s="217" t="s">
        <v>2787</v>
      </c>
    </row>
    <row r="706" spans="1:11">
      <c r="A706" s="217">
        <v>703</v>
      </c>
      <c r="B706" s="218" t="s">
        <v>3474</v>
      </c>
      <c r="C706" s="217" t="s">
        <v>4</v>
      </c>
      <c r="D706" s="217" t="s">
        <v>35</v>
      </c>
      <c r="E706" s="209">
        <v>1363000</v>
      </c>
      <c r="F706" s="212">
        <f t="shared" si="20"/>
        <v>1322110</v>
      </c>
      <c r="G706" s="206">
        <f t="shared" si="21"/>
        <v>1281220</v>
      </c>
      <c r="H706" s="258">
        <v>375.34</v>
      </c>
      <c r="I706" s="258">
        <v>292.45999999999998</v>
      </c>
      <c r="J706" s="217">
        <v>82.88</v>
      </c>
      <c r="K706" s="217" t="s">
        <v>2787</v>
      </c>
    </row>
    <row r="707" spans="1:11">
      <c r="A707" s="217">
        <v>704</v>
      </c>
      <c r="B707" s="218" t="s">
        <v>3475</v>
      </c>
      <c r="C707" s="217" t="s">
        <v>4</v>
      </c>
      <c r="D707" s="217" t="s">
        <v>35</v>
      </c>
      <c r="E707" s="209">
        <v>1364000</v>
      </c>
      <c r="F707" s="212">
        <f t="shared" ref="F707:F770" si="22">E707*0.97</f>
        <v>1323080</v>
      </c>
      <c r="G707" s="206">
        <f t="shared" ref="G707:G770" si="23">E707*0.94</f>
        <v>1282160</v>
      </c>
      <c r="H707" s="258">
        <v>341.11</v>
      </c>
      <c r="I707" s="258">
        <v>293.95999999999998</v>
      </c>
      <c r="J707" s="217">
        <v>47.15</v>
      </c>
      <c r="K707" s="217" t="s">
        <v>2787</v>
      </c>
    </row>
    <row r="708" spans="1:11">
      <c r="A708" s="217">
        <v>705</v>
      </c>
      <c r="B708" s="218" t="s">
        <v>3476</v>
      </c>
      <c r="C708" s="217" t="s">
        <v>4458</v>
      </c>
      <c r="D708" s="217" t="s">
        <v>35</v>
      </c>
      <c r="E708" s="209">
        <v>1366000</v>
      </c>
      <c r="F708" s="212">
        <f t="shared" si="22"/>
        <v>1325020</v>
      </c>
      <c r="G708" s="206">
        <f t="shared" si="23"/>
        <v>1284040</v>
      </c>
      <c r="H708" s="258">
        <v>401.82</v>
      </c>
      <c r="I708" s="258">
        <v>292.45999999999998</v>
      </c>
      <c r="J708" s="217">
        <v>109.36</v>
      </c>
      <c r="K708" s="217" t="s">
        <v>2792</v>
      </c>
    </row>
    <row r="709" spans="1:11">
      <c r="A709" s="217">
        <v>706</v>
      </c>
      <c r="B709" s="218" t="s">
        <v>3477</v>
      </c>
      <c r="C709" s="217" t="s">
        <v>4458</v>
      </c>
      <c r="D709" s="217" t="s">
        <v>35</v>
      </c>
      <c r="E709" s="209">
        <v>1366000</v>
      </c>
      <c r="F709" s="212">
        <f t="shared" si="22"/>
        <v>1325020</v>
      </c>
      <c r="G709" s="206">
        <f t="shared" si="23"/>
        <v>1284040</v>
      </c>
      <c r="H709" s="258">
        <v>401.82</v>
      </c>
      <c r="I709" s="258">
        <v>292.45999999999998</v>
      </c>
      <c r="J709" s="217">
        <v>109.36</v>
      </c>
      <c r="K709" s="217" t="s">
        <v>2792</v>
      </c>
    </row>
    <row r="710" spans="1:11">
      <c r="A710" s="217">
        <v>707</v>
      </c>
      <c r="B710" s="218" t="s">
        <v>3478</v>
      </c>
      <c r="C710" s="217" t="s">
        <v>4458</v>
      </c>
      <c r="D710" s="217" t="s">
        <v>35</v>
      </c>
      <c r="E710" s="209">
        <v>1366000</v>
      </c>
      <c r="F710" s="212">
        <f t="shared" si="22"/>
        <v>1325020</v>
      </c>
      <c r="G710" s="206">
        <f t="shared" si="23"/>
        <v>1284040</v>
      </c>
      <c r="H710" s="258">
        <v>401.82</v>
      </c>
      <c r="I710" s="258">
        <v>292.45999999999998</v>
      </c>
      <c r="J710" s="217">
        <v>109.36</v>
      </c>
      <c r="K710" s="217" t="s">
        <v>2787</v>
      </c>
    </row>
    <row r="711" spans="1:11">
      <c r="A711" s="217">
        <v>708</v>
      </c>
      <c r="B711" s="218" t="s">
        <v>3479</v>
      </c>
      <c r="C711" s="217" t="s">
        <v>4458</v>
      </c>
      <c r="D711" s="217" t="s">
        <v>35</v>
      </c>
      <c r="E711" s="209">
        <v>1366000</v>
      </c>
      <c r="F711" s="212">
        <f t="shared" si="22"/>
        <v>1325020</v>
      </c>
      <c r="G711" s="206">
        <f t="shared" si="23"/>
        <v>1284040</v>
      </c>
      <c r="H711" s="258">
        <v>401.82</v>
      </c>
      <c r="I711" s="258">
        <v>292.45999999999998</v>
      </c>
      <c r="J711" s="217">
        <v>109.36</v>
      </c>
      <c r="K711" s="217" t="s">
        <v>2787</v>
      </c>
    </row>
    <row r="712" spans="1:11">
      <c r="A712" s="217">
        <v>709</v>
      </c>
      <c r="B712" s="218" t="s">
        <v>3480</v>
      </c>
      <c r="C712" s="217" t="s">
        <v>4458</v>
      </c>
      <c r="D712" s="217" t="s">
        <v>35</v>
      </c>
      <c r="E712" s="209">
        <v>1365000</v>
      </c>
      <c r="F712" s="212">
        <f t="shared" si="22"/>
        <v>1324050</v>
      </c>
      <c r="G712" s="206">
        <f t="shared" si="23"/>
        <v>1283100</v>
      </c>
      <c r="H712" s="258">
        <v>395.68</v>
      </c>
      <c r="I712" s="258">
        <v>292.45999999999998</v>
      </c>
      <c r="J712" s="217">
        <v>103.23</v>
      </c>
      <c r="K712" s="217" t="s">
        <v>2792</v>
      </c>
    </row>
    <row r="713" spans="1:11">
      <c r="A713" s="217">
        <v>710</v>
      </c>
      <c r="B713" s="218" t="s">
        <v>3481</v>
      </c>
      <c r="C713" s="217" t="s">
        <v>4458</v>
      </c>
      <c r="D713" s="217" t="s">
        <v>35</v>
      </c>
      <c r="E713" s="209">
        <v>1365000</v>
      </c>
      <c r="F713" s="212">
        <f t="shared" si="22"/>
        <v>1324050</v>
      </c>
      <c r="G713" s="206">
        <f t="shared" si="23"/>
        <v>1283100</v>
      </c>
      <c r="H713" s="258">
        <v>395.68</v>
      </c>
      <c r="I713" s="258">
        <v>292.45999999999998</v>
      </c>
      <c r="J713" s="217">
        <v>103.23</v>
      </c>
      <c r="K713" s="217" t="s">
        <v>2792</v>
      </c>
    </row>
    <row r="714" spans="1:11">
      <c r="A714" s="217">
        <v>711</v>
      </c>
      <c r="B714" s="218" t="s">
        <v>3482</v>
      </c>
      <c r="C714" s="217" t="s">
        <v>4458</v>
      </c>
      <c r="D714" s="217" t="s">
        <v>35</v>
      </c>
      <c r="E714" s="209">
        <v>1365000</v>
      </c>
      <c r="F714" s="212">
        <f t="shared" si="22"/>
        <v>1324050</v>
      </c>
      <c r="G714" s="206">
        <f t="shared" si="23"/>
        <v>1283100</v>
      </c>
      <c r="H714" s="258">
        <v>395.68</v>
      </c>
      <c r="I714" s="258">
        <v>292.45999999999998</v>
      </c>
      <c r="J714" s="217">
        <v>103.23</v>
      </c>
      <c r="K714" s="217" t="s">
        <v>2787</v>
      </c>
    </row>
    <row r="715" spans="1:11">
      <c r="A715" s="217">
        <v>712</v>
      </c>
      <c r="B715" s="218" t="s">
        <v>3483</v>
      </c>
      <c r="C715" s="217" t="s">
        <v>4458</v>
      </c>
      <c r="D715" s="217" t="s">
        <v>35</v>
      </c>
      <c r="E715" s="209">
        <v>1365000</v>
      </c>
      <c r="F715" s="212">
        <f t="shared" si="22"/>
        <v>1324050</v>
      </c>
      <c r="G715" s="206">
        <f t="shared" si="23"/>
        <v>1283100</v>
      </c>
      <c r="H715" s="258">
        <v>395.68</v>
      </c>
      <c r="I715" s="258">
        <v>292.45999999999998</v>
      </c>
      <c r="J715" s="217">
        <v>103.23</v>
      </c>
      <c r="K715" s="217" t="s">
        <v>2787</v>
      </c>
    </row>
    <row r="716" spans="1:11">
      <c r="A716" s="217">
        <v>713</v>
      </c>
      <c r="B716" s="218" t="s">
        <v>3484</v>
      </c>
      <c r="C716" s="217" t="s">
        <v>6</v>
      </c>
      <c r="D716" s="217" t="s">
        <v>35</v>
      </c>
      <c r="E716" s="209">
        <v>1367000</v>
      </c>
      <c r="F716" s="212">
        <f t="shared" si="22"/>
        <v>1325990</v>
      </c>
      <c r="G716" s="206">
        <f t="shared" si="23"/>
        <v>1284980</v>
      </c>
      <c r="H716" s="258">
        <v>361.13</v>
      </c>
      <c r="I716" s="258">
        <v>292.45999999999998</v>
      </c>
      <c r="J716" s="217">
        <v>68.67</v>
      </c>
      <c r="K716" s="217" t="s">
        <v>2792</v>
      </c>
    </row>
    <row r="717" spans="1:11">
      <c r="A717" s="217">
        <v>714</v>
      </c>
      <c r="B717" s="218" t="s">
        <v>3485</v>
      </c>
      <c r="C717" s="217" t="s">
        <v>6</v>
      </c>
      <c r="D717" s="217" t="s">
        <v>35</v>
      </c>
      <c r="E717" s="209">
        <v>1367000</v>
      </c>
      <c r="F717" s="212">
        <f t="shared" si="22"/>
        <v>1325990</v>
      </c>
      <c r="G717" s="206">
        <f t="shared" si="23"/>
        <v>1284980</v>
      </c>
      <c r="H717" s="258">
        <v>361.13</v>
      </c>
      <c r="I717" s="258">
        <v>292.45999999999998</v>
      </c>
      <c r="J717" s="217">
        <v>68.67</v>
      </c>
      <c r="K717" s="217" t="s">
        <v>2792</v>
      </c>
    </row>
    <row r="718" spans="1:11">
      <c r="A718" s="217">
        <v>715</v>
      </c>
      <c r="B718" s="218" t="s">
        <v>3486</v>
      </c>
      <c r="C718" s="217" t="s">
        <v>6</v>
      </c>
      <c r="D718" s="217" t="s">
        <v>35</v>
      </c>
      <c r="E718" s="209">
        <v>1367000</v>
      </c>
      <c r="F718" s="212">
        <f t="shared" si="22"/>
        <v>1325990</v>
      </c>
      <c r="G718" s="206">
        <f t="shared" si="23"/>
        <v>1284980</v>
      </c>
      <c r="H718" s="258">
        <v>361.13</v>
      </c>
      <c r="I718" s="258">
        <v>292.45999999999998</v>
      </c>
      <c r="J718" s="217">
        <v>68.67</v>
      </c>
      <c r="K718" s="217" t="s">
        <v>2787</v>
      </c>
    </row>
    <row r="719" spans="1:11">
      <c r="A719" s="217">
        <v>716</v>
      </c>
      <c r="B719" s="218" t="s">
        <v>3487</v>
      </c>
      <c r="C719" s="217" t="s">
        <v>6</v>
      </c>
      <c r="D719" s="217" t="s">
        <v>35</v>
      </c>
      <c r="E719" s="209">
        <v>1367000</v>
      </c>
      <c r="F719" s="212">
        <f t="shared" si="22"/>
        <v>1325990</v>
      </c>
      <c r="G719" s="206">
        <f t="shared" si="23"/>
        <v>1284980</v>
      </c>
      <c r="H719" s="258">
        <v>361.13</v>
      </c>
      <c r="I719" s="258">
        <v>292.45999999999998</v>
      </c>
      <c r="J719" s="217">
        <v>68.67</v>
      </c>
      <c r="K719" s="217" t="s">
        <v>2787</v>
      </c>
    </row>
    <row r="720" spans="1:11">
      <c r="A720" s="217">
        <v>717</v>
      </c>
      <c r="B720" s="218" t="s">
        <v>3488</v>
      </c>
      <c r="C720" s="217" t="s">
        <v>4458</v>
      </c>
      <c r="D720" s="217" t="s">
        <v>35</v>
      </c>
      <c r="E720" s="209">
        <v>1364000</v>
      </c>
      <c r="F720" s="212">
        <f t="shared" si="22"/>
        <v>1323080</v>
      </c>
      <c r="G720" s="206">
        <f t="shared" si="23"/>
        <v>1282160</v>
      </c>
      <c r="H720" s="258">
        <v>386.85</v>
      </c>
      <c r="I720" s="258">
        <v>292.45999999999998</v>
      </c>
      <c r="J720" s="217">
        <v>94.4</v>
      </c>
      <c r="K720" s="217" t="s">
        <v>2792</v>
      </c>
    </row>
    <row r="721" spans="1:11">
      <c r="A721" s="217">
        <v>718</v>
      </c>
      <c r="B721" s="218" t="s">
        <v>3489</v>
      </c>
      <c r="C721" s="217" t="s">
        <v>4458</v>
      </c>
      <c r="D721" s="217" t="s">
        <v>35</v>
      </c>
      <c r="E721" s="209">
        <v>1364000</v>
      </c>
      <c r="F721" s="212">
        <f t="shared" si="22"/>
        <v>1323080</v>
      </c>
      <c r="G721" s="206">
        <f t="shared" si="23"/>
        <v>1282160</v>
      </c>
      <c r="H721" s="258">
        <v>386.85</v>
      </c>
      <c r="I721" s="258">
        <v>292.45999999999998</v>
      </c>
      <c r="J721" s="217">
        <v>94.4</v>
      </c>
      <c r="K721" s="217" t="s">
        <v>2792</v>
      </c>
    </row>
    <row r="722" spans="1:11">
      <c r="A722" s="217">
        <v>719</v>
      </c>
      <c r="B722" s="218" t="s">
        <v>3490</v>
      </c>
      <c r="C722" s="217" t="s">
        <v>4458</v>
      </c>
      <c r="D722" s="217" t="s">
        <v>35</v>
      </c>
      <c r="E722" s="209">
        <v>1364000</v>
      </c>
      <c r="F722" s="212">
        <f t="shared" si="22"/>
        <v>1323080</v>
      </c>
      <c r="G722" s="206">
        <f t="shared" si="23"/>
        <v>1282160</v>
      </c>
      <c r="H722" s="258">
        <v>386.85</v>
      </c>
      <c r="I722" s="258">
        <v>292.45999999999998</v>
      </c>
      <c r="J722" s="217">
        <v>94.4</v>
      </c>
      <c r="K722" s="217" t="s">
        <v>2787</v>
      </c>
    </row>
    <row r="723" spans="1:11">
      <c r="A723" s="217">
        <v>720</v>
      </c>
      <c r="B723" s="218" t="s">
        <v>3491</v>
      </c>
      <c r="C723" s="217" t="s">
        <v>4458</v>
      </c>
      <c r="D723" s="217" t="s">
        <v>35</v>
      </c>
      <c r="E723" s="209">
        <v>1364000</v>
      </c>
      <c r="F723" s="212">
        <f t="shared" si="22"/>
        <v>1323080</v>
      </c>
      <c r="G723" s="206">
        <f t="shared" si="23"/>
        <v>1282160</v>
      </c>
      <c r="H723" s="258">
        <v>386.85</v>
      </c>
      <c r="I723" s="258">
        <v>292.45999999999998</v>
      </c>
      <c r="J723" s="217">
        <v>94.4</v>
      </c>
      <c r="K723" s="217" t="s">
        <v>2787</v>
      </c>
    </row>
    <row r="724" spans="1:11">
      <c r="A724" s="217">
        <v>721</v>
      </c>
      <c r="B724" s="218" t="s">
        <v>3492</v>
      </c>
      <c r="C724" s="217" t="s">
        <v>4458</v>
      </c>
      <c r="D724" s="217" t="s">
        <v>35</v>
      </c>
      <c r="E724" s="209">
        <v>1361000</v>
      </c>
      <c r="F724" s="212">
        <f t="shared" si="22"/>
        <v>1320170</v>
      </c>
      <c r="G724" s="206">
        <f t="shared" si="23"/>
        <v>1279340</v>
      </c>
      <c r="H724" s="258">
        <v>341.11</v>
      </c>
      <c r="I724" s="258">
        <v>293.95999999999998</v>
      </c>
      <c r="J724" s="217">
        <v>47.15</v>
      </c>
      <c r="K724" s="217" t="s">
        <v>2792</v>
      </c>
    </row>
    <row r="725" spans="1:11">
      <c r="A725" s="217">
        <v>722</v>
      </c>
      <c r="B725" s="218" t="s">
        <v>3493</v>
      </c>
      <c r="C725" s="217" t="s">
        <v>4458</v>
      </c>
      <c r="D725" s="217" t="s">
        <v>35</v>
      </c>
      <c r="E725" s="209">
        <v>1361000</v>
      </c>
      <c r="F725" s="212">
        <f t="shared" si="22"/>
        <v>1320170</v>
      </c>
      <c r="G725" s="206">
        <f t="shared" si="23"/>
        <v>1279340</v>
      </c>
      <c r="H725" s="258">
        <v>375.34</v>
      </c>
      <c r="I725" s="258">
        <v>292.45999999999998</v>
      </c>
      <c r="J725" s="217">
        <v>82.88</v>
      </c>
      <c r="K725" s="217" t="s">
        <v>2792</v>
      </c>
    </row>
    <row r="726" spans="1:11">
      <c r="A726" s="217">
        <v>723</v>
      </c>
      <c r="B726" s="218" t="s">
        <v>3494</v>
      </c>
      <c r="C726" s="217" t="s">
        <v>4458</v>
      </c>
      <c r="D726" s="217" t="s">
        <v>35</v>
      </c>
      <c r="E726" s="209">
        <v>1361000</v>
      </c>
      <c r="F726" s="212">
        <f t="shared" si="22"/>
        <v>1320170</v>
      </c>
      <c r="G726" s="206">
        <f t="shared" si="23"/>
        <v>1279340</v>
      </c>
      <c r="H726" s="258">
        <v>375.34</v>
      </c>
      <c r="I726" s="258">
        <v>292.45999999999998</v>
      </c>
      <c r="J726" s="217">
        <v>82.88</v>
      </c>
      <c r="K726" s="217" t="s">
        <v>2792</v>
      </c>
    </row>
    <row r="727" spans="1:11">
      <c r="A727" s="217">
        <v>724</v>
      </c>
      <c r="B727" s="218" t="s">
        <v>3495</v>
      </c>
      <c r="C727" s="217" t="s">
        <v>4458</v>
      </c>
      <c r="D727" s="217" t="s">
        <v>35</v>
      </c>
      <c r="E727" s="209">
        <v>1361000</v>
      </c>
      <c r="F727" s="212">
        <f t="shared" si="22"/>
        <v>1320170</v>
      </c>
      <c r="G727" s="206">
        <f t="shared" si="23"/>
        <v>1279340</v>
      </c>
      <c r="H727" s="258">
        <v>341.11</v>
      </c>
      <c r="I727" s="258">
        <v>293.95999999999998</v>
      </c>
      <c r="J727" s="217">
        <v>47.15</v>
      </c>
      <c r="K727" s="217" t="s">
        <v>2792</v>
      </c>
    </row>
    <row r="728" spans="1:11">
      <c r="A728" s="217">
        <v>725</v>
      </c>
      <c r="B728" s="218" t="s">
        <v>3496</v>
      </c>
      <c r="C728" s="217" t="s">
        <v>4458</v>
      </c>
      <c r="D728" s="217" t="s">
        <v>35</v>
      </c>
      <c r="E728" s="209">
        <v>1361000</v>
      </c>
      <c r="F728" s="212">
        <f t="shared" si="22"/>
        <v>1320170</v>
      </c>
      <c r="G728" s="206">
        <f t="shared" si="23"/>
        <v>1279340</v>
      </c>
      <c r="H728" s="258">
        <v>341.11</v>
      </c>
      <c r="I728" s="258">
        <v>293.95999999999998</v>
      </c>
      <c r="J728" s="217">
        <v>47.15</v>
      </c>
      <c r="K728" s="217" t="s">
        <v>2787</v>
      </c>
    </row>
    <row r="729" spans="1:11">
      <c r="A729" s="217">
        <v>726</v>
      </c>
      <c r="B729" s="218" t="s">
        <v>3497</v>
      </c>
      <c r="C729" s="217" t="s">
        <v>4458</v>
      </c>
      <c r="D729" s="217" t="s">
        <v>35</v>
      </c>
      <c r="E729" s="209">
        <v>1361000</v>
      </c>
      <c r="F729" s="212">
        <f t="shared" si="22"/>
        <v>1320170</v>
      </c>
      <c r="G729" s="206">
        <f t="shared" si="23"/>
        <v>1279340</v>
      </c>
      <c r="H729" s="258">
        <v>375.34</v>
      </c>
      <c r="I729" s="258">
        <v>292.45999999999998</v>
      </c>
      <c r="J729" s="217">
        <v>82.88</v>
      </c>
      <c r="K729" s="217" t="s">
        <v>2787</v>
      </c>
    </row>
    <row r="730" spans="1:11">
      <c r="A730" s="217">
        <v>727</v>
      </c>
      <c r="B730" s="218" t="s">
        <v>3498</v>
      </c>
      <c r="C730" s="217" t="s">
        <v>4458</v>
      </c>
      <c r="D730" s="217" t="s">
        <v>35</v>
      </c>
      <c r="E730" s="209">
        <v>1361000</v>
      </c>
      <c r="F730" s="212">
        <f t="shared" si="22"/>
        <v>1320170</v>
      </c>
      <c r="G730" s="206">
        <f t="shared" si="23"/>
        <v>1279340</v>
      </c>
      <c r="H730" s="258">
        <v>375.34</v>
      </c>
      <c r="I730" s="258">
        <v>292.45999999999998</v>
      </c>
      <c r="J730" s="217">
        <v>82.88</v>
      </c>
      <c r="K730" s="217" t="s">
        <v>2787</v>
      </c>
    </row>
    <row r="731" spans="1:11">
      <c r="A731" s="217">
        <v>728</v>
      </c>
      <c r="B731" s="218" t="s">
        <v>3499</v>
      </c>
      <c r="C731" s="217" t="s">
        <v>4458</v>
      </c>
      <c r="D731" s="217" t="s">
        <v>35</v>
      </c>
      <c r="E731" s="209">
        <v>1361000</v>
      </c>
      <c r="F731" s="212">
        <f t="shared" si="22"/>
        <v>1320170</v>
      </c>
      <c r="G731" s="206">
        <f t="shared" si="23"/>
        <v>1279340</v>
      </c>
      <c r="H731" s="258">
        <v>341.11</v>
      </c>
      <c r="I731" s="258">
        <v>293.95999999999998</v>
      </c>
      <c r="J731" s="217">
        <v>47.15</v>
      </c>
      <c r="K731" s="217" t="s">
        <v>2787</v>
      </c>
    </row>
    <row r="732" spans="1:11">
      <c r="A732" s="217">
        <v>729</v>
      </c>
      <c r="B732" s="218" t="s">
        <v>3500</v>
      </c>
      <c r="C732" s="217" t="s">
        <v>6</v>
      </c>
      <c r="D732" s="217" t="s">
        <v>35</v>
      </c>
      <c r="E732" s="209">
        <v>1364000</v>
      </c>
      <c r="F732" s="212">
        <f t="shared" si="22"/>
        <v>1323080</v>
      </c>
      <c r="G732" s="206">
        <f t="shared" si="23"/>
        <v>1282160</v>
      </c>
      <c r="H732" s="258">
        <v>401.82</v>
      </c>
      <c r="I732" s="258">
        <v>292.45999999999998</v>
      </c>
      <c r="J732" s="217">
        <v>109.36</v>
      </c>
      <c r="K732" s="217" t="s">
        <v>2792</v>
      </c>
    </row>
    <row r="733" spans="1:11">
      <c r="A733" s="217">
        <v>730</v>
      </c>
      <c r="B733" s="218" t="s">
        <v>3501</v>
      </c>
      <c r="C733" s="217" t="s">
        <v>6</v>
      </c>
      <c r="D733" s="217" t="s">
        <v>35</v>
      </c>
      <c r="E733" s="209">
        <v>1364000</v>
      </c>
      <c r="F733" s="212">
        <f t="shared" si="22"/>
        <v>1323080</v>
      </c>
      <c r="G733" s="206">
        <f t="shared" si="23"/>
        <v>1282160</v>
      </c>
      <c r="H733" s="258">
        <v>401.82</v>
      </c>
      <c r="I733" s="258">
        <v>292.45999999999998</v>
      </c>
      <c r="J733" s="217">
        <v>109.36</v>
      </c>
      <c r="K733" s="217" t="s">
        <v>2792</v>
      </c>
    </row>
    <row r="734" spans="1:11">
      <c r="A734" s="217">
        <v>731</v>
      </c>
      <c r="B734" s="218" t="s">
        <v>3502</v>
      </c>
      <c r="C734" s="217" t="s">
        <v>6</v>
      </c>
      <c r="D734" s="217" t="s">
        <v>35</v>
      </c>
      <c r="E734" s="209">
        <v>1364000</v>
      </c>
      <c r="F734" s="212">
        <f t="shared" si="22"/>
        <v>1323080</v>
      </c>
      <c r="G734" s="206">
        <f t="shared" si="23"/>
        <v>1282160</v>
      </c>
      <c r="H734" s="258">
        <v>401.82</v>
      </c>
      <c r="I734" s="258">
        <v>292.45999999999998</v>
      </c>
      <c r="J734" s="217">
        <v>109.36</v>
      </c>
      <c r="K734" s="217" t="s">
        <v>2787</v>
      </c>
    </row>
    <row r="735" spans="1:11">
      <c r="A735" s="217">
        <v>732</v>
      </c>
      <c r="B735" s="218" t="s">
        <v>3503</v>
      </c>
      <c r="C735" s="217" t="s">
        <v>6</v>
      </c>
      <c r="D735" s="217" t="s">
        <v>35</v>
      </c>
      <c r="E735" s="209">
        <v>1364000</v>
      </c>
      <c r="F735" s="212">
        <f t="shared" si="22"/>
        <v>1323080</v>
      </c>
      <c r="G735" s="206">
        <f t="shared" si="23"/>
        <v>1282160</v>
      </c>
      <c r="H735" s="258">
        <v>401.82</v>
      </c>
      <c r="I735" s="258">
        <v>292.45999999999998</v>
      </c>
      <c r="J735" s="217">
        <v>109.36</v>
      </c>
      <c r="K735" s="217" t="s">
        <v>2787</v>
      </c>
    </row>
    <row r="736" spans="1:11">
      <c r="A736" s="217">
        <v>733</v>
      </c>
      <c r="B736" s="218" t="s">
        <v>3504</v>
      </c>
      <c r="C736" s="217" t="s">
        <v>6</v>
      </c>
      <c r="D736" s="217" t="s">
        <v>35</v>
      </c>
      <c r="E736" s="209">
        <v>1362000</v>
      </c>
      <c r="F736" s="212">
        <f t="shared" si="22"/>
        <v>1321140</v>
      </c>
      <c r="G736" s="206">
        <f t="shared" si="23"/>
        <v>1280280</v>
      </c>
      <c r="H736" s="258">
        <v>395.68</v>
      </c>
      <c r="I736" s="258">
        <v>292.45999999999998</v>
      </c>
      <c r="J736" s="217">
        <v>103.23</v>
      </c>
      <c r="K736" s="217" t="s">
        <v>2792</v>
      </c>
    </row>
    <row r="737" spans="1:11">
      <c r="A737" s="217">
        <v>734</v>
      </c>
      <c r="B737" s="218" t="s">
        <v>3505</v>
      </c>
      <c r="C737" s="217" t="s">
        <v>6</v>
      </c>
      <c r="D737" s="217" t="s">
        <v>35</v>
      </c>
      <c r="E737" s="209">
        <v>1362000</v>
      </c>
      <c r="F737" s="212">
        <f t="shared" si="22"/>
        <v>1321140</v>
      </c>
      <c r="G737" s="206">
        <f t="shared" si="23"/>
        <v>1280280</v>
      </c>
      <c r="H737" s="258">
        <v>395.68</v>
      </c>
      <c r="I737" s="258">
        <v>292.45999999999998</v>
      </c>
      <c r="J737" s="217">
        <v>103.23</v>
      </c>
      <c r="K737" s="217" t="s">
        <v>2792</v>
      </c>
    </row>
    <row r="738" spans="1:11">
      <c r="A738" s="217">
        <v>735</v>
      </c>
      <c r="B738" s="218" t="s">
        <v>3506</v>
      </c>
      <c r="C738" s="217" t="s">
        <v>6</v>
      </c>
      <c r="D738" s="217" t="s">
        <v>35</v>
      </c>
      <c r="E738" s="209">
        <v>1362000</v>
      </c>
      <c r="F738" s="212">
        <f t="shared" si="22"/>
        <v>1321140</v>
      </c>
      <c r="G738" s="206">
        <f t="shared" si="23"/>
        <v>1280280</v>
      </c>
      <c r="H738" s="258">
        <v>395.68</v>
      </c>
      <c r="I738" s="258">
        <v>292.45999999999998</v>
      </c>
      <c r="J738" s="217">
        <v>103.23</v>
      </c>
      <c r="K738" s="217" t="s">
        <v>2787</v>
      </c>
    </row>
    <row r="739" spans="1:11">
      <c r="A739" s="217">
        <v>736</v>
      </c>
      <c r="B739" s="218" t="s">
        <v>3507</v>
      </c>
      <c r="C739" s="217" t="s">
        <v>6</v>
      </c>
      <c r="D739" s="217" t="s">
        <v>35</v>
      </c>
      <c r="E739" s="209">
        <v>1362000</v>
      </c>
      <c r="F739" s="212">
        <f t="shared" si="22"/>
        <v>1321140</v>
      </c>
      <c r="G739" s="206">
        <f t="shared" si="23"/>
        <v>1280280</v>
      </c>
      <c r="H739" s="258">
        <v>395.68</v>
      </c>
      <c r="I739" s="258">
        <v>292.45999999999998</v>
      </c>
      <c r="J739" s="217">
        <v>103.23</v>
      </c>
      <c r="K739" s="217" t="s">
        <v>2787</v>
      </c>
    </row>
    <row r="740" spans="1:11">
      <c r="A740" s="217">
        <v>737</v>
      </c>
      <c r="B740" s="218" t="s">
        <v>3508</v>
      </c>
      <c r="C740" s="217" t="s">
        <v>6</v>
      </c>
      <c r="D740" s="217" t="s">
        <v>35</v>
      </c>
      <c r="E740" s="209">
        <v>1361000</v>
      </c>
      <c r="F740" s="212">
        <f t="shared" si="22"/>
        <v>1320170</v>
      </c>
      <c r="G740" s="206">
        <f t="shared" si="23"/>
        <v>1279340</v>
      </c>
      <c r="H740" s="258">
        <v>386.85</v>
      </c>
      <c r="I740" s="258">
        <v>292.45999999999998</v>
      </c>
      <c r="J740" s="217">
        <v>94.4</v>
      </c>
      <c r="K740" s="217" t="s">
        <v>2792</v>
      </c>
    </row>
    <row r="741" spans="1:11">
      <c r="A741" s="217">
        <v>738</v>
      </c>
      <c r="B741" s="218" t="s">
        <v>3509</v>
      </c>
      <c r="C741" s="217" t="s">
        <v>6</v>
      </c>
      <c r="D741" s="217" t="s">
        <v>35</v>
      </c>
      <c r="E741" s="209">
        <v>1361000</v>
      </c>
      <c r="F741" s="212">
        <f t="shared" si="22"/>
        <v>1320170</v>
      </c>
      <c r="G741" s="206">
        <f t="shared" si="23"/>
        <v>1279340</v>
      </c>
      <c r="H741" s="258">
        <v>386.85</v>
      </c>
      <c r="I741" s="258">
        <v>292.45999999999998</v>
      </c>
      <c r="J741" s="217">
        <v>94.4</v>
      </c>
      <c r="K741" s="217" t="s">
        <v>2792</v>
      </c>
    </row>
    <row r="742" spans="1:11">
      <c r="A742" s="217">
        <v>739</v>
      </c>
      <c r="B742" s="218" t="s">
        <v>3510</v>
      </c>
      <c r="C742" s="217" t="s">
        <v>6</v>
      </c>
      <c r="D742" s="217" t="s">
        <v>35</v>
      </c>
      <c r="E742" s="209">
        <v>1361000</v>
      </c>
      <c r="F742" s="212">
        <f t="shared" si="22"/>
        <v>1320170</v>
      </c>
      <c r="G742" s="206">
        <f t="shared" si="23"/>
        <v>1279340</v>
      </c>
      <c r="H742" s="258">
        <v>386.85</v>
      </c>
      <c r="I742" s="258">
        <v>292.45999999999998</v>
      </c>
      <c r="J742" s="217">
        <v>94.4</v>
      </c>
      <c r="K742" s="217" t="s">
        <v>2787</v>
      </c>
    </row>
    <row r="743" spans="1:11">
      <c r="A743" s="217">
        <v>740</v>
      </c>
      <c r="B743" s="218" t="s">
        <v>3511</v>
      </c>
      <c r="C743" s="217" t="s">
        <v>6</v>
      </c>
      <c r="D743" s="217" t="s">
        <v>35</v>
      </c>
      <c r="E743" s="209">
        <v>1361000</v>
      </c>
      <c r="F743" s="212">
        <f t="shared" si="22"/>
        <v>1320170</v>
      </c>
      <c r="G743" s="206">
        <f t="shared" si="23"/>
        <v>1279340</v>
      </c>
      <c r="H743" s="258">
        <v>386.85</v>
      </c>
      <c r="I743" s="258">
        <v>292.45999999999998</v>
      </c>
      <c r="J743" s="217">
        <v>94.4</v>
      </c>
      <c r="K743" s="217" t="s">
        <v>2787</v>
      </c>
    </row>
    <row r="744" spans="1:11">
      <c r="A744" s="217">
        <v>741</v>
      </c>
      <c r="B744" s="218" t="s">
        <v>3512</v>
      </c>
      <c r="C744" s="217" t="s">
        <v>7</v>
      </c>
      <c r="D744" s="217" t="s">
        <v>35</v>
      </c>
      <c r="E744" s="209">
        <v>1364000</v>
      </c>
      <c r="F744" s="212">
        <f t="shared" si="22"/>
        <v>1323080</v>
      </c>
      <c r="G744" s="206">
        <f t="shared" si="23"/>
        <v>1282160</v>
      </c>
      <c r="H744" s="258">
        <v>361.13</v>
      </c>
      <c r="I744" s="258">
        <v>292.45999999999998</v>
      </c>
      <c r="J744" s="217">
        <v>68.67</v>
      </c>
      <c r="K744" s="217" t="s">
        <v>2792</v>
      </c>
    </row>
    <row r="745" spans="1:11">
      <c r="A745" s="217">
        <v>742</v>
      </c>
      <c r="B745" s="218" t="s">
        <v>3513</v>
      </c>
      <c r="C745" s="217" t="s">
        <v>7</v>
      </c>
      <c r="D745" s="217" t="s">
        <v>35</v>
      </c>
      <c r="E745" s="209">
        <v>1364000</v>
      </c>
      <c r="F745" s="212">
        <f t="shared" si="22"/>
        <v>1323080</v>
      </c>
      <c r="G745" s="206">
        <f t="shared" si="23"/>
        <v>1282160</v>
      </c>
      <c r="H745" s="258">
        <v>361.13</v>
      </c>
      <c r="I745" s="258">
        <v>292.45999999999998</v>
      </c>
      <c r="J745" s="217">
        <v>68.67</v>
      </c>
      <c r="K745" s="217" t="s">
        <v>2792</v>
      </c>
    </row>
    <row r="746" spans="1:11">
      <c r="A746" s="217">
        <v>743</v>
      </c>
      <c r="B746" s="218" t="s">
        <v>3514</v>
      </c>
      <c r="C746" s="217" t="s">
        <v>7</v>
      </c>
      <c r="D746" s="217" t="s">
        <v>35</v>
      </c>
      <c r="E746" s="209">
        <v>1364000</v>
      </c>
      <c r="F746" s="212">
        <f t="shared" si="22"/>
        <v>1323080</v>
      </c>
      <c r="G746" s="206">
        <f t="shared" si="23"/>
        <v>1282160</v>
      </c>
      <c r="H746" s="258">
        <v>361.13</v>
      </c>
      <c r="I746" s="258">
        <v>292.45999999999998</v>
      </c>
      <c r="J746" s="217">
        <v>68.67</v>
      </c>
      <c r="K746" s="217" t="s">
        <v>2787</v>
      </c>
    </row>
    <row r="747" spans="1:11">
      <c r="A747" s="217">
        <v>744</v>
      </c>
      <c r="B747" s="218" t="s">
        <v>3515</v>
      </c>
      <c r="C747" s="217" t="s">
        <v>7</v>
      </c>
      <c r="D747" s="217" t="s">
        <v>35</v>
      </c>
      <c r="E747" s="209">
        <v>1364000</v>
      </c>
      <c r="F747" s="212">
        <f t="shared" si="22"/>
        <v>1323080</v>
      </c>
      <c r="G747" s="206">
        <f t="shared" si="23"/>
        <v>1282160</v>
      </c>
      <c r="H747" s="258">
        <v>361.13</v>
      </c>
      <c r="I747" s="258">
        <v>292.45999999999998</v>
      </c>
      <c r="J747" s="217">
        <v>68.67</v>
      </c>
      <c r="K747" s="217" t="s">
        <v>2787</v>
      </c>
    </row>
    <row r="748" spans="1:11">
      <c r="A748" s="217">
        <v>745</v>
      </c>
      <c r="B748" s="218" t="s">
        <v>3516</v>
      </c>
      <c r="C748" s="217" t="s">
        <v>6</v>
      </c>
      <c r="D748" s="217" t="s">
        <v>35</v>
      </c>
      <c r="E748" s="209">
        <v>1358000</v>
      </c>
      <c r="F748" s="212">
        <f t="shared" si="22"/>
        <v>1317260</v>
      </c>
      <c r="G748" s="206">
        <f t="shared" si="23"/>
        <v>1276520</v>
      </c>
      <c r="H748" s="258">
        <v>375.34</v>
      </c>
      <c r="I748" s="258">
        <v>292.45999999999998</v>
      </c>
      <c r="J748" s="217">
        <v>82.88</v>
      </c>
      <c r="K748" s="217" t="s">
        <v>2787</v>
      </c>
    </row>
    <row r="749" spans="1:11">
      <c r="A749" s="217">
        <v>746</v>
      </c>
      <c r="B749" s="218" t="s">
        <v>3517</v>
      </c>
      <c r="C749" s="217" t="s">
        <v>6</v>
      </c>
      <c r="D749" s="217" t="s">
        <v>35</v>
      </c>
      <c r="E749" s="209">
        <v>1358000</v>
      </c>
      <c r="F749" s="212">
        <f t="shared" si="22"/>
        <v>1317260</v>
      </c>
      <c r="G749" s="206">
        <f t="shared" si="23"/>
        <v>1276520</v>
      </c>
      <c r="H749" s="258">
        <v>375.34</v>
      </c>
      <c r="I749" s="258">
        <v>292.45999999999998</v>
      </c>
      <c r="J749" s="217">
        <v>82.88</v>
      </c>
      <c r="K749" s="217" t="s">
        <v>2787</v>
      </c>
    </row>
    <row r="750" spans="1:11">
      <c r="A750" s="217">
        <v>747</v>
      </c>
      <c r="B750" s="218" t="s">
        <v>3518</v>
      </c>
      <c r="C750" s="217" t="s">
        <v>6</v>
      </c>
      <c r="D750" s="217" t="s">
        <v>35</v>
      </c>
      <c r="E750" s="209">
        <v>1358000</v>
      </c>
      <c r="F750" s="212">
        <f t="shared" si="22"/>
        <v>1317260</v>
      </c>
      <c r="G750" s="206">
        <f t="shared" si="23"/>
        <v>1276520</v>
      </c>
      <c r="H750" s="258">
        <v>341.11</v>
      </c>
      <c r="I750" s="258">
        <v>293.95999999999998</v>
      </c>
      <c r="J750" s="217">
        <v>47.15</v>
      </c>
      <c r="K750" s="217" t="s">
        <v>2792</v>
      </c>
    </row>
    <row r="751" spans="1:11">
      <c r="A751" s="217">
        <v>748</v>
      </c>
      <c r="B751" s="218" t="s">
        <v>3519</v>
      </c>
      <c r="C751" s="217" t="s">
        <v>6</v>
      </c>
      <c r="D751" s="217" t="s">
        <v>35</v>
      </c>
      <c r="E751" s="209">
        <v>1358000</v>
      </c>
      <c r="F751" s="212">
        <f t="shared" si="22"/>
        <v>1317260</v>
      </c>
      <c r="G751" s="206">
        <f t="shared" si="23"/>
        <v>1276520</v>
      </c>
      <c r="H751" s="258">
        <v>341.11</v>
      </c>
      <c r="I751" s="258">
        <v>293.95999999999998</v>
      </c>
      <c r="J751" s="217">
        <v>47.15</v>
      </c>
      <c r="K751" s="217" t="s">
        <v>2792</v>
      </c>
    </row>
    <row r="752" spans="1:11">
      <c r="A752" s="217">
        <v>749</v>
      </c>
      <c r="B752" s="218" t="s">
        <v>3520</v>
      </c>
      <c r="C752" s="217" t="s">
        <v>6</v>
      </c>
      <c r="D752" s="217" t="s">
        <v>35</v>
      </c>
      <c r="E752" s="209">
        <v>1358000</v>
      </c>
      <c r="F752" s="212">
        <f t="shared" si="22"/>
        <v>1317260</v>
      </c>
      <c r="G752" s="206">
        <f t="shared" si="23"/>
        <v>1276520</v>
      </c>
      <c r="H752" s="258">
        <v>341.11</v>
      </c>
      <c r="I752" s="258">
        <v>293.95999999999998</v>
      </c>
      <c r="J752" s="217">
        <v>47.15</v>
      </c>
      <c r="K752" s="217" t="s">
        <v>2787</v>
      </c>
    </row>
    <row r="753" spans="1:11">
      <c r="A753" s="217">
        <v>750</v>
      </c>
      <c r="B753" s="218" t="s">
        <v>3521</v>
      </c>
      <c r="C753" s="217" t="s">
        <v>6</v>
      </c>
      <c r="D753" s="217" t="s">
        <v>35</v>
      </c>
      <c r="E753" s="209">
        <v>1358000</v>
      </c>
      <c r="F753" s="212">
        <f t="shared" si="22"/>
        <v>1317260</v>
      </c>
      <c r="G753" s="206">
        <f t="shared" si="23"/>
        <v>1276520</v>
      </c>
      <c r="H753" s="258">
        <v>341.11</v>
      </c>
      <c r="I753" s="258">
        <v>293.95999999999998</v>
      </c>
      <c r="J753" s="217">
        <v>47.15</v>
      </c>
      <c r="K753" s="217" t="s">
        <v>2787</v>
      </c>
    </row>
    <row r="754" spans="1:11">
      <c r="A754" s="217">
        <v>751</v>
      </c>
      <c r="B754" s="218" t="s">
        <v>3522</v>
      </c>
      <c r="C754" s="217" t="s">
        <v>7</v>
      </c>
      <c r="D754" s="217" t="s">
        <v>35</v>
      </c>
      <c r="E754" s="209">
        <v>1361000</v>
      </c>
      <c r="F754" s="212">
        <f t="shared" si="22"/>
        <v>1320170</v>
      </c>
      <c r="G754" s="206">
        <f t="shared" si="23"/>
        <v>1279340</v>
      </c>
      <c r="H754" s="258">
        <v>401.82</v>
      </c>
      <c r="I754" s="258">
        <v>292.45999999999998</v>
      </c>
      <c r="J754" s="217">
        <v>109.36</v>
      </c>
      <c r="K754" s="217" t="s">
        <v>2792</v>
      </c>
    </row>
    <row r="755" spans="1:11">
      <c r="A755" s="217">
        <v>752</v>
      </c>
      <c r="B755" s="218" t="s">
        <v>3523</v>
      </c>
      <c r="C755" s="217" t="s">
        <v>7</v>
      </c>
      <c r="D755" s="217" t="s">
        <v>35</v>
      </c>
      <c r="E755" s="209">
        <v>1361000</v>
      </c>
      <c r="F755" s="212">
        <f t="shared" si="22"/>
        <v>1320170</v>
      </c>
      <c r="G755" s="206">
        <f t="shared" si="23"/>
        <v>1279340</v>
      </c>
      <c r="H755" s="258">
        <v>401.82</v>
      </c>
      <c r="I755" s="258">
        <v>292.45999999999998</v>
      </c>
      <c r="J755" s="217">
        <v>109.36</v>
      </c>
      <c r="K755" s="217" t="s">
        <v>2792</v>
      </c>
    </row>
    <row r="756" spans="1:11">
      <c r="A756" s="217">
        <v>753</v>
      </c>
      <c r="B756" s="218" t="s">
        <v>3524</v>
      </c>
      <c r="C756" s="217" t="s">
        <v>7</v>
      </c>
      <c r="D756" s="217" t="s">
        <v>35</v>
      </c>
      <c r="E756" s="209">
        <v>1361000</v>
      </c>
      <c r="F756" s="212">
        <f t="shared" si="22"/>
        <v>1320170</v>
      </c>
      <c r="G756" s="206">
        <f t="shared" si="23"/>
        <v>1279340</v>
      </c>
      <c r="H756" s="258">
        <v>401.82</v>
      </c>
      <c r="I756" s="258">
        <v>292.45999999999998</v>
      </c>
      <c r="J756" s="217">
        <v>109.36</v>
      </c>
      <c r="K756" s="217" t="s">
        <v>2787</v>
      </c>
    </row>
    <row r="757" spans="1:11">
      <c r="A757" s="217">
        <v>754</v>
      </c>
      <c r="B757" s="218" t="s">
        <v>3525</v>
      </c>
      <c r="C757" s="217" t="s">
        <v>7</v>
      </c>
      <c r="D757" s="217" t="s">
        <v>35</v>
      </c>
      <c r="E757" s="209">
        <v>1361000</v>
      </c>
      <c r="F757" s="212">
        <f t="shared" si="22"/>
        <v>1320170</v>
      </c>
      <c r="G757" s="206">
        <f t="shared" si="23"/>
        <v>1279340</v>
      </c>
      <c r="H757" s="258">
        <v>401.82</v>
      </c>
      <c r="I757" s="258">
        <v>292.45999999999998</v>
      </c>
      <c r="J757" s="217">
        <v>109.36</v>
      </c>
      <c r="K757" s="217" t="s">
        <v>2787</v>
      </c>
    </row>
    <row r="758" spans="1:11">
      <c r="A758" s="217">
        <v>755</v>
      </c>
      <c r="B758" s="218" t="s">
        <v>3526</v>
      </c>
      <c r="C758" s="217" t="s">
        <v>7</v>
      </c>
      <c r="D758" s="217" t="s">
        <v>35</v>
      </c>
      <c r="E758" s="209">
        <v>1359000</v>
      </c>
      <c r="F758" s="212">
        <f t="shared" si="22"/>
        <v>1318230</v>
      </c>
      <c r="G758" s="206">
        <f t="shared" si="23"/>
        <v>1277460</v>
      </c>
      <c r="H758" s="258">
        <v>395.68</v>
      </c>
      <c r="I758" s="258">
        <v>292.45999999999998</v>
      </c>
      <c r="J758" s="217">
        <v>103.23</v>
      </c>
      <c r="K758" s="217" t="s">
        <v>2792</v>
      </c>
    </row>
    <row r="759" spans="1:11">
      <c r="A759" s="217">
        <v>756</v>
      </c>
      <c r="B759" s="218" t="s">
        <v>3527</v>
      </c>
      <c r="C759" s="217" t="s">
        <v>7</v>
      </c>
      <c r="D759" s="217" t="s">
        <v>35</v>
      </c>
      <c r="E759" s="209">
        <v>1359000</v>
      </c>
      <c r="F759" s="212">
        <f t="shared" si="22"/>
        <v>1318230</v>
      </c>
      <c r="G759" s="206">
        <f t="shared" si="23"/>
        <v>1277460</v>
      </c>
      <c r="H759" s="258">
        <v>395.68</v>
      </c>
      <c r="I759" s="258">
        <v>292.45999999999998</v>
      </c>
      <c r="J759" s="217">
        <v>103.23</v>
      </c>
      <c r="K759" s="217" t="s">
        <v>2792</v>
      </c>
    </row>
    <row r="760" spans="1:11">
      <c r="A760" s="217">
        <v>757</v>
      </c>
      <c r="B760" s="218" t="s">
        <v>3528</v>
      </c>
      <c r="C760" s="217" t="s">
        <v>7</v>
      </c>
      <c r="D760" s="217" t="s">
        <v>35</v>
      </c>
      <c r="E760" s="209">
        <v>1359000</v>
      </c>
      <c r="F760" s="212">
        <f t="shared" si="22"/>
        <v>1318230</v>
      </c>
      <c r="G760" s="206">
        <f t="shared" si="23"/>
        <v>1277460</v>
      </c>
      <c r="H760" s="258">
        <v>395.68</v>
      </c>
      <c r="I760" s="258">
        <v>292.45999999999998</v>
      </c>
      <c r="J760" s="217">
        <v>103.23</v>
      </c>
      <c r="K760" s="217" t="s">
        <v>2787</v>
      </c>
    </row>
    <row r="761" spans="1:11">
      <c r="A761" s="217">
        <v>758</v>
      </c>
      <c r="B761" s="218" t="s">
        <v>3529</v>
      </c>
      <c r="C761" s="217" t="s">
        <v>7</v>
      </c>
      <c r="D761" s="217" t="s">
        <v>35</v>
      </c>
      <c r="E761" s="209">
        <v>1359000</v>
      </c>
      <c r="F761" s="212">
        <f t="shared" si="22"/>
        <v>1318230</v>
      </c>
      <c r="G761" s="206">
        <f t="shared" si="23"/>
        <v>1277460</v>
      </c>
      <c r="H761" s="258">
        <v>395.68</v>
      </c>
      <c r="I761" s="258">
        <v>292.45999999999998</v>
      </c>
      <c r="J761" s="217">
        <v>103.23</v>
      </c>
      <c r="K761" s="217" t="s">
        <v>2787</v>
      </c>
    </row>
    <row r="762" spans="1:11">
      <c r="A762" s="217">
        <v>759</v>
      </c>
      <c r="B762" s="218" t="s">
        <v>3530</v>
      </c>
      <c r="C762" s="217" t="s">
        <v>7</v>
      </c>
      <c r="D762" s="217" t="s">
        <v>35</v>
      </c>
      <c r="E762" s="209">
        <v>1358000</v>
      </c>
      <c r="F762" s="212">
        <f t="shared" si="22"/>
        <v>1317260</v>
      </c>
      <c r="G762" s="206">
        <f t="shared" si="23"/>
        <v>1276520</v>
      </c>
      <c r="H762" s="258">
        <v>386.85</v>
      </c>
      <c r="I762" s="258">
        <v>292.45999999999998</v>
      </c>
      <c r="J762" s="217">
        <v>94.4</v>
      </c>
      <c r="K762" s="217" t="s">
        <v>2792</v>
      </c>
    </row>
    <row r="763" spans="1:11">
      <c r="A763" s="217">
        <v>760</v>
      </c>
      <c r="B763" s="218" t="s">
        <v>3531</v>
      </c>
      <c r="C763" s="217" t="s">
        <v>7</v>
      </c>
      <c r="D763" s="217" t="s">
        <v>35</v>
      </c>
      <c r="E763" s="209">
        <v>1358000</v>
      </c>
      <c r="F763" s="212">
        <f t="shared" si="22"/>
        <v>1317260</v>
      </c>
      <c r="G763" s="206">
        <f t="shared" si="23"/>
        <v>1276520</v>
      </c>
      <c r="H763" s="258">
        <v>386.85</v>
      </c>
      <c r="I763" s="258">
        <v>292.45999999999998</v>
      </c>
      <c r="J763" s="217">
        <v>94.4</v>
      </c>
      <c r="K763" s="217" t="s">
        <v>2792</v>
      </c>
    </row>
    <row r="764" spans="1:11">
      <c r="A764" s="217">
        <v>761</v>
      </c>
      <c r="B764" s="218" t="s">
        <v>3532</v>
      </c>
      <c r="C764" s="217" t="s">
        <v>7</v>
      </c>
      <c r="D764" s="217" t="s">
        <v>35</v>
      </c>
      <c r="E764" s="209">
        <v>1358000</v>
      </c>
      <c r="F764" s="212">
        <f t="shared" si="22"/>
        <v>1317260</v>
      </c>
      <c r="G764" s="206">
        <f t="shared" si="23"/>
        <v>1276520</v>
      </c>
      <c r="H764" s="258">
        <v>386.85</v>
      </c>
      <c r="I764" s="258">
        <v>292.45999999999998</v>
      </c>
      <c r="J764" s="217">
        <v>94.4</v>
      </c>
      <c r="K764" s="217" t="s">
        <v>2787</v>
      </c>
    </row>
    <row r="765" spans="1:11">
      <c r="A765" s="217">
        <v>762</v>
      </c>
      <c r="B765" s="218" t="s">
        <v>3533</v>
      </c>
      <c r="C765" s="217" t="s">
        <v>7</v>
      </c>
      <c r="D765" s="217" t="s">
        <v>35</v>
      </c>
      <c r="E765" s="209">
        <v>1358000</v>
      </c>
      <c r="F765" s="212">
        <f t="shared" si="22"/>
        <v>1317260</v>
      </c>
      <c r="G765" s="206">
        <f t="shared" si="23"/>
        <v>1276520</v>
      </c>
      <c r="H765" s="258">
        <v>386.85</v>
      </c>
      <c r="I765" s="258">
        <v>292.45999999999998</v>
      </c>
      <c r="J765" s="217">
        <v>94.4</v>
      </c>
      <c r="K765" s="217" t="s">
        <v>2787</v>
      </c>
    </row>
    <row r="766" spans="1:11">
      <c r="A766" s="217">
        <v>763</v>
      </c>
      <c r="B766" s="218" t="s">
        <v>3534</v>
      </c>
      <c r="C766" s="217" t="s">
        <v>8</v>
      </c>
      <c r="D766" s="217" t="s">
        <v>35</v>
      </c>
      <c r="E766" s="209">
        <v>1362000</v>
      </c>
      <c r="F766" s="212">
        <f t="shared" si="22"/>
        <v>1321140</v>
      </c>
      <c r="G766" s="206">
        <f t="shared" si="23"/>
        <v>1280280</v>
      </c>
      <c r="H766" s="258">
        <v>361.13</v>
      </c>
      <c r="I766" s="258">
        <v>292.45999999999998</v>
      </c>
      <c r="J766" s="217">
        <v>68.67</v>
      </c>
      <c r="K766" s="217" t="s">
        <v>2792</v>
      </c>
    </row>
    <row r="767" spans="1:11">
      <c r="A767" s="217">
        <v>764</v>
      </c>
      <c r="B767" s="218" t="s">
        <v>3535</v>
      </c>
      <c r="C767" s="217" t="s">
        <v>8</v>
      </c>
      <c r="D767" s="217" t="s">
        <v>35</v>
      </c>
      <c r="E767" s="209">
        <v>1362000</v>
      </c>
      <c r="F767" s="212">
        <f t="shared" si="22"/>
        <v>1321140</v>
      </c>
      <c r="G767" s="206">
        <f t="shared" si="23"/>
        <v>1280280</v>
      </c>
      <c r="H767" s="258">
        <v>361.13</v>
      </c>
      <c r="I767" s="258">
        <v>292.45999999999998</v>
      </c>
      <c r="J767" s="217">
        <v>68.67</v>
      </c>
      <c r="K767" s="217" t="s">
        <v>2792</v>
      </c>
    </row>
    <row r="768" spans="1:11">
      <c r="A768" s="217">
        <v>765</v>
      </c>
      <c r="B768" s="218" t="s">
        <v>3536</v>
      </c>
      <c r="C768" s="217" t="s">
        <v>8</v>
      </c>
      <c r="D768" s="217" t="s">
        <v>35</v>
      </c>
      <c r="E768" s="209">
        <v>1362000</v>
      </c>
      <c r="F768" s="212">
        <f t="shared" si="22"/>
        <v>1321140</v>
      </c>
      <c r="G768" s="206">
        <f t="shared" si="23"/>
        <v>1280280</v>
      </c>
      <c r="H768" s="258">
        <v>361.13</v>
      </c>
      <c r="I768" s="258">
        <v>292.45999999999998</v>
      </c>
      <c r="J768" s="217">
        <v>68.67</v>
      </c>
      <c r="K768" s="217" t="s">
        <v>2787</v>
      </c>
    </row>
    <row r="769" spans="1:11">
      <c r="A769" s="217">
        <v>766</v>
      </c>
      <c r="B769" s="218" t="s">
        <v>3537</v>
      </c>
      <c r="C769" s="217" t="s">
        <v>8</v>
      </c>
      <c r="D769" s="217" t="s">
        <v>35</v>
      </c>
      <c r="E769" s="209">
        <v>1362000</v>
      </c>
      <c r="F769" s="212">
        <f t="shared" si="22"/>
        <v>1321140</v>
      </c>
      <c r="G769" s="206">
        <f t="shared" si="23"/>
        <v>1280280</v>
      </c>
      <c r="H769" s="258">
        <v>361.13</v>
      </c>
      <c r="I769" s="258">
        <v>292.45999999999998</v>
      </c>
      <c r="J769" s="217">
        <v>68.67</v>
      </c>
      <c r="K769" s="217" t="s">
        <v>2787</v>
      </c>
    </row>
    <row r="770" spans="1:11">
      <c r="A770" s="217">
        <v>767</v>
      </c>
      <c r="B770" s="218" t="s">
        <v>3538</v>
      </c>
      <c r="C770" s="217" t="s">
        <v>7</v>
      </c>
      <c r="D770" s="217" t="s">
        <v>35</v>
      </c>
      <c r="E770" s="209">
        <v>1356000</v>
      </c>
      <c r="F770" s="212">
        <f t="shared" si="22"/>
        <v>1315320</v>
      </c>
      <c r="G770" s="206">
        <f t="shared" si="23"/>
        <v>1274640</v>
      </c>
      <c r="H770" s="258">
        <v>341.11</v>
      </c>
      <c r="I770" s="258">
        <v>293.95999999999998</v>
      </c>
      <c r="J770" s="217">
        <v>47.15</v>
      </c>
      <c r="K770" s="217" t="s">
        <v>2792</v>
      </c>
    </row>
    <row r="771" spans="1:11">
      <c r="A771" s="217">
        <v>768</v>
      </c>
      <c r="B771" s="218" t="s">
        <v>3539</v>
      </c>
      <c r="C771" s="217" t="s">
        <v>7</v>
      </c>
      <c r="D771" s="217" t="s">
        <v>35</v>
      </c>
      <c r="E771" s="209">
        <v>1355000</v>
      </c>
      <c r="F771" s="212">
        <f t="shared" ref="F771:F825" si="24">E771*0.97</f>
        <v>1314350</v>
      </c>
      <c r="G771" s="206">
        <f t="shared" ref="G771:G825" si="25">E771*0.94</f>
        <v>1273700</v>
      </c>
      <c r="H771" s="258">
        <v>375.34</v>
      </c>
      <c r="I771" s="258">
        <v>292.45999999999998</v>
      </c>
      <c r="J771" s="217">
        <v>82.88</v>
      </c>
      <c r="K771" s="217" t="s">
        <v>2792</v>
      </c>
    </row>
    <row r="772" spans="1:11">
      <c r="A772" s="217">
        <v>769</v>
      </c>
      <c r="B772" s="218" t="s">
        <v>3540</v>
      </c>
      <c r="C772" s="217" t="s">
        <v>7</v>
      </c>
      <c r="D772" s="217" t="s">
        <v>35</v>
      </c>
      <c r="E772" s="209">
        <v>1355000</v>
      </c>
      <c r="F772" s="212">
        <f t="shared" si="24"/>
        <v>1314350</v>
      </c>
      <c r="G772" s="206">
        <f t="shared" si="25"/>
        <v>1273700</v>
      </c>
      <c r="H772" s="258">
        <v>375.34</v>
      </c>
      <c r="I772" s="258">
        <v>292.45999999999998</v>
      </c>
      <c r="J772" s="217">
        <v>82.88</v>
      </c>
      <c r="K772" s="217" t="s">
        <v>2792</v>
      </c>
    </row>
    <row r="773" spans="1:11">
      <c r="A773" s="217">
        <v>770</v>
      </c>
      <c r="B773" s="218" t="s">
        <v>3541</v>
      </c>
      <c r="C773" s="217" t="s">
        <v>7</v>
      </c>
      <c r="D773" s="217" t="s">
        <v>35</v>
      </c>
      <c r="E773" s="209">
        <v>1356000</v>
      </c>
      <c r="F773" s="212">
        <f t="shared" si="24"/>
        <v>1315320</v>
      </c>
      <c r="G773" s="206">
        <f t="shared" si="25"/>
        <v>1274640</v>
      </c>
      <c r="H773" s="258">
        <v>341.11</v>
      </c>
      <c r="I773" s="258">
        <v>293.95999999999998</v>
      </c>
      <c r="J773" s="217">
        <v>47.15</v>
      </c>
      <c r="K773" s="217" t="s">
        <v>2792</v>
      </c>
    </row>
    <row r="774" spans="1:11">
      <c r="A774" s="217">
        <v>771</v>
      </c>
      <c r="B774" s="218" t="s">
        <v>3542</v>
      </c>
      <c r="C774" s="217" t="s">
        <v>7</v>
      </c>
      <c r="D774" s="217" t="s">
        <v>35</v>
      </c>
      <c r="E774" s="209">
        <v>1356000</v>
      </c>
      <c r="F774" s="212">
        <f t="shared" si="24"/>
        <v>1315320</v>
      </c>
      <c r="G774" s="206">
        <f t="shared" si="25"/>
        <v>1274640</v>
      </c>
      <c r="H774" s="258">
        <v>341.11</v>
      </c>
      <c r="I774" s="258">
        <v>293.95999999999998</v>
      </c>
      <c r="J774" s="217">
        <v>47.15</v>
      </c>
      <c r="K774" s="217" t="s">
        <v>2787</v>
      </c>
    </row>
    <row r="775" spans="1:11">
      <c r="A775" s="217">
        <v>772</v>
      </c>
      <c r="B775" s="218" t="s">
        <v>3543</v>
      </c>
      <c r="C775" s="217" t="s">
        <v>7</v>
      </c>
      <c r="D775" s="217" t="s">
        <v>35</v>
      </c>
      <c r="E775" s="209">
        <v>1355000</v>
      </c>
      <c r="F775" s="212">
        <f t="shared" si="24"/>
        <v>1314350</v>
      </c>
      <c r="G775" s="206">
        <f t="shared" si="25"/>
        <v>1273700</v>
      </c>
      <c r="H775" s="258">
        <v>375.34</v>
      </c>
      <c r="I775" s="258">
        <v>292.45999999999998</v>
      </c>
      <c r="J775" s="217">
        <v>82.88</v>
      </c>
      <c r="K775" s="217" t="s">
        <v>2787</v>
      </c>
    </row>
    <row r="776" spans="1:11">
      <c r="A776" s="217">
        <v>773</v>
      </c>
      <c r="B776" s="218" t="s">
        <v>3544</v>
      </c>
      <c r="C776" s="217" t="s">
        <v>7</v>
      </c>
      <c r="D776" s="217" t="s">
        <v>35</v>
      </c>
      <c r="E776" s="209">
        <v>1355000</v>
      </c>
      <c r="F776" s="212">
        <f t="shared" si="24"/>
        <v>1314350</v>
      </c>
      <c r="G776" s="206">
        <f t="shared" si="25"/>
        <v>1273700</v>
      </c>
      <c r="H776" s="258">
        <v>375.34</v>
      </c>
      <c r="I776" s="258">
        <v>292.45999999999998</v>
      </c>
      <c r="J776" s="217">
        <v>82.88</v>
      </c>
      <c r="K776" s="217" t="s">
        <v>2787</v>
      </c>
    </row>
    <row r="777" spans="1:11">
      <c r="A777" s="217">
        <v>774</v>
      </c>
      <c r="B777" s="218" t="s">
        <v>3545</v>
      </c>
      <c r="C777" s="217" t="s">
        <v>7</v>
      </c>
      <c r="D777" s="217" t="s">
        <v>35</v>
      </c>
      <c r="E777" s="209">
        <v>1356000</v>
      </c>
      <c r="F777" s="212">
        <f t="shared" si="24"/>
        <v>1315320</v>
      </c>
      <c r="G777" s="206">
        <f t="shared" si="25"/>
        <v>1274640</v>
      </c>
      <c r="H777" s="258">
        <v>341.11</v>
      </c>
      <c r="I777" s="258">
        <v>293.95999999999998</v>
      </c>
      <c r="J777" s="217">
        <v>47.15</v>
      </c>
      <c r="K777" s="217" t="s">
        <v>2787</v>
      </c>
    </row>
    <row r="778" spans="1:11">
      <c r="A778" s="217">
        <v>775</v>
      </c>
      <c r="B778" s="218" t="s">
        <v>3546</v>
      </c>
      <c r="C778" s="217" t="s">
        <v>8</v>
      </c>
      <c r="D778" s="217" t="s">
        <v>35</v>
      </c>
      <c r="E778" s="209">
        <v>1358000</v>
      </c>
      <c r="F778" s="212">
        <f t="shared" si="24"/>
        <v>1317260</v>
      </c>
      <c r="G778" s="206">
        <f t="shared" si="25"/>
        <v>1276520</v>
      </c>
      <c r="H778" s="258">
        <v>401.82</v>
      </c>
      <c r="I778" s="258">
        <v>292.45999999999998</v>
      </c>
      <c r="J778" s="217">
        <v>109.36</v>
      </c>
      <c r="K778" s="217" t="s">
        <v>2792</v>
      </c>
    </row>
    <row r="779" spans="1:11">
      <c r="A779" s="217">
        <v>776</v>
      </c>
      <c r="B779" s="218" t="s">
        <v>3547</v>
      </c>
      <c r="C779" s="217" t="s">
        <v>8</v>
      </c>
      <c r="D779" s="217" t="s">
        <v>35</v>
      </c>
      <c r="E779" s="209">
        <v>1358000</v>
      </c>
      <c r="F779" s="212">
        <f t="shared" si="24"/>
        <v>1317260</v>
      </c>
      <c r="G779" s="206">
        <f t="shared" si="25"/>
        <v>1276520</v>
      </c>
      <c r="H779" s="258">
        <v>401.82</v>
      </c>
      <c r="I779" s="258">
        <v>292.45999999999998</v>
      </c>
      <c r="J779" s="217">
        <v>109.36</v>
      </c>
      <c r="K779" s="217" t="s">
        <v>2792</v>
      </c>
    </row>
    <row r="780" spans="1:11">
      <c r="A780" s="217">
        <v>777</v>
      </c>
      <c r="B780" s="218" t="s">
        <v>3548</v>
      </c>
      <c r="C780" s="217" t="s">
        <v>8</v>
      </c>
      <c r="D780" s="217" t="s">
        <v>35</v>
      </c>
      <c r="E780" s="209">
        <v>1358000</v>
      </c>
      <c r="F780" s="212">
        <f t="shared" si="24"/>
        <v>1317260</v>
      </c>
      <c r="G780" s="206">
        <f t="shared" si="25"/>
        <v>1276520</v>
      </c>
      <c r="H780" s="258">
        <v>401.82</v>
      </c>
      <c r="I780" s="258">
        <v>292.45999999999998</v>
      </c>
      <c r="J780" s="217">
        <v>109.36</v>
      </c>
      <c r="K780" s="217" t="s">
        <v>2787</v>
      </c>
    </row>
    <row r="781" spans="1:11">
      <c r="A781" s="217">
        <v>778</v>
      </c>
      <c r="B781" s="218" t="s">
        <v>3549</v>
      </c>
      <c r="C781" s="217" t="s">
        <v>8</v>
      </c>
      <c r="D781" s="217" t="s">
        <v>35</v>
      </c>
      <c r="E781" s="209">
        <v>1358000</v>
      </c>
      <c r="F781" s="212">
        <f t="shared" si="24"/>
        <v>1317260</v>
      </c>
      <c r="G781" s="206">
        <f t="shared" si="25"/>
        <v>1276520</v>
      </c>
      <c r="H781" s="258">
        <v>401.82</v>
      </c>
      <c r="I781" s="258">
        <v>292.45999999999998</v>
      </c>
      <c r="J781" s="217">
        <v>109.36</v>
      </c>
      <c r="K781" s="217" t="s">
        <v>2787</v>
      </c>
    </row>
    <row r="782" spans="1:11">
      <c r="A782" s="217">
        <v>779</v>
      </c>
      <c r="B782" s="218" t="s">
        <v>3550</v>
      </c>
      <c r="C782" s="217" t="s">
        <v>8</v>
      </c>
      <c r="D782" s="217" t="s">
        <v>35</v>
      </c>
      <c r="E782" s="209">
        <v>1357000</v>
      </c>
      <c r="F782" s="212">
        <f t="shared" si="24"/>
        <v>1316290</v>
      </c>
      <c r="G782" s="206">
        <f t="shared" si="25"/>
        <v>1275580</v>
      </c>
      <c r="H782" s="258">
        <v>395.68</v>
      </c>
      <c r="I782" s="258">
        <v>292.45999999999998</v>
      </c>
      <c r="J782" s="217">
        <v>103.23</v>
      </c>
      <c r="K782" s="217" t="s">
        <v>2792</v>
      </c>
    </row>
    <row r="783" spans="1:11">
      <c r="A783" s="217">
        <v>780</v>
      </c>
      <c r="B783" s="218" t="s">
        <v>3551</v>
      </c>
      <c r="C783" s="217" t="s">
        <v>8</v>
      </c>
      <c r="D783" s="217" t="s">
        <v>35</v>
      </c>
      <c r="E783" s="209">
        <v>1357000</v>
      </c>
      <c r="F783" s="212">
        <f t="shared" si="24"/>
        <v>1316290</v>
      </c>
      <c r="G783" s="206">
        <f t="shared" si="25"/>
        <v>1275580</v>
      </c>
      <c r="H783" s="258">
        <v>395.68</v>
      </c>
      <c r="I783" s="258">
        <v>292.45999999999998</v>
      </c>
      <c r="J783" s="217">
        <v>103.23</v>
      </c>
      <c r="K783" s="217" t="s">
        <v>2792</v>
      </c>
    </row>
    <row r="784" spans="1:11">
      <c r="A784" s="217">
        <v>781</v>
      </c>
      <c r="B784" s="218" t="s">
        <v>3552</v>
      </c>
      <c r="C784" s="217" t="s">
        <v>8</v>
      </c>
      <c r="D784" s="217" t="s">
        <v>35</v>
      </c>
      <c r="E784" s="209">
        <v>1357000</v>
      </c>
      <c r="F784" s="212">
        <f t="shared" si="24"/>
        <v>1316290</v>
      </c>
      <c r="G784" s="206">
        <f t="shared" si="25"/>
        <v>1275580</v>
      </c>
      <c r="H784" s="258">
        <v>395.68</v>
      </c>
      <c r="I784" s="258">
        <v>292.45999999999998</v>
      </c>
      <c r="J784" s="217">
        <v>103.23</v>
      </c>
      <c r="K784" s="217" t="s">
        <v>2787</v>
      </c>
    </row>
    <row r="785" spans="1:11">
      <c r="A785" s="217">
        <v>782</v>
      </c>
      <c r="B785" s="218" t="s">
        <v>3553</v>
      </c>
      <c r="C785" s="217" t="s">
        <v>8</v>
      </c>
      <c r="D785" s="217" t="s">
        <v>35</v>
      </c>
      <c r="E785" s="209">
        <v>1357000</v>
      </c>
      <c r="F785" s="212">
        <f t="shared" si="24"/>
        <v>1316290</v>
      </c>
      <c r="G785" s="206">
        <f t="shared" si="25"/>
        <v>1275580</v>
      </c>
      <c r="H785" s="258">
        <v>395.68</v>
      </c>
      <c r="I785" s="258">
        <v>292.45999999999998</v>
      </c>
      <c r="J785" s="217">
        <v>103.23</v>
      </c>
      <c r="K785" s="217" t="s">
        <v>2787</v>
      </c>
    </row>
    <row r="786" spans="1:11">
      <c r="A786" s="217">
        <v>783</v>
      </c>
      <c r="B786" s="218" t="s">
        <v>3554</v>
      </c>
      <c r="C786" s="217" t="s">
        <v>8</v>
      </c>
      <c r="D786" s="217" t="s">
        <v>35</v>
      </c>
      <c r="E786" s="209">
        <v>1356000</v>
      </c>
      <c r="F786" s="212">
        <f t="shared" si="24"/>
        <v>1315320</v>
      </c>
      <c r="G786" s="206">
        <f t="shared" si="25"/>
        <v>1274640</v>
      </c>
      <c r="H786" s="258">
        <v>386.85</v>
      </c>
      <c r="I786" s="258">
        <v>292.45999999999998</v>
      </c>
      <c r="J786" s="217">
        <v>94.4</v>
      </c>
      <c r="K786" s="217" t="s">
        <v>2792</v>
      </c>
    </row>
    <row r="787" spans="1:11">
      <c r="A787" s="217">
        <v>784</v>
      </c>
      <c r="B787" s="218" t="s">
        <v>3555</v>
      </c>
      <c r="C787" s="217" t="s">
        <v>8</v>
      </c>
      <c r="D787" s="217" t="s">
        <v>35</v>
      </c>
      <c r="E787" s="209">
        <v>1356000</v>
      </c>
      <c r="F787" s="212">
        <f t="shared" si="24"/>
        <v>1315320</v>
      </c>
      <c r="G787" s="206">
        <f t="shared" si="25"/>
        <v>1274640</v>
      </c>
      <c r="H787" s="258">
        <v>386.85</v>
      </c>
      <c r="I787" s="258">
        <v>292.45999999999998</v>
      </c>
      <c r="J787" s="217">
        <v>94.4</v>
      </c>
      <c r="K787" s="217" t="s">
        <v>2792</v>
      </c>
    </row>
    <row r="788" spans="1:11">
      <c r="A788" s="217">
        <v>785</v>
      </c>
      <c r="B788" s="218" t="s">
        <v>3556</v>
      </c>
      <c r="C788" s="217" t="s">
        <v>8</v>
      </c>
      <c r="D788" s="217" t="s">
        <v>35</v>
      </c>
      <c r="E788" s="209">
        <v>1356000</v>
      </c>
      <c r="F788" s="212">
        <f t="shared" si="24"/>
        <v>1315320</v>
      </c>
      <c r="G788" s="206">
        <f t="shared" si="25"/>
        <v>1274640</v>
      </c>
      <c r="H788" s="258">
        <v>386.85</v>
      </c>
      <c r="I788" s="258">
        <v>292.45999999999998</v>
      </c>
      <c r="J788" s="217">
        <v>94.4</v>
      </c>
      <c r="K788" s="217" t="s">
        <v>2787</v>
      </c>
    </row>
    <row r="789" spans="1:11">
      <c r="A789" s="217">
        <v>786</v>
      </c>
      <c r="B789" s="218" t="s">
        <v>3557</v>
      </c>
      <c r="C789" s="217" t="s">
        <v>8</v>
      </c>
      <c r="D789" s="217" t="s">
        <v>35</v>
      </c>
      <c r="E789" s="209">
        <v>1356000</v>
      </c>
      <c r="F789" s="212">
        <f t="shared" si="24"/>
        <v>1315320</v>
      </c>
      <c r="G789" s="206">
        <f t="shared" si="25"/>
        <v>1274640</v>
      </c>
      <c r="H789" s="258">
        <v>386.85</v>
      </c>
      <c r="I789" s="258">
        <v>292.45999999999998</v>
      </c>
      <c r="J789" s="217">
        <v>94.4</v>
      </c>
      <c r="K789" s="217" t="s">
        <v>2787</v>
      </c>
    </row>
    <row r="790" spans="1:11">
      <c r="A790" s="217">
        <v>787</v>
      </c>
      <c r="B790" s="218" t="s">
        <v>3558</v>
      </c>
      <c r="C790" s="217" t="s">
        <v>9</v>
      </c>
      <c r="D790" s="217" t="s">
        <v>35</v>
      </c>
      <c r="E790" s="209">
        <v>1359000</v>
      </c>
      <c r="F790" s="212">
        <f t="shared" si="24"/>
        <v>1318230</v>
      </c>
      <c r="G790" s="206">
        <f t="shared" si="25"/>
        <v>1277460</v>
      </c>
      <c r="H790" s="258">
        <v>361.13</v>
      </c>
      <c r="I790" s="258">
        <v>292.45999999999998</v>
      </c>
      <c r="J790" s="217">
        <v>68.67</v>
      </c>
      <c r="K790" s="217" t="s">
        <v>2792</v>
      </c>
    </row>
    <row r="791" spans="1:11">
      <c r="A791" s="217">
        <v>788</v>
      </c>
      <c r="B791" s="218" t="s">
        <v>3559</v>
      </c>
      <c r="C791" s="217" t="s">
        <v>9</v>
      </c>
      <c r="D791" s="217" t="s">
        <v>35</v>
      </c>
      <c r="E791" s="209">
        <v>1359000</v>
      </c>
      <c r="F791" s="212">
        <f t="shared" si="24"/>
        <v>1318230</v>
      </c>
      <c r="G791" s="206">
        <f t="shared" si="25"/>
        <v>1277460</v>
      </c>
      <c r="H791" s="258">
        <v>361.13</v>
      </c>
      <c r="I791" s="258">
        <v>292.45999999999998</v>
      </c>
      <c r="J791" s="217">
        <v>68.67</v>
      </c>
      <c r="K791" s="217" t="s">
        <v>2792</v>
      </c>
    </row>
    <row r="792" spans="1:11">
      <c r="A792" s="217">
        <v>789</v>
      </c>
      <c r="B792" s="218" t="s">
        <v>3560</v>
      </c>
      <c r="C792" s="217" t="s">
        <v>9</v>
      </c>
      <c r="D792" s="217" t="s">
        <v>35</v>
      </c>
      <c r="E792" s="209">
        <v>1359000</v>
      </c>
      <c r="F792" s="212">
        <f t="shared" si="24"/>
        <v>1318230</v>
      </c>
      <c r="G792" s="206">
        <f t="shared" si="25"/>
        <v>1277460</v>
      </c>
      <c r="H792" s="258">
        <v>361.13</v>
      </c>
      <c r="I792" s="258">
        <v>292.45999999999998</v>
      </c>
      <c r="J792" s="217">
        <v>68.67</v>
      </c>
      <c r="K792" s="217" t="s">
        <v>2787</v>
      </c>
    </row>
    <row r="793" spans="1:11">
      <c r="A793" s="217">
        <v>790</v>
      </c>
      <c r="B793" s="218" t="s">
        <v>3561</v>
      </c>
      <c r="C793" s="217" t="s">
        <v>9</v>
      </c>
      <c r="D793" s="217" t="s">
        <v>35</v>
      </c>
      <c r="E793" s="209">
        <v>1359000</v>
      </c>
      <c r="F793" s="212">
        <f t="shared" si="24"/>
        <v>1318230</v>
      </c>
      <c r="G793" s="206">
        <f t="shared" si="25"/>
        <v>1277460</v>
      </c>
      <c r="H793" s="258">
        <v>361.13</v>
      </c>
      <c r="I793" s="258">
        <v>292.45999999999998</v>
      </c>
      <c r="J793" s="217">
        <v>68.67</v>
      </c>
      <c r="K793" s="217" t="s">
        <v>2787</v>
      </c>
    </row>
    <row r="794" spans="1:11">
      <c r="A794" s="217">
        <v>791</v>
      </c>
      <c r="B794" s="218" t="s">
        <v>3562</v>
      </c>
      <c r="C794" s="217" t="s">
        <v>8</v>
      </c>
      <c r="D794" s="217" t="s">
        <v>35</v>
      </c>
      <c r="E794" s="209">
        <v>1353000</v>
      </c>
      <c r="F794" s="212">
        <f t="shared" si="24"/>
        <v>1312410</v>
      </c>
      <c r="G794" s="206">
        <f t="shared" si="25"/>
        <v>1271820</v>
      </c>
      <c r="H794" s="258">
        <v>341.11</v>
      </c>
      <c r="I794" s="258">
        <v>293.95999999999998</v>
      </c>
      <c r="J794" s="217">
        <v>47.15</v>
      </c>
      <c r="K794" s="217" t="s">
        <v>2792</v>
      </c>
    </row>
    <row r="795" spans="1:11">
      <c r="A795" s="217">
        <v>792</v>
      </c>
      <c r="B795" s="218" t="s">
        <v>3563</v>
      </c>
      <c r="C795" s="217" t="s">
        <v>8</v>
      </c>
      <c r="D795" s="217" t="s">
        <v>35</v>
      </c>
      <c r="E795" s="209">
        <v>1353000</v>
      </c>
      <c r="F795" s="212">
        <f t="shared" si="24"/>
        <v>1312410</v>
      </c>
      <c r="G795" s="206">
        <f t="shared" si="25"/>
        <v>1271820</v>
      </c>
      <c r="H795" s="258">
        <v>375.34</v>
      </c>
      <c r="I795" s="258">
        <v>292.45999999999998</v>
      </c>
      <c r="J795" s="217">
        <v>82.88</v>
      </c>
      <c r="K795" s="217" t="s">
        <v>2792</v>
      </c>
    </row>
    <row r="796" spans="1:11">
      <c r="A796" s="217">
        <v>793</v>
      </c>
      <c r="B796" s="218" t="s">
        <v>3564</v>
      </c>
      <c r="C796" s="217" t="s">
        <v>8</v>
      </c>
      <c r="D796" s="217" t="s">
        <v>35</v>
      </c>
      <c r="E796" s="209">
        <v>1353000</v>
      </c>
      <c r="F796" s="212">
        <f t="shared" si="24"/>
        <v>1312410</v>
      </c>
      <c r="G796" s="206">
        <f t="shared" si="25"/>
        <v>1271820</v>
      </c>
      <c r="H796" s="258">
        <v>375.34</v>
      </c>
      <c r="I796" s="258">
        <v>292.45999999999998</v>
      </c>
      <c r="J796" s="217">
        <v>82.88</v>
      </c>
      <c r="K796" s="217" t="s">
        <v>2792</v>
      </c>
    </row>
    <row r="797" spans="1:11">
      <c r="A797" s="217">
        <v>794</v>
      </c>
      <c r="B797" s="218" t="s">
        <v>3565</v>
      </c>
      <c r="C797" s="217" t="s">
        <v>8</v>
      </c>
      <c r="D797" s="217" t="s">
        <v>35</v>
      </c>
      <c r="E797" s="209">
        <v>1353000</v>
      </c>
      <c r="F797" s="212">
        <f t="shared" si="24"/>
        <v>1312410</v>
      </c>
      <c r="G797" s="206">
        <f t="shared" si="25"/>
        <v>1271820</v>
      </c>
      <c r="H797" s="258">
        <v>341.11</v>
      </c>
      <c r="I797" s="258">
        <v>293.95999999999998</v>
      </c>
      <c r="J797" s="217">
        <v>47.15</v>
      </c>
      <c r="K797" s="217" t="s">
        <v>2792</v>
      </c>
    </row>
    <row r="798" spans="1:11">
      <c r="A798" s="217">
        <v>795</v>
      </c>
      <c r="B798" s="218" t="s">
        <v>3566</v>
      </c>
      <c r="C798" s="217" t="s">
        <v>8</v>
      </c>
      <c r="D798" s="217" t="s">
        <v>35</v>
      </c>
      <c r="E798" s="209">
        <v>1353000</v>
      </c>
      <c r="F798" s="212">
        <f t="shared" si="24"/>
        <v>1312410</v>
      </c>
      <c r="G798" s="206">
        <f t="shared" si="25"/>
        <v>1271820</v>
      </c>
      <c r="H798" s="258">
        <v>341.11</v>
      </c>
      <c r="I798" s="258">
        <v>293.95999999999998</v>
      </c>
      <c r="J798" s="217">
        <v>47.15</v>
      </c>
      <c r="K798" s="217" t="s">
        <v>2787</v>
      </c>
    </row>
    <row r="799" spans="1:11">
      <c r="A799" s="217">
        <v>796</v>
      </c>
      <c r="B799" s="218" t="s">
        <v>3567</v>
      </c>
      <c r="C799" s="217" t="s">
        <v>8</v>
      </c>
      <c r="D799" s="217" t="s">
        <v>35</v>
      </c>
      <c r="E799" s="209">
        <v>1353000</v>
      </c>
      <c r="F799" s="212">
        <f t="shared" si="24"/>
        <v>1312410</v>
      </c>
      <c r="G799" s="206">
        <f t="shared" si="25"/>
        <v>1271820</v>
      </c>
      <c r="H799" s="258">
        <v>375.34</v>
      </c>
      <c r="I799" s="258">
        <v>292.45999999999998</v>
      </c>
      <c r="J799" s="217">
        <v>82.88</v>
      </c>
      <c r="K799" s="217" t="s">
        <v>2787</v>
      </c>
    </row>
    <row r="800" spans="1:11">
      <c r="A800" s="217">
        <v>797</v>
      </c>
      <c r="B800" s="218" t="s">
        <v>3568</v>
      </c>
      <c r="C800" s="217" t="s">
        <v>8</v>
      </c>
      <c r="D800" s="217" t="s">
        <v>35</v>
      </c>
      <c r="E800" s="209">
        <v>1353000</v>
      </c>
      <c r="F800" s="212">
        <f t="shared" si="24"/>
        <v>1312410</v>
      </c>
      <c r="G800" s="206">
        <f t="shared" si="25"/>
        <v>1271820</v>
      </c>
      <c r="H800" s="258">
        <v>375.34</v>
      </c>
      <c r="I800" s="258">
        <v>292.45999999999998</v>
      </c>
      <c r="J800" s="217">
        <v>82.88</v>
      </c>
      <c r="K800" s="217" t="s">
        <v>2787</v>
      </c>
    </row>
    <row r="801" spans="1:11">
      <c r="A801" s="217">
        <v>798</v>
      </c>
      <c r="B801" s="218" t="s">
        <v>3569</v>
      </c>
      <c r="C801" s="217" t="s">
        <v>8</v>
      </c>
      <c r="D801" s="217" t="s">
        <v>35</v>
      </c>
      <c r="E801" s="209">
        <v>1353000</v>
      </c>
      <c r="F801" s="212">
        <f t="shared" si="24"/>
        <v>1312410</v>
      </c>
      <c r="G801" s="206">
        <f t="shared" si="25"/>
        <v>1271820</v>
      </c>
      <c r="H801" s="258">
        <v>341.11</v>
      </c>
      <c r="I801" s="258">
        <v>293.95999999999998</v>
      </c>
      <c r="J801" s="217">
        <v>47.15</v>
      </c>
      <c r="K801" s="217" t="s">
        <v>2787</v>
      </c>
    </row>
    <row r="802" spans="1:11">
      <c r="A802" s="217">
        <v>799</v>
      </c>
      <c r="B802" s="218" t="s">
        <v>3570</v>
      </c>
      <c r="C802" s="217" t="s">
        <v>9</v>
      </c>
      <c r="D802" s="217" t="s">
        <v>35</v>
      </c>
      <c r="E802" s="209">
        <v>1356000</v>
      </c>
      <c r="F802" s="212">
        <f t="shared" si="24"/>
        <v>1315320</v>
      </c>
      <c r="G802" s="206">
        <f t="shared" si="25"/>
        <v>1274640</v>
      </c>
      <c r="H802" s="258">
        <v>401.82</v>
      </c>
      <c r="I802" s="258">
        <v>292.45999999999998</v>
      </c>
      <c r="J802" s="217">
        <v>109.36</v>
      </c>
      <c r="K802" s="217" t="s">
        <v>2792</v>
      </c>
    </row>
    <row r="803" spans="1:11">
      <c r="A803" s="217">
        <v>800</v>
      </c>
      <c r="B803" s="218" t="s">
        <v>3571</v>
      </c>
      <c r="C803" s="217" t="s">
        <v>9</v>
      </c>
      <c r="D803" s="217" t="s">
        <v>35</v>
      </c>
      <c r="E803" s="209">
        <v>1356000</v>
      </c>
      <c r="F803" s="212">
        <f t="shared" si="24"/>
        <v>1315320</v>
      </c>
      <c r="G803" s="206">
        <f t="shared" si="25"/>
        <v>1274640</v>
      </c>
      <c r="H803" s="258">
        <v>401.82</v>
      </c>
      <c r="I803" s="258">
        <v>292.45999999999998</v>
      </c>
      <c r="J803" s="217">
        <v>109.36</v>
      </c>
      <c r="K803" s="217" t="s">
        <v>2792</v>
      </c>
    </row>
    <row r="804" spans="1:11">
      <c r="A804" s="217">
        <v>801</v>
      </c>
      <c r="B804" s="218" t="s">
        <v>3572</v>
      </c>
      <c r="C804" s="217" t="s">
        <v>9</v>
      </c>
      <c r="D804" s="217" t="s">
        <v>35</v>
      </c>
      <c r="E804" s="209">
        <v>1356000</v>
      </c>
      <c r="F804" s="212">
        <f t="shared" si="24"/>
        <v>1315320</v>
      </c>
      <c r="G804" s="206">
        <f t="shared" si="25"/>
        <v>1274640</v>
      </c>
      <c r="H804" s="258">
        <v>401.82</v>
      </c>
      <c r="I804" s="258">
        <v>292.45999999999998</v>
      </c>
      <c r="J804" s="217">
        <v>109.36</v>
      </c>
      <c r="K804" s="217" t="s">
        <v>2787</v>
      </c>
    </row>
    <row r="805" spans="1:11">
      <c r="A805" s="217">
        <v>802</v>
      </c>
      <c r="B805" s="218" t="s">
        <v>3573</v>
      </c>
      <c r="C805" s="217" t="s">
        <v>9</v>
      </c>
      <c r="D805" s="217" t="s">
        <v>35</v>
      </c>
      <c r="E805" s="209">
        <v>1356000</v>
      </c>
      <c r="F805" s="212">
        <f t="shared" si="24"/>
        <v>1315320</v>
      </c>
      <c r="G805" s="206">
        <f t="shared" si="25"/>
        <v>1274640</v>
      </c>
      <c r="H805" s="258">
        <v>401.82</v>
      </c>
      <c r="I805" s="258">
        <v>292.45999999999998</v>
      </c>
      <c r="J805" s="217">
        <v>109.36</v>
      </c>
      <c r="K805" s="217" t="s">
        <v>2787</v>
      </c>
    </row>
    <row r="806" spans="1:11">
      <c r="A806" s="217">
        <v>803</v>
      </c>
      <c r="B806" s="218" t="s">
        <v>3574</v>
      </c>
      <c r="C806" s="217" t="s">
        <v>9</v>
      </c>
      <c r="D806" s="217" t="s">
        <v>35</v>
      </c>
      <c r="E806" s="209">
        <v>1354000</v>
      </c>
      <c r="F806" s="212">
        <f t="shared" si="24"/>
        <v>1313380</v>
      </c>
      <c r="G806" s="206">
        <f t="shared" si="25"/>
        <v>1272760</v>
      </c>
      <c r="H806" s="258">
        <v>395.68</v>
      </c>
      <c r="I806" s="258">
        <v>292.45999999999998</v>
      </c>
      <c r="J806" s="217">
        <v>103.23</v>
      </c>
      <c r="K806" s="217" t="s">
        <v>2792</v>
      </c>
    </row>
    <row r="807" spans="1:11">
      <c r="A807" s="217">
        <v>804</v>
      </c>
      <c r="B807" s="218" t="s">
        <v>3575</v>
      </c>
      <c r="C807" s="217" t="s">
        <v>9</v>
      </c>
      <c r="D807" s="217" t="s">
        <v>35</v>
      </c>
      <c r="E807" s="209">
        <v>1354000</v>
      </c>
      <c r="F807" s="212">
        <f t="shared" si="24"/>
        <v>1313380</v>
      </c>
      <c r="G807" s="206">
        <f t="shared" si="25"/>
        <v>1272760</v>
      </c>
      <c r="H807" s="258">
        <v>395.68</v>
      </c>
      <c r="I807" s="258">
        <v>292.45999999999998</v>
      </c>
      <c r="J807" s="217">
        <v>103.23</v>
      </c>
      <c r="K807" s="217" t="s">
        <v>2792</v>
      </c>
    </row>
    <row r="808" spans="1:11">
      <c r="A808" s="217">
        <v>805</v>
      </c>
      <c r="B808" s="218" t="s">
        <v>3576</v>
      </c>
      <c r="C808" s="217" t="s">
        <v>9</v>
      </c>
      <c r="D808" s="217" t="s">
        <v>35</v>
      </c>
      <c r="E808" s="209">
        <v>1354000</v>
      </c>
      <c r="F808" s="212">
        <f t="shared" si="24"/>
        <v>1313380</v>
      </c>
      <c r="G808" s="206">
        <f t="shared" si="25"/>
        <v>1272760</v>
      </c>
      <c r="H808" s="258">
        <v>395.68</v>
      </c>
      <c r="I808" s="258">
        <v>292.45999999999998</v>
      </c>
      <c r="J808" s="217">
        <v>103.23</v>
      </c>
      <c r="K808" s="217" t="s">
        <v>2787</v>
      </c>
    </row>
    <row r="809" spans="1:11">
      <c r="A809" s="217">
        <v>806</v>
      </c>
      <c r="B809" s="218" t="s">
        <v>3577</v>
      </c>
      <c r="C809" s="217" t="s">
        <v>9</v>
      </c>
      <c r="D809" s="217" t="s">
        <v>35</v>
      </c>
      <c r="E809" s="209">
        <v>1354000</v>
      </c>
      <c r="F809" s="212">
        <f t="shared" si="24"/>
        <v>1313380</v>
      </c>
      <c r="G809" s="206">
        <f t="shared" si="25"/>
        <v>1272760</v>
      </c>
      <c r="H809" s="258">
        <v>395.68</v>
      </c>
      <c r="I809" s="258">
        <v>292.45999999999998</v>
      </c>
      <c r="J809" s="217">
        <v>103.23</v>
      </c>
      <c r="K809" s="217" t="s">
        <v>2787</v>
      </c>
    </row>
    <row r="810" spans="1:11">
      <c r="A810" s="217">
        <v>807</v>
      </c>
      <c r="B810" s="218" t="s">
        <v>3578</v>
      </c>
      <c r="C810" s="217" t="s">
        <v>9</v>
      </c>
      <c r="D810" s="217" t="s">
        <v>35</v>
      </c>
      <c r="E810" s="209">
        <v>1353000</v>
      </c>
      <c r="F810" s="212">
        <f t="shared" si="24"/>
        <v>1312410</v>
      </c>
      <c r="G810" s="206">
        <f t="shared" si="25"/>
        <v>1271820</v>
      </c>
      <c r="H810" s="258">
        <v>386.85</v>
      </c>
      <c r="I810" s="258">
        <v>292.45999999999998</v>
      </c>
      <c r="J810" s="217">
        <v>94.4</v>
      </c>
      <c r="K810" s="217" t="s">
        <v>2792</v>
      </c>
    </row>
    <row r="811" spans="1:11">
      <c r="A811" s="217">
        <v>808</v>
      </c>
      <c r="B811" s="218" t="s">
        <v>3579</v>
      </c>
      <c r="C811" s="217" t="s">
        <v>9</v>
      </c>
      <c r="D811" s="217" t="s">
        <v>35</v>
      </c>
      <c r="E811" s="209">
        <v>1353000</v>
      </c>
      <c r="F811" s="212">
        <f t="shared" si="24"/>
        <v>1312410</v>
      </c>
      <c r="G811" s="206">
        <f t="shared" si="25"/>
        <v>1271820</v>
      </c>
      <c r="H811" s="258">
        <v>386.85</v>
      </c>
      <c r="I811" s="258">
        <v>292.45999999999998</v>
      </c>
      <c r="J811" s="217">
        <v>94.4</v>
      </c>
      <c r="K811" s="217" t="s">
        <v>2792</v>
      </c>
    </row>
    <row r="812" spans="1:11">
      <c r="A812" s="217">
        <v>809</v>
      </c>
      <c r="B812" s="218" t="s">
        <v>3580</v>
      </c>
      <c r="C812" s="217" t="s">
        <v>9</v>
      </c>
      <c r="D812" s="217" t="s">
        <v>35</v>
      </c>
      <c r="E812" s="209">
        <v>1353000</v>
      </c>
      <c r="F812" s="212">
        <f t="shared" si="24"/>
        <v>1312410</v>
      </c>
      <c r="G812" s="206">
        <f t="shared" si="25"/>
        <v>1271820</v>
      </c>
      <c r="H812" s="258">
        <v>386.85</v>
      </c>
      <c r="I812" s="258">
        <v>292.45999999999998</v>
      </c>
      <c r="J812" s="217">
        <v>94.4</v>
      </c>
      <c r="K812" s="217" t="s">
        <v>2787</v>
      </c>
    </row>
    <row r="813" spans="1:11">
      <c r="A813" s="217">
        <v>810</v>
      </c>
      <c r="B813" s="218" t="s">
        <v>3581</v>
      </c>
      <c r="C813" s="217" t="s">
        <v>9</v>
      </c>
      <c r="D813" s="217" t="s">
        <v>35</v>
      </c>
      <c r="E813" s="209">
        <v>1353000</v>
      </c>
      <c r="F813" s="212">
        <f t="shared" si="24"/>
        <v>1312410</v>
      </c>
      <c r="G813" s="206">
        <f t="shared" si="25"/>
        <v>1271820</v>
      </c>
      <c r="H813" s="258">
        <v>386.85</v>
      </c>
      <c r="I813" s="258">
        <v>292.45999999999998</v>
      </c>
      <c r="J813" s="217">
        <v>94.4</v>
      </c>
      <c r="K813" s="217" t="s">
        <v>2787</v>
      </c>
    </row>
    <row r="814" spans="1:11">
      <c r="A814" s="217">
        <v>811</v>
      </c>
      <c r="B814" s="218" t="s">
        <v>3582</v>
      </c>
      <c r="C814" s="217" t="s">
        <v>10</v>
      </c>
      <c r="D814" s="217" t="s">
        <v>35</v>
      </c>
      <c r="E814" s="209">
        <v>1356000</v>
      </c>
      <c r="F814" s="212">
        <f t="shared" si="24"/>
        <v>1315320</v>
      </c>
      <c r="G814" s="206">
        <f t="shared" si="25"/>
        <v>1274640</v>
      </c>
      <c r="H814" s="258">
        <v>361.13</v>
      </c>
      <c r="I814" s="258">
        <v>292.45999999999998</v>
      </c>
      <c r="J814" s="217">
        <v>68.67</v>
      </c>
      <c r="K814" s="217" t="s">
        <v>2792</v>
      </c>
    </row>
    <row r="815" spans="1:11">
      <c r="A815" s="217">
        <v>812</v>
      </c>
      <c r="B815" s="218" t="s">
        <v>3583</v>
      </c>
      <c r="C815" s="217" t="s">
        <v>10</v>
      </c>
      <c r="D815" s="217" t="s">
        <v>35</v>
      </c>
      <c r="E815" s="209">
        <v>1356000</v>
      </c>
      <c r="F815" s="212">
        <f t="shared" si="24"/>
        <v>1315320</v>
      </c>
      <c r="G815" s="206">
        <f t="shared" si="25"/>
        <v>1274640</v>
      </c>
      <c r="H815" s="258">
        <v>361.13</v>
      </c>
      <c r="I815" s="258">
        <v>292.45999999999998</v>
      </c>
      <c r="J815" s="217">
        <v>68.67</v>
      </c>
      <c r="K815" s="217" t="s">
        <v>2792</v>
      </c>
    </row>
    <row r="816" spans="1:11">
      <c r="A816" s="217">
        <v>813</v>
      </c>
      <c r="B816" s="218" t="s">
        <v>3584</v>
      </c>
      <c r="C816" s="217" t="s">
        <v>10</v>
      </c>
      <c r="D816" s="217" t="s">
        <v>35</v>
      </c>
      <c r="E816" s="209">
        <v>1356000</v>
      </c>
      <c r="F816" s="212">
        <f t="shared" si="24"/>
        <v>1315320</v>
      </c>
      <c r="G816" s="206">
        <f t="shared" si="25"/>
        <v>1274640</v>
      </c>
      <c r="H816" s="258">
        <v>361.13</v>
      </c>
      <c r="I816" s="258">
        <v>292.45999999999998</v>
      </c>
      <c r="J816" s="217">
        <v>68.67</v>
      </c>
      <c r="K816" s="217" t="s">
        <v>2787</v>
      </c>
    </row>
    <row r="817" spans="1:11">
      <c r="A817" s="217">
        <v>814</v>
      </c>
      <c r="B817" s="218" t="s">
        <v>3585</v>
      </c>
      <c r="C817" s="217" t="s">
        <v>10</v>
      </c>
      <c r="D817" s="217" t="s">
        <v>35</v>
      </c>
      <c r="E817" s="209">
        <v>1356000</v>
      </c>
      <c r="F817" s="212">
        <f t="shared" si="24"/>
        <v>1315320</v>
      </c>
      <c r="G817" s="206">
        <f t="shared" si="25"/>
        <v>1274640</v>
      </c>
      <c r="H817" s="258">
        <v>361.13</v>
      </c>
      <c r="I817" s="258">
        <v>292.45999999999998</v>
      </c>
      <c r="J817" s="217">
        <v>68.67</v>
      </c>
      <c r="K817" s="217" t="s">
        <v>2787</v>
      </c>
    </row>
    <row r="818" spans="1:11">
      <c r="A818" s="217">
        <v>815</v>
      </c>
      <c r="B818" s="218" t="s">
        <v>3586</v>
      </c>
      <c r="C818" s="217" t="s">
        <v>9</v>
      </c>
      <c r="D818" s="217" t="s">
        <v>35</v>
      </c>
      <c r="E818" s="209">
        <v>1351000</v>
      </c>
      <c r="F818" s="212">
        <f t="shared" si="24"/>
        <v>1310470</v>
      </c>
      <c r="G818" s="206">
        <f t="shared" si="25"/>
        <v>1269940</v>
      </c>
      <c r="H818" s="258">
        <v>341.11</v>
      </c>
      <c r="I818" s="258">
        <v>293.95999999999998</v>
      </c>
      <c r="J818" s="217">
        <v>47.15</v>
      </c>
      <c r="K818" s="217" t="s">
        <v>2792</v>
      </c>
    </row>
    <row r="819" spans="1:11">
      <c r="A819" s="217">
        <v>816</v>
      </c>
      <c r="B819" s="218" t="s">
        <v>3587</v>
      </c>
      <c r="C819" s="217" t="s">
        <v>9</v>
      </c>
      <c r="D819" s="217" t="s">
        <v>35</v>
      </c>
      <c r="E819" s="209">
        <v>1350000</v>
      </c>
      <c r="F819" s="212">
        <f t="shared" si="24"/>
        <v>1309500</v>
      </c>
      <c r="G819" s="206">
        <f t="shared" si="25"/>
        <v>1269000</v>
      </c>
      <c r="H819" s="258">
        <v>375.34</v>
      </c>
      <c r="I819" s="258">
        <v>292.45999999999998</v>
      </c>
      <c r="J819" s="217">
        <v>82.88</v>
      </c>
      <c r="K819" s="217" t="s">
        <v>2792</v>
      </c>
    </row>
    <row r="820" spans="1:11">
      <c r="A820" s="217">
        <v>817</v>
      </c>
      <c r="B820" s="218" t="s">
        <v>3588</v>
      </c>
      <c r="C820" s="217" t="s">
        <v>9</v>
      </c>
      <c r="D820" s="217" t="s">
        <v>35</v>
      </c>
      <c r="E820" s="209">
        <v>1351000</v>
      </c>
      <c r="F820" s="212">
        <f t="shared" si="24"/>
        <v>1310470</v>
      </c>
      <c r="G820" s="206">
        <f t="shared" si="25"/>
        <v>1269940</v>
      </c>
      <c r="H820" s="258">
        <v>341.11</v>
      </c>
      <c r="I820" s="258">
        <v>293.95999999999998</v>
      </c>
      <c r="J820" s="217">
        <v>47.15</v>
      </c>
      <c r="K820" s="217" t="s">
        <v>2792</v>
      </c>
    </row>
    <row r="821" spans="1:11">
      <c r="A821" s="217">
        <v>818</v>
      </c>
      <c r="B821" s="218" t="s">
        <v>3589</v>
      </c>
      <c r="C821" s="217" t="s">
        <v>9</v>
      </c>
      <c r="D821" s="217" t="s">
        <v>35</v>
      </c>
      <c r="E821" s="209">
        <v>1351000</v>
      </c>
      <c r="F821" s="212">
        <f t="shared" si="24"/>
        <v>1310470</v>
      </c>
      <c r="G821" s="206">
        <f t="shared" si="25"/>
        <v>1269940</v>
      </c>
      <c r="H821" s="258">
        <v>341.11</v>
      </c>
      <c r="I821" s="258">
        <v>293.95999999999998</v>
      </c>
      <c r="J821" s="217">
        <v>47.15</v>
      </c>
      <c r="K821" s="217" t="s">
        <v>2787</v>
      </c>
    </row>
    <row r="822" spans="1:11">
      <c r="A822" s="217">
        <v>819</v>
      </c>
      <c r="B822" s="218" t="s">
        <v>3590</v>
      </c>
      <c r="C822" s="217" t="s">
        <v>9</v>
      </c>
      <c r="D822" s="217" t="s">
        <v>35</v>
      </c>
      <c r="E822" s="209">
        <v>1351000</v>
      </c>
      <c r="F822" s="212">
        <f t="shared" si="24"/>
        <v>1310470</v>
      </c>
      <c r="G822" s="206">
        <f t="shared" si="25"/>
        <v>1269940</v>
      </c>
      <c r="H822" s="258">
        <v>341.11</v>
      </c>
      <c r="I822" s="258">
        <v>293.95999999999998</v>
      </c>
      <c r="J822" s="217">
        <v>47.15</v>
      </c>
      <c r="K822" s="217" t="s">
        <v>2787</v>
      </c>
    </row>
    <row r="823" spans="1:11">
      <c r="A823" s="217">
        <v>820</v>
      </c>
      <c r="B823" s="218" t="s">
        <v>3591</v>
      </c>
      <c r="C823" s="217" t="s">
        <v>10</v>
      </c>
      <c r="D823" s="217" t="s">
        <v>35</v>
      </c>
      <c r="E823" s="209">
        <v>1353000</v>
      </c>
      <c r="F823" s="212">
        <f t="shared" si="24"/>
        <v>1312410</v>
      </c>
      <c r="G823" s="206">
        <f t="shared" si="25"/>
        <v>1271820</v>
      </c>
      <c r="H823" s="258">
        <v>401.82</v>
      </c>
      <c r="I823" s="258">
        <v>292.45999999999998</v>
      </c>
      <c r="J823" s="217">
        <v>109.36</v>
      </c>
      <c r="K823" s="217" t="s">
        <v>2792</v>
      </c>
    </row>
    <row r="824" spans="1:11">
      <c r="A824" s="217">
        <v>821</v>
      </c>
      <c r="B824" s="218" t="s">
        <v>3592</v>
      </c>
      <c r="C824" s="217" t="s">
        <v>10</v>
      </c>
      <c r="D824" s="217" t="s">
        <v>35</v>
      </c>
      <c r="E824" s="209">
        <v>1353000</v>
      </c>
      <c r="F824" s="212">
        <f t="shared" si="24"/>
        <v>1312410</v>
      </c>
      <c r="G824" s="206">
        <f t="shared" si="25"/>
        <v>1271820</v>
      </c>
      <c r="H824" s="258">
        <v>401.82</v>
      </c>
      <c r="I824" s="258">
        <v>292.45999999999998</v>
      </c>
      <c r="J824" s="217">
        <v>109.36</v>
      </c>
      <c r="K824" s="217" t="s">
        <v>2792</v>
      </c>
    </row>
    <row r="825" spans="1:11">
      <c r="A825" s="217">
        <v>822</v>
      </c>
      <c r="B825" s="218" t="s">
        <v>3593</v>
      </c>
      <c r="C825" s="217" t="s">
        <v>10</v>
      </c>
      <c r="D825" s="217" t="s">
        <v>35</v>
      </c>
      <c r="E825" s="209">
        <v>1353000</v>
      </c>
      <c r="F825" s="212">
        <f t="shared" si="24"/>
        <v>1312410</v>
      </c>
      <c r="G825" s="206">
        <f t="shared" si="25"/>
        <v>1271820</v>
      </c>
      <c r="H825" s="258">
        <v>401.82</v>
      </c>
      <c r="I825" s="258">
        <v>292.45999999999998</v>
      </c>
      <c r="J825" s="217">
        <v>109.36</v>
      </c>
      <c r="K825" s="217" t="s">
        <v>2787</v>
      </c>
    </row>
    <row r="826" spans="1:11">
      <c r="A826" s="217">
        <v>823</v>
      </c>
      <c r="B826" s="218" t="s">
        <v>3594</v>
      </c>
      <c r="C826" s="217" t="s">
        <v>10</v>
      </c>
      <c r="D826" s="217" t="s">
        <v>35</v>
      </c>
      <c r="E826" s="209">
        <v>1353000</v>
      </c>
      <c r="F826" s="212">
        <f t="shared" ref="F826" si="26">E826*0.97</f>
        <v>1312410</v>
      </c>
      <c r="G826" s="206">
        <f t="shared" ref="G826" si="27">E826*0.94</f>
        <v>1271820</v>
      </c>
      <c r="H826" s="258">
        <v>401.82</v>
      </c>
      <c r="I826" s="258">
        <v>292.45999999999998</v>
      </c>
      <c r="J826" s="217">
        <v>109.36</v>
      </c>
      <c r="K826" s="217" t="s">
        <v>2787</v>
      </c>
    </row>
    <row r="827" spans="1:11">
      <c r="A827" s="217">
        <v>824</v>
      </c>
      <c r="B827" s="218" t="s">
        <v>3595</v>
      </c>
      <c r="C827" s="217" t="s">
        <v>10</v>
      </c>
      <c r="D827" s="217" t="s">
        <v>35</v>
      </c>
      <c r="E827" s="209">
        <v>1351000</v>
      </c>
      <c r="F827" s="212">
        <f t="shared" ref="F827:F836" si="28">E827*0.97</f>
        <v>1310470</v>
      </c>
      <c r="G827" s="206">
        <f t="shared" ref="G827:G836" si="29">E827*0.94</f>
        <v>1269940</v>
      </c>
      <c r="H827" s="258">
        <v>395.68</v>
      </c>
      <c r="I827" s="258">
        <v>292.45999999999998</v>
      </c>
      <c r="J827" s="217">
        <v>103.23</v>
      </c>
      <c r="K827" s="217" t="s">
        <v>2792</v>
      </c>
    </row>
    <row r="828" spans="1:11">
      <c r="A828" s="217">
        <v>825</v>
      </c>
      <c r="B828" s="218" t="s">
        <v>3596</v>
      </c>
      <c r="C828" s="217" t="s">
        <v>10</v>
      </c>
      <c r="D828" s="217" t="s">
        <v>35</v>
      </c>
      <c r="E828" s="209">
        <v>1351000</v>
      </c>
      <c r="F828" s="212">
        <f t="shared" si="28"/>
        <v>1310470</v>
      </c>
      <c r="G828" s="206">
        <f t="shared" si="29"/>
        <v>1269940</v>
      </c>
      <c r="H828" s="258">
        <v>395.68</v>
      </c>
      <c r="I828" s="258">
        <v>292.45999999999998</v>
      </c>
      <c r="J828" s="217">
        <v>103.23</v>
      </c>
      <c r="K828" s="217" t="s">
        <v>2792</v>
      </c>
    </row>
    <row r="829" spans="1:11">
      <c r="A829" s="217">
        <v>826</v>
      </c>
      <c r="B829" s="218" t="s">
        <v>3597</v>
      </c>
      <c r="C829" s="217" t="s">
        <v>10</v>
      </c>
      <c r="D829" s="217" t="s">
        <v>35</v>
      </c>
      <c r="E829" s="209">
        <v>1351000</v>
      </c>
      <c r="F829" s="212">
        <f t="shared" si="28"/>
        <v>1310470</v>
      </c>
      <c r="G829" s="206">
        <f t="shared" si="29"/>
        <v>1269940</v>
      </c>
      <c r="H829" s="258">
        <v>395.68</v>
      </c>
      <c r="I829" s="258">
        <v>292.45999999999998</v>
      </c>
      <c r="J829" s="217">
        <v>103.23</v>
      </c>
      <c r="K829" s="217" t="s">
        <v>2787</v>
      </c>
    </row>
    <row r="830" spans="1:11">
      <c r="A830" s="217">
        <v>827</v>
      </c>
      <c r="B830" s="218" t="s">
        <v>3598</v>
      </c>
      <c r="C830" s="217" t="s">
        <v>10</v>
      </c>
      <c r="D830" s="217" t="s">
        <v>35</v>
      </c>
      <c r="E830" s="209">
        <v>1351000</v>
      </c>
      <c r="F830" s="212">
        <f t="shared" si="28"/>
        <v>1310470</v>
      </c>
      <c r="G830" s="206">
        <f t="shared" si="29"/>
        <v>1269940</v>
      </c>
      <c r="H830" s="258">
        <v>395.68</v>
      </c>
      <c r="I830" s="258">
        <v>292.45999999999998</v>
      </c>
      <c r="J830" s="217">
        <v>103.23</v>
      </c>
      <c r="K830" s="217" t="s">
        <v>2787</v>
      </c>
    </row>
    <row r="831" spans="1:11">
      <c r="A831" s="217">
        <v>828</v>
      </c>
      <c r="B831" s="218" t="s">
        <v>3599</v>
      </c>
      <c r="C831" s="217" t="s">
        <v>10</v>
      </c>
      <c r="D831" s="217" t="s">
        <v>35</v>
      </c>
      <c r="E831" s="209">
        <v>1351000</v>
      </c>
      <c r="F831" s="212">
        <f t="shared" si="28"/>
        <v>1310470</v>
      </c>
      <c r="G831" s="206">
        <f t="shared" si="29"/>
        <v>1269940</v>
      </c>
      <c r="H831" s="258">
        <v>386.85</v>
      </c>
      <c r="I831" s="258">
        <v>292.45999999999998</v>
      </c>
      <c r="J831" s="217">
        <v>94.4</v>
      </c>
      <c r="K831" s="217" t="s">
        <v>2792</v>
      </c>
    </row>
    <row r="832" spans="1:11">
      <c r="A832" s="217">
        <v>829</v>
      </c>
      <c r="B832" s="218" t="s">
        <v>3600</v>
      </c>
      <c r="C832" s="217" t="s">
        <v>10</v>
      </c>
      <c r="D832" s="217" t="s">
        <v>35</v>
      </c>
      <c r="E832" s="209">
        <v>1351000</v>
      </c>
      <c r="F832" s="212">
        <f t="shared" si="28"/>
        <v>1310470</v>
      </c>
      <c r="G832" s="206">
        <f t="shared" si="29"/>
        <v>1269940</v>
      </c>
      <c r="H832" s="258">
        <v>386.85</v>
      </c>
      <c r="I832" s="258">
        <v>292.45999999999998</v>
      </c>
      <c r="J832" s="217">
        <v>94.4</v>
      </c>
      <c r="K832" s="217" t="s">
        <v>2792</v>
      </c>
    </row>
    <row r="833" spans="1:11">
      <c r="A833" s="217">
        <v>830</v>
      </c>
      <c r="B833" s="218" t="s">
        <v>3601</v>
      </c>
      <c r="C833" s="217" t="s">
        <v>10</v>
      </c>
      <c r="D833" s="217" t="s">
        <v>35</v>
      </c>
      <c r="E833" s="209">
        <v>1351000</v>
      </c>
      <c r="F833" s="212">
        <f t="shared" si="28"/>
        <v>1310470</v>
      </c>
      <c r="G833" s="206">
        <f t="shared" si="29"/>
        <v>1269940</v>
      </c>
      <c r="H833" s="258">
        <v>386.85</v>
      </c>
      <c r="I833" s="258">
        <v>292.45999999999998</v>
      </c>
      <c r="J833" s="217">
        <v>94.4</v>
      </c>
      <c r="K833" s="217" t="s">
        <v>2787</v>
      </c>
    </row>
    <row r="834" spans="1:11">
      <c r="A834" s="217">
        <v>831</v>
      </c>
      <c r="B834" s="218" t="s">
        <v>3602</v>
      </c>
      <c r="C834" s="217" t="s">
        <v>10</v>
      </c>
      <c r="D834" s="217" t="s">
        <v>35</v>
      </c>
      <c r="E834" s="209">
        <v>1351000</v>
      </c>
      <c r="F834" s="212">
        <f t="shared" si="28"/>
        <v>1310470</v>
      </c>
      <c r="G834" s="206">
        <f t="shared" si="29"/>
        <v>1269940</v>
      </c>
      <c r="H834" s="258">
        <v>386.85</v>
      </c>
      <c r="I834" s="258">
        <v>292.45999999999998</v>
      </c>
      <c r="J834" s="217">
        <v>94.4</v>
      </c>
      <c r="K834" s="217" t="s">
        <v>2787</v>
      </c>
    </row>
    <row r="835" spans="1:11">
      <c r="A835" s="217">
        <v>832</v>
      </c>
      <c r="B835" s="260" t="s">
        <v>3603</v>
      </c>
      <c r="C835" s="259" t="s">
        <v>10</v>
      </c>
      <c r="D835" s="259" t="s">
        <v>35</v>
      </c>
      <c r="E835" s="261">
        <v>1351000</v>
      </c>
      <c r="F835" s="262">
        <f t="shared" si="28"/>
        <v>1310470</v>
      </c>
      <c r="G835" s="263">
        <f t="shared" si="29"/>
        <v>1269940</v>
      </c>
      <c r="H835" s="265">
        <v>341.11</v>
      </c>
      <c r="I835" s="265">
        <v>293.95999999999998</v>
      </c>
      <c r="J835" s="259">
        <v>47.15</v>
      </c>
      <c r="K835" s="259" t="s">
        <v>2792</v>
      </c>
    </row>
    <row r="836" spans="1:11">
      <c r="A836" s="217">
        <v>833</v>
      </c>
      <c r="B836" s="200" t="s">
        <v>3604</v>
      </c>
      <c r="C836" s="199" t="s">
        <v>10</v>
      </c>
      <c r="D836" s="199" t="s">
        <v>35</v>
      </c>
      <c r="E836" s="209">
        <v>1351000</v>
      </c>
      <c r="F836" s="212">
        <f t="shared" si="28"/>
        <v>1310470</v>
      </c>
      <c r="G836" s="206">
        <f t="shared" si="29"/>
        <v>1269940</v>
      </c>
      <c r="H836" s="264">
        <v>341.11</v>
      </c>
      <c r="I836" s="264">
        <v>293.95999999999998</v>
      </c>
      <c r="J836" s="199">
        <v>47.15</v>
      </c>
      <c r="K836" s="199" t="s">
        <v>2792</v>
      </c>
    </row>
    <row r="837" spans="1:11">
      <c r="A837" s="217">
        <v>834</v>
      </c>
      <c r="B837" s="200" t="s">
        <v>3605</v>
      </c>
      <c r="C837" s="1" t="s">
        <v>10</v>
      </c>
      <c r="D837" s="1" t="s">
        <v>35</v>
      </c>
      <c r="E837" s="209">
        <v>1351000</v>
      </c>
      <c r="F837" s="212">
        <f t="shared" ref="F837:F838" si="30">E837*0.97</f>
        <v>1310470</v>
      </c>
      <c r="G837" s="206">
        <f t="shared" ref="G837:G838" si="31">E837*0.94</f>
        <v>1269940</v>
      </c>
      <c r="H837" s="1">
        <v>341.11</v>
      </c>
      <c r="I837" s="1">
        <v>293.95999999999998</v>
      </c>
      <c r="J837" s="1">
        <v>47.15</v>
      </c>
      <c r="K837" s="1" t="s">
        <v>2787</v>
      </c>
    </row>
    <row r="838" spans="1:11">
      <c r="A838" s="217">
        <v>835</v>
      </c>
      <c r="B838" s="200" t="s">
        <v>3606</v>
      </c>
      <c r="C838" s="1" t="s">
        <v>10</v>
      </c>
      <c r="D838" s="1" t="s">
        <v>35</v>
      </c>
      <c r="E838" s="209">
        <v>1351000</v>
      </c>
      <c r="F838" s="212">
        <f t="shared" si="30"/>
        <v>1310470</v>
      </c>
      <c r="G838" s="206">
        <f t="shared" si="31"/>
        <v>1269940</v>
      </c>
      <c r="H838" s="1">
        <v>341.11</v>
      </c>
      <c r="I838" s="1">
        <v>293.95999999999998</v>
      </c>
      <c r="J838" s="1">
        <v>47.15</v>
      </c>
      <c r="K838" s="1" t="s">
        <v>2787</v>
      </c>
    </row>
  </sheetData>
  <mergeCells count="2">
    <mergeCell ref="A1:K1"/>
    <mergeCell ref="A2:K2"/>
  </mergeCells>
  <conditionalFormatting sqref="B1:B1048576">
    <cfRule type="duplicateValues" dxfId="10978" priority="1"/>
  </conditionalFormatting>
  <conditionalFormatting sqref="B1:B838">
    <cfRule type="duplicateValues" dxfId="10977" priority="252066"/>
  </conditionalFormatting>
  <conditionalFormatting sqref="B1:B840">
    <cfRule type="duplicateValues" dxfId="10976" priority="252067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89F4-BFBA-4AD1-A5DC-94CAEB6B8BDC}">
  <dimension ref="A1:K530"/>
  <sheetViews>
    <sheetView zoomScale="85" zoomScaleNormal="85" workbookViewId="0">
      <selection sqref="A1:K1"/>
    </sheetView>
  </sheetViews>
  <sheetFormatPr defaultRowHeight="14.4"/>
  <cols>
    <col min="1" max="1" width="3.88671875" bestFit="1" customWidth="1"/>
    <col min="2" max="2" width="13.88671875" customWidth="1"/>
    <col min="4" max="4" width="12.88671875" customWidth="1"/>
    <col min="5" max="5" width="13.109375" customWidth="1"/>
    <col min="6" max="6" width="12.6640625" customWidth="1"/>
    <col min="7" max="7" width="14.33203125" customWidth="1"/>
    <col min="8" max="8" width="10.6640625" customWidth="1"/>
    <col min="9" max="9" width="10.44140625" customWidth="1"/>
    <col min="10" max="10" width="13.109375" customWidth="1"/>
    <col min="11" max="11" width="51.109375" customWidth="1"/>
  </cols>
  <sheetData>
    <row r="1" spans="1:11" ht="25.8">
      <c r="A1" s="331" t="s">
        <v>3756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17.399999999999999">
      <c r="A2" s="334" t="s">
        <v>3757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</row>
    <row r="3" spans="1:11">
      <c r="A3" s="211" t="s">
        <v>22</v>
      </c>
      <c r="B3" s="211" t="s">
        <v>13</v>
      </c>
      <c r="C3" s="211" t="s">
        <v>26</v>
      </c>
      <c r="D3" s="211" t="s">
        <v>14</v>
      </c>
      <c r="E3" s="211" t="s">
        <v>20</v>
      </c>
      <c r="F3" s="211" t="s">
        <v>21</v>
      </c>
      <c r="G3" s="211" t="s">
        <v>62</v>
      </c>
      <c r="H3" s="211" t="s">
        <v>0</v>
      </c>
      <c r="I3" s="211" t="s">
        <v>1</v>
      </c>
      <c r="J3" s="211" t="s">
        <v>2</v>
      </c>
      <c r="K3" s="211" t="s">
        <v>19</v>
      </c>
    </row>
    <row r="4" spans="1:11">
      <c r="A4" s="61">
        <v>1</v>
      </c>
      <c r="B4" s="203" t="s">
        <v>4565</v>
      </c>
      <c r="C4" s="61" t="s">
        <v>4467</v>
      </c>
      <c r="D4" s="61" t="s">
        <v>48</v>
      </c>
      <c r="E4" s="209">
        <v>5299000</v>
      </c>
      <c r="F4" s="212">
        <f>E4*0.97</f>
        <v>5140030</v>
      </c>
      <c r="G4" s="206">
        <f>E4*0.94</f>
        <v>4981060</v>
      </c>
      <c r="H4" s="61">
        <v>1567.76</v>
      </c>
      <c r="I4" s="61">
        <v>1196.4100000000001</v>
      </c>
      <c r="J4" s="61">
        <v>371.35</v>
      </c>
      <c r="K4" s="61" t="s">
        <v>3759</v>
      </c>
    </row>
    <row r="5" spans="1:11">
      <c r="A5" s="61">
        <v>2</v>
      </c>
      <c r="B5" s="203" t="s">
        <v>3758</v>
      </c>
      <c r="C5" s="61" t="s">
        <v>4467</v>
      </c>
      <c r="D5" s="61" t="s">
        <v>48</v>
      </c>
      <c r="E5" s="209">
        <v>5299000</v>
      </c>
      <c r="F5" s="212">
        <f t="shared" ref="F5:F68" si="0">E5*0.97</f>
        <v>5140030</v>
      </c>
      <c r="G5" s="206">
        <f t="shared" ref="G5:G68" si="1">E5*0.94</f>
        <v>4981060</v>
      </c>
      <c r="H5" s="61">
        <v>1567.87</v>
      </c>
      <c r="I5" s="61">
        <v>1196.4100000000001</v>
      </c>
      <c r="J5" s="61">
        <v>371.46</v>
      </c>
      <c r="K5" s="61" t="s">
        <v>3759</v>
      </c>
    </row>
    <row r="6" spans="1:11">
      <c r="A6" s="61">
        <v>3</v>
      </c>
      <c r="B6" s="203" t="s">
        <v>3760</v>
      </c>
      <c r="C6" s="61" t="s">
        <v>4466</v>
      </c>
      <c r="D6" s="61" t="s">
        <v>48</v>
      </c>
      <c r="E6" s="209">
        <v>5289000</v>
      </c>
      <c r="F6" s="212">
        <f t="shared" si="0"/>
        <v>5130330</v>
      </c>
      <c r="G6" s="206">
        <f t="shared" si="1"/>
        <v>4971660</v>
      </c>
      <c r="H6" s="61">
        <v>1567.87</v>
      </c>
      <c r="I6" s="61">
        <v>1196.4100000000001</v>
      </c>
      <c r="J6" s="61">
        <v>371.46</v>
      </c>
      <c r="K6" s="61" t="s">
        <v>3759</v>
      </c>
    </row>
    <row r="7" spans="1:11">
      <c r="A7" s="61">
        <v>4</v>
      </c>
      <c r="B7" s="203" t="s">
        <v>3761</v>
      </c>
      <c r="C7" s="61" t="s">
        <v>4466</v>
      </c>
      <c r="D7" s="61" t="s">
        <v>48</v>
      </c>
      <c r="E7" s="209">
        <v>5289000</v>
      </c>
      <c r="F7" s="212">
        <f t="shared" si="0"/>
        <v>5130330</v>
      </c>
      <c r="G7" s="206">
        <f t="shared" si="1"/>
        <v>4971660</v>
      </c>
      <c r="H7" s="61">
        <v>1567.76</v>
      </c>
      <c r="I7" s="61">
        <v>1196.4100000000001</v>
      </c>
      <c r="J7" s="61">
        <v>371.35</v>
      </c>
      <c r="K7" s="61" t="s">
        <v>3759</v>
      </c>
    </row>
    <row r="8" spans="1:11">
      <c r="A8" s="61">
        <v>5</v>
      </c>
      <c r="B8" s="203" t="s">
        <v>3762</v>
      </c>
      <c r="C8" s="61" t="s">
        <v>4467</v>
      </c>
      <c r="D8" s="61" t="s">
        <v>48</v>
      </c>
      <c r="E8" s="209">
        <v>5273000</v>
      </c>
      <c r="F8" s="212">
        <f t="shared" si="0"/>
        <v>5114810</v>
      </c>
      <c r="G8" s="206">
        <f t="shared" si="1"/>
        <v>4956620</v>
      </c>
      <c r="H8" s="61">
        <v>1567.87</v>
      </c>
      <c r="I8" s="61">
        <v>1196.4100000000001</v>
      </c>
      <c r="J8" s="61">
        <v>371.46</v>
      </c>
      <c r="K8" s="61" t="s">
        <v>4248</v>
      </c>
    </row>
    <row r="9" spans="1:11">
      <c r="A9" s="61">
        <v>6</v>
      </c>
      <c r="B9" s="203" t="s">
        <v>3763</v>
      </c>
      <c r="C9" s="61" t="s">
        <v>4467</v>
      </c>
      <c r="D9" s="61" t="s">
        <v>48</v>
      </c>
      <c r="E9" s="209">
        <v>5273000</v>
      </c>
      <c r="F9" s="212">
        <f t="shared" si="0"/>
        <v>5114810</v>
      </c>
      <c r="G9" s="206">
        <f t="shared" si="1"/>
        <v>4956620</v>
      </c>
      <c r="H9" s="61">
        <v>1567.76</v>
      </c>
      <c r="I9" s="61">
        <v>1196.4100000000001</v>
      </c>
      <c r="J9" s="61">
        <v>371.35</v>
      </c>
      <c r="K9" s="61" t="s">
        <v>4248</v>
      </c>
    </row>
    <row r="10" spans="1:11">
      <c r="A10" s="61">
        <v>7</v>
      </c>
      <c r="B10" s="203" t="s">
        <v>3764</v>
      </c>
      <c r="C10" s="61" t="s">
        <v>4465</v>
      </c>
      <c r="D10" s="61" t="s">
        <v>48</v>
      </c>
      <c r="E10" s="209">
        <v>5278000</v>
      </c>
      <c r="F10" s="212">
        <f t="shared" si="0"/>
        <v>5119660</v>
      </c>
      <c r="G10" s="206">
        <f t="shared" si="1"/>
        <v>4961320</v>
      </c>
      <c r="H10" s="61">
        <v>1567.76</v>
      </c>
      <c r="I10" s="61">
        <v>1196.4100000000001</v>
      </c>
      <c r="J10" s="61">
        <v>371.35</v>
      </c>
      <c r="K10" s="61" t="s">
        <v>3759</v>
      </c>
    </row>
    <row r="11" spans="1:11">
      <c r="A11" s="61">
        <v>8</v>
      </c>
      <c r="B11" s="203" t="s">
        <v>3765</v>
      </c>
      <c r="C11" s="61" t="s">
        <v>4465</v>
      </c>
      <c r="D11" s="61" t="s">
        <v>48</v>
      </c>
      <c r="E11" s="209">
        <v>5278000</v>
      </c>
      <c r="F11" s="212">
        <f t="shared" si="0"/>
        <v>5119660</v>
      </c>
      <c r="G11" s="206">
        <f t="shared" si="1"/>
        <v>4961320</v>
      </c>
      <c r="H11" s="61">
        <v>1567.87</v>
      </c>
      <c r="I11" s="61">
        <v>1196.4100000000001</v>
      </c>
      <c r="J11" s="61">
        <v>371.46</v>
      </c>
      <c r="K11" s="61" t="s">
        <v>3759</v>
      </c>
    </row>
    <row r="12" spans="1:11">
      <c r="A12" s="61">
        <v>9</v>
      </c>
      <c r="B12" s="203" t="s">
        <v>3766</v>
      </c>
      <c r="C12" s="61" t="s">
        <v>4466</v>
      </c>
      <c r="D12" s="61" t="s">
        <v>48</v>
      </c>
      <c r="E12" s="209">
        <v>5263000</v>
      </c>
      <c r="F12" s="212">
        <f t="shared" si="0"/>
        <v>5105110</v>
      </c>
      <c r="G12" s="206">
        <f t="shared" si="1"/>
        <v>4947220</v>
      </c>
      <c r="H12" s="61">
        <v>1567.87</v>
      </c>
      <c r="I12" s="61">
        <v>1196.4100000000001</v>
      </c>
      <c r="J12" s="61">
        <v>371.46</v>
      </c>
      <c r="K12" s="61" t="s">
        <v>4248</v>
      </c>
    </row>
    <row r="13" spans="1:11">
      <c r="A13" s="61">
        <v>10</v>
      </c>
      <c r="B13" s="203" t="s">
        <v>3767</v>
      </c>
      <c r="C13" s="61" t="s">
        <v>4466</v>
      </c>
      <c r="D13" s="61" t="s">
        <v>48</v>
      </c>
      <c r="E13" s="209">
        <v>5263000</v>
      </c>
      <c r="F13" s="212">
        <f t="shared" si="0"/>
        <v>5105110</v>
      </c>
      <c r="G13" s="206">
        <f t="shared" si="1"/>
        <v>4947220</v>
      </c>
      <c r="H13" s="61">
        <v>1567.76</v>
      </c>
      <c r="I13" s="61">
        <v>1196.4100000000001</v>
      </c>
      <c r="J13" s="61">
        <v>371.35</v>
      </c>
      <c r="K13" s="61" t="s">
        <v>4248</v>
      </c>
    </row>
    <row r="14" spans="1:11">
      <c r="A14" s="61">
        <v>11</v>
      </c>
      <c r="B14" s="203" t="s">
        <v>3768</v>
      </c>
      <c r="C14" s="61" t="s">
        <v>4464</v>
      </c>
      <c r="D14" s="61" t="s">
        <v>48</v>
      </c>
      <c r="E14" s="209">
        <v>5268000</v>
      </c>
      <c r="F14" s="212">
        <f t="shared" si="0"/>
        <v>5109960</v>
      </c>
      <c r="G14" s="206">
        <f t="shared" si="1"/>
        <v>4951920</v>
      </c>
      <c r="H14" s="61">
        <v>1567.76</v>
      </c>
      <c r="I14" s="61">
        <v>1196.4100000000001</v>
      </c>
      <c r="J14" s="61">
        <v>371.35</v>
      </c>
      <c r="K14" s="61" t="s">
        <v>3759</v>
      </c>
    </row>
    <row r="15" spans="1:11">
      <c r="A15" s="61">
        <v>12</v>
      </c>
      <c r="B15" s="203" t="s">
        <v>3769</v>
      </c>
      <c r="C15" s="61" t="s">
        <v>4464</v>
      </c>
      <c r="D15" s="61" t="s">
        <v>48</v>
      </c>
      <c r="E15" s="209">
        <v>5268000</v>
      </c>
      <c r="F15" s="212">
        <f t="shared" si="0"/>
        <v>5109960</v>
      </c>
      <c r="G15" s="206">
        <f t="shared" si="1"/>
        <v>4951920</v>
      </c>
      <c r="H15" s="61">
        <v>1567.87</v>
      </c>
      <c r="I15" s="61">
        <v>1196.4100000000001</v>
      </c>
      <c r="J15" s="61">
        <v>371.46</v>
      </c>
      <c r="K15" s="61" t="s">
        <v>3759</v>
      </c>
    </row>
    <row r="16" spans="1:11">
      <c r="A16" s="61">
        <v>13</v>
      </c>
      <c r="B16" s="203" t="s">
        <v>3770</v>
      </c>
      <c r="C16" s="61" t="s">
        <v>4465</v>
      </c>
      <c r="D16" s="61" t="s">
        <v>48</v>
      </c>
      <c r="E16" s="209">
        <v>5253000</v>
      </c>
      <c r="F16" s="212">
        <f t="shared" si="0"/>
        <v>5095410</v>
      </c>
      <c r="G16" s="206">
        <f t="shared" si="1"/>
        <v>4937820</v>
      </c>
      <c r="H16" s="61">
        <v>1567.87</v>
      </c>
      <c r="I16" s="61">
        <v>1196.4100000000001</v>
      </c>
      <c r="J16" s="61">
        <v>371.46</v>
      </c>
      <c r="K16" s="61" t="s">
        <v>4248</v>
      </c>
    </row>
    <row r="17" spans="1:11">
      <c r="A17" s="61">
        <v>14</v>
      </c>
      <c r="B17" s="203" t="s">
        <v>3771</v>
      </c>
      <c r="C17" s="61" t="s">
        <v>4465</v>
      </c>
      <c r="D17" s="61" t="s">
        <v>48</v>
      </c>
      <c r="E17" s="209">
        <v>5253000</v>
      </c>
      <c r="F17" s="212">
        <f t="shared" si="0"/>
        <v>5095410</v>
      </c>
      <c r="G17" s="206">
        <f t="shared" si="1"/>
        <v>4937820</v>
      </c>
      <c r="H17" s="61">
        <v>1567.76</v>
      </c>
      <c r="I17" s="61">
        <v>1196.4100000000001</v>
      </c>
      <c r="J17" s="61">
        <v>371.35</v>
      </c>
      <c r="K17" s="61" t="s">
        <v>4248</v>
      </c>
    </row>
    <row r="18" spans="1:11">
      <c r="A18" s="61">
        <v>15</v>
      </c>
      <c r="B18" s="203" t="s">
        <v>3772</v>
      </c>
      <c r="C18" s="61" t="s">
        <v>4464</v>
      </c>
      <c r="D18" s="61" t="s">
        <v>48</v>
      </c>
      <c r="E18" s="209">
        <v>5243000</v>
      </c>
      <c r="F18" s="212">
        <f t="shared" si="0"/>
        <v>5085710</v>
      </c>
      <c r="G18" s="206">
        <f t="shared" si="1"/>
        <v>4928420</v>
      </c>
      <c r="H18" s="61">
        <v>1567.87</v>
      </c>
      <c r="I18" s="61">
        <v>1196.4100000000001</v>
      </c>
      <c r="J18" s="61">
        <v>371.46</v>
      </c>
      <c r="K18" s="61" t="s">
        <v>4248</v>
      </c>
    </row>
    <row r="19" spans="1:11">
      <c r="A19" s="61">
        <v>16</v>
      </c>
      <c r="B19" s="203" t="s">
        <v>3773</v>
      </c>
      <c r="C19" s="61" t="s">
        <v>4464</v>
      </c>
      <c r="D19" s="61" t="s">
        <v>48</v>
      </c>
      <c r="E19" s="209">
        <v>5243000</v>
      </c>
      <c r="F19" s="212">
        <f t="shared" si="0"/>
        <v>5085710</v>
      </c>
      <c r="G19" s="206">
        <f t="shared" si="1"/>
        <v>4928420</v>
      </c>
      <c r="H19" s="61">
        <v>1567.76</v>
      </c>
      <c r="I19" s="61">
        <v>1196.4100000000001</v>
      </c>
      <c r="J19" s="61">
        <v>371.35</v>
      </c>
      <c r="K19" s="61" t="s">
        <v>4248</v>
      </c>
    </row>
    <row r="20" spans="1:11">
      <c r="A20" s="61">
        <v>17</v>
      </c>
      <c r="B20" s="203" t="s">
        <v>3774</v>
      </c>
      <c r="C20" s="61" t="s">
        <v>4465</v>
      </c>
      <c r="D20" s="61" t="s">
        <v>48</v>
      </c>
      <c r="E20" s="209">
        <v>5170000</v>
      </c>
      <c r="F20" s="212">
        <f t="shared" si="0"/>
        <v>5014900</v>
      </c>
      <c r="G20" s="206">
        <f t="shared" si="1"/>
        <v>4859800</v>
      </c>
      <c r="H20" s="61">
        <v>1321.38</v>
      </c>
      <c r="I20" s="61">
        <v>1180.48</v>
      </c>
      <c r="J20" s="61">
        <v>140.9</v>
      </c>
      <c r="K20" s="61" t="s">
        <v>2780</v>
      </c>
    </row>
    <row r="21" spans="1:11">
      <c r="A21" s="61">
        <v>18</v>
      </c>
      <c r="B21" s="203" t="s">
        <v>3775</v>
      </c>
      <c r="C21" s="61" t="s">
        <v>4467</v>
      </c>
      <c r="D21" s="61" t="s">
        <v>48</v>
      </c>
      <c r="E21" s="209">
        <v>5140000</v>
      </c>
      <c r="F21" s="212">
        <f t="shared" si="0"/>
        <v>4985800</v>
      </c>
      <c r="G21" s="206">
        <f t="shared" si="1"/>
        <v>4831600</v>
      </c>
      <c r="H21" s="61">
        <v>1321.38</v>
      </c>
      <c r="I21" s="61">
        <v>1180.48</v>
      </c>
      <c r="J21" s="61">
        <v>140.9</v>
      </c>
      <c r="K21" s="61" t="s">
        <v>4249</v>
      </c>
    </row>
    <row r="22" spans="1:11">
      <c r="A22" s="61">
        <v>19</v>
      </c>
      <c r="B22" s="203" t="s">
        <v>3776</v>
      </c>
      <c r="C22" s="61" t="s">
        <v>4464</v>
      </c>
      <c r="D22" s="61" t="s">
        <v>48</v>
      </c>
      <c r="E22" s="209">
        <v>5160000</v>
      </c>
      <c r="F22" s="212">
        <f t="shared" si="0"/>
        <v>5005200</v>
      </c>
      <c r="G22" s="206">
        <f t="shared" si="1"/>
        <v>4850400</v>
      </c>
      <c r="H22" s="61">
        <v>1321.38</v>
      </c>
      <c r="I22" s="61">
        <v>1180.48</v>
      </c>
      <c r="J22" s="61">
        <v>140.9</v>
      </c>
      <c r="K22" s="61" t="s">
        <v>2780</v>
      </c>
    </row>
    <row r="23" spans="1:11">
      <c r="A23" s="61">
        <v>20</v>
      </c>
      <c r="B23" s="203" t="s">
        <v>3777</v>
      </c>
      <c r="C23" s="61" t="s">
        <v>4466</v>
      </c>
      <c r="D23" s="61" t="s">
        <v>48</v>
      </c>
      <c r="E23" s="209">
        <v>5130000</v>
      </c>
      <c r="F23" s="212">
        <f t="shared" si="0"/>
        <v>4976100</v>
      </c>
      <c r="G23" s="206">
        <f t="shared" si="1"/>
        <v>4822200</v>
      </c>
      <c r="H23" s="61">
        <v>1321.38</v>
      </c>
      <c r="I23" s="61">
        <v>1180.48</v>
      </c>
      <c r="J23" s="61">
        <v>140.9</v>
      </c>
      <c r="K23" s="61" t="s">
        <v>4249</v>
      </c>
    </row>
    <row r="24" spans="1:11">
      <c r="A24" s="61">
        <v>21</v>
      </c>
      <c r="B24" s="203" t="s">
        <v>3778</v>
      </c>
      <c r="C24" s="61" t="s">
        <v>4465</v>
      </c>
      <c r="D24" s="61" t="s">
        <v>48</v>
      </c>
      <c r="E24" s="209">
        <v>5120000</v>
      </c>
      <c r="F24" s="212">
        <f t="shared" si="0"/>
        <v>4966400</v>
      </c>
      <c r="G24" s="206">
        <f t="shared" si="1"/>
        <v>4812800</v>
      </c>
      <c r="H24" s="61">
        <v>1321.38</v>
      </c>
      <c r="I24" s="61">
        <v>1180.48</v>
      </c>
      <c r="J24" s="61">
        <v>140.9</v>
      </c>
      <c r="K24" s="61" t="s">
        <v>4249</v>
      </c>
    </row>
    <row r="25" spans="1:11">
      <c r="A25" s="61">
        <v>22</v>
      </c>
      <c r="B25" s="203" t="s">
        <v>3779</v>
      </c>
      <c r="C25" s="61" t="s">
        <v>4464</v>
      </c>
      <c r="D25" s="61" t="s">
        <v>48</v>
      </c>
      <c r="E25" s="209">
        <v>5110000</v>
      </c>
      <c r="F25" s="212">
        <f t="shared" si="0"/>
        <v>4956700</v>
      </c>
      <c r="G25" s="206">
        <f t="shared" si="1"/>
        <v>4803400</v>
      </c>
      <c r="H25" s="61">
        <v>1321.38</v>
      </c>
      <c r="I25" s="61">
        <v>1180.48</v>
      </c>
      <c r="J25" s="61">
        <v>140.9</v>
      </c>
      <c r="K25" s="61" t="s">
        <v>4249</v>
      </c>
    </row>
    <row r="26" spans="1:11">
      <c r="A26" s="61">
        <v>23</v>
      </c>
      <c r="B26" s="203" t="s">
        <v>3780</v>
      </c>
      <c r="C26" s="61" t="s">
        <v>4467</v>
      </c>
      <c r="D26" s="61" t="s">
        <v>48</v>
      </c>
      <c r="E26" s="209">
        <v>4980000</v>
      </c>
      <c r="F26" s="212">
        <f t="shared" si="0"/>
        <v>4830600</v>
      </c>
      <c r="G26" s="206">
        <f t="shared" si="1"/>
        <v>4681200</v>
      </c>
      <c r="H26" s="61">
        <v>1372.4</v>
      </c>
      <c r="I26" s="61">
        <v>1073.1600000000001</v>
      </c>
      <c r="J26" s="61">
        <v>299.24</v>
      </c>
      <c r="K26" s="61" t="s">
        <v>4248</v>
      </c>
    </row>
    <row r="27" spans="1:11">
      <c r="A27" s="61">
        <v>24</v>
      </c>
      <c r="B27" s="203" t="s">
        <v>3781</v>
      </c>
      <c r="C27" s="61" t="s">
        <v>4467</v>
      </c>
      <c r="D27" s="61" t="s">
        <v>48</v>
      </c>
      <c r="E27" s="209">
        <v>4977000</v>
      </c>
      <c r="F27" s="212">
        <f t="shared" si="0"/>
        <v>4827690</v>
      </c>
      <c r="G27" s="206">
        <f t="shared" si="1"/>
        <v>4678380</v>
      </c>
      <c r="H27" s="61">
        <v>1371.86</v>
      </c>
      <c r="I27" s="61">
        <v>1072.6199999999999</v>
      </c>
      <c r="J27" s="61">
        <v>299.24</v>
      </c>
      <c r="K27" s="61" t="s">
        <v>4250</v>
      </c>
    </row>
    <row r="28" spans="1:11">
      <c r="A28" s="61">
        <v>25</v>
      </c>
      <c r="B28" s="203" t="s">
        <v>3782</v>
      </c>
      <c r="C28" s="61" t="s">
        <v>4467</v>
      </c>
      <c r="D28" s="61" t="s">
        <v>48</v>
      </c>
      <c r="E28" s="209">
        <v>4977000</v>
      </c>
      <c r="F28" s="212">
        <f t="shared" si="0"/>
        <v>4827690</v>
      </c>
      <c r="G28" s="206">
        <f t="shared" si="1"/>
        <v>4678380</v>
      </c>
      <c r="H28" s="61">
        <v>1371.75</v>
      </c>
      <c r="I28" s="61">
        <v>1072.52</v>
      </c>
      <c r="J28" s="61">
        <v>299.24</v>
      </c>
      <c r="K28" s="61" t="s">
        <v>4251</v>
      </c>
    </row>
    <row r="29" spans="1:11">
      <c r="A29" s="61">
        <v>26</v>
      </c>
      <c r="B29" s="203" t="s">
        <v>3783</v>
      </c>
      <c r="C29" s="61" t="s">
        <v>4465</v>
      </c>
      <c r="D29" s="61" t="s">
        <v>48</v>
      </c>
      <c r="E29" s="209">
        <v>4985000</v>
      </c>
      <c r="F29" s="212">
        <f t="shared" si="0"/>
        <v>4835450</v>
      </c>
      <c r="G29" s="206">
        <f t="shared" si="1"/>
        <v>4685900</v>
      </c>
      <c r="H29" s="61">
        <v>1372.4</v>
      </c>
      <c r="I29" s="61">
        <v>1073.1600000000001</v>
      </c>
      <c r="J29" s="61">
        <v>299.24</v>
      </c>
      <c r="K29" s="61" t="s">
        <v>3759</v>
      </c>
    </row>
    <row r="30" spans="1:11">
      <c r="A30" s="61">
        <v>27</v>
      </c>
      <c r="B30" s="203" t="s">
        <v>3784</v>
      </c>
      <c r="C30" s="61" t="s">
        <v>4466</v>
      </c>
      <c r="D30" s="61" t="s">
        <v>48</v>
      </c>
      <c r="E30" s="209">
        <v>4971000</v>
      </c>
      <c r="F30" s="212">
        <f t="shared" si="0"/>
        <v>4821870</v>
      </c>
      <c r="G30" s="206">
        <f t="shared" si="1"/>
        <v>4672740</v>
      </c>
      <c r="H30" s="61">
        <v>1372.4</v>
      </c>
      <c r="I30" s="61">
        <v>1073.1600000000001</v>
      </c>
      <c r="J30" s="61">
        <v>299.24</v>
      </c>
      <c r="K30" s="61" t="s">
        <v>4248</v>
      </c>
    </row>
    <row r="31" spans="1:11">
      <c r="A31" s="61">
        <v>28</v>
      </c>
      <c r="B31" s="203" t="s">
        <v>3785</v>
      </c>
      <c r="C31" s="61" t="s">
        <v>4466</v>
      </c>
      <c r="D31" s="61" t="s">
        <v>48</v>
      </c>
      <c r="E31" s="209">
        <v>4968000</v>
      </c>
      <c r="F31" s="212">
        <f t="shared" si="0"/>
        <v>4818960</v>
      </c>
      <c r="G31" s="206">
        <f t="shared" si="1"/>
        <v>4669920</v>
      </c>
      <c r="H31" s="61">
        <v>1371.86</v>
      </c>
      <c r="I31" s="61">
        <v>1072.6199999999999</v>
      </c>
      <c r="J31" s="61">
        <v>299.24</v>
      </c>
      <c r="K31" s="61" t="s">
        <v>4250</v>
      </c>
    </row>
    <row r="32" spans="1:11">
      <c r="A32" s="61">
        <v>29</v>
      </c>
      <c r="B32" s="203" t="s">
        <v>3786</v>
      </c>
      <c r="C32" s="61" t="s">
        <v>4466</v>
      </c>
      <c r="D32" s="61" t="s">
        <v>48</v>
      </c>
      <c r="E32" s="209">
        <v>4968000</v>
      </c>
      <c r="F32" s="212">
        <f t="shared" si="0"/>
        <v>4818960</v>
      </c>
      <c r="G32" s="206">
        <f t="shared" si="1"/>
        <v>4669920</v>
      </c>
      <c r="H32" s="61">
        <v>1371.75</v>
      </c>
      <c r="I32" s="61">
        <v>1072.52</v>
      </c>
      <c r="J32" s="61">
        <v>299.24</v>
      </c>
      <c r="K32" s="61" t="s">
        <v>4251</v>
      </c>
    </row>
    <row r="33" spans="1:11">
      <c r="A33" s="61">
        <v>30</v>
      </c>
      <c r="B33" s="203" t="s">
        <v>3787</v>
      </c>
      <c r="C33" s="61" t="s">
        <v>4464</v>
      </c>
      <c r="D33" s="61" t="s">
        <v>48</v>
      </c>
      <c r="E33" s="209">
        <v>4975000</v>
      </c>
      <c r="F33" s="212">
        <f t="shared" si="0"/>
        <v>4825750</v>
      </c>
      <c r="G33" s="206">
        <f t="shared" si="1"/>
        <v>4676500</v>
      </c>
      <c r="H33" s="61">
        <v>1372.4</v>
      </c>
      <c r="I33" s="61">
        <v>1073.1600000000001</v>
      </c>
      <c r="J33" s="61">
        <v>299.24</v>
      </c>
      <c r="K33" s="61" t="s">
        <v>3759</v>
      </c>
    </row>
    <row r="34" spans="1:11">
      <c r="A34" s="61">
        <v>31</v>
      </c>
      <c r="B34" s="203" t="s">
        <v>3788</v>
      </c>
      <c r="C34" s="61" t="s">
        <v>4465</v>
      </c>
      <c r="D34" s="61" t="s">
        <v>48</v>
      </c>
      <c r="E34" s="209">
        <v>4961000</v>
      </c>
      <c r="F34" s="212">
        <f t="shared" si="0"/>
        <v>4812170</v>
      </c>
      <c r="G34" s="206">
        <f t="shared" si="1"/>
        <v>4663340</v>
      </c>
      <c r="H34" s="61">
        <v>1372.4</v>
      </c>
      <c r="I34" s="61">
        <v>1073.1600000000001</v>
      </c>
      <c r="J34" s="61">
        <v>299.24</v>
      </c>
      <c r="K34" s="61" t="s">
        <v>4248</v>
      </c>
    </row>
    <row r="35" spans="1:11">
      <c r="A35" s="61">
        <v>32</v>
      </c>
      <c r="B35" s="203" t="s">
        <v>3789</v>
      </c>
      <c r="C35" s="61" t="s">
        <v>4465</v>
      </c>
      <c r="D35" s="61" t="s">
        <v>48</v>
      </c>
      <c r="E35" s="209">
        <v>4959000</v>
      </c>
      <c r="F35" s="212">
        <f t="shared" si="0"/>
        <v>4810230</v>
      </c>
      <c r="G35" s="206">
        <f t="shared" si="1"/>
        <v>4661460</v>
      </c>
      <c r="H35" s="61">
        <v>1371.86</v>
      </c>
      <c r="I35" s="61">
        <v>1072.6199999999999</v>
      </c>
      <c r="J35" s="61">
        <v>299.24</v>
      </c>
      <c r="K35" s="61" t="s">
        <v>4250</v>
      </c>
    </row>
    <row r="36" spans="1:11">
      <c r="A36" s="61">
        <v>33</v>
      </c>
      <c r="B36" s="203" t="s">
        <v>3790</v>
      </c>
      <c r="C36" s="61" t="s">
        <v>4465</v>
      </c>
      <c r="D36" s="61" t="s">
        <v>48</v>
      </c>
      <c r="E36" s="209">
        <v>4958000</v>
      </c>
      <c r="F36" s="212">
        <f t="shared" si="0"/>
        <v>4809260</v>
      </c>
      <c r="G36" s="206">
        <f t="shared" si="1"/>
        <v>4660520</v>
      </c>
      <c r="H36" s="61">
        <v>1371.75</v>
      </c>
      <c r="I36" s="61">
        <v>1072.52</v>
      </c>
      <c r="J36" s="61">
        <v>299.24</v>
      </c>
      <c r="K36" s="61" t="s">
        <v>4251</v>
      </c>
    </row>
    <row r="37" spans="1:11">
      <c r="A37" s="61">
        <v>34</v>
      </c>
      <c r="B37" s="203" t="s">
        <v>3791</v>
      </c>
      <c r="C37" s="61" t="s">
        <v>4464</v>
      </c>
      <c r="D37" s="61" t="s">
        <v>48</v>
      </c>
      <c r="E37" s="209">
        <v>4952000</v>
      </c>
      <c r="F37" s="212">
        <f t="shared" si="0"/>
        <v>4803440</v>
      </c>
      <c r="G37" s="206">
        <f t="shared" si="1"/>
        <v>4654880</v>
      </c>
      <c r="H37" s="61">
        <v>1372.4</v>
      </c>
      <c r="I37" s="61">
        <v>1073.1600000000001</v>
      </c>
      <c r="J37" s="61">
        <v>299.24</v>
      </c>
      <c r="K37" s="61" t="s">
        <v>4248</v>
      </c>
    </row>
    <row r="38" spans="1:11">
      <c r="A38" s="61">
        <v>35</v>
      </c>
      <c r="B38" s="203" t="s">
        <v>3792</v>
      </c>
      <c r="C38" s="61" t="s">
        <v>4464</v>
      </c>
      <c r="D38" s="61" t="s">
        <v>48</v>
      </c>
      <c r="E38" s="209">
        <v>4950000</v>
      </c>
      <c r="F38" s="212">
        <f t="shared" si="0"/>
        <v>4801500</v>
      </c>
      <c r="G38" s="206">
        <f t="shared" si="1"/>
        <v>4653000</v>
      </c>
      <c r="H38" s="61">
        <v>1371.75</v>
      </c>
      <c r="I38" s="61">
        <v>1072.52</v>
      </c>
      <c r="J38" s="61">
        <v>299.24</v>
      </c>
      <c r="K38" s="61" t="s">
        <v>4251</v>
      </c>
    </row>
    <row r="39" spans="1:11">
      <c r="A39" s="61">
        <v>36</v>
      </c>
      <c r="B39" s="203" t="s">
        <v>3793</v>
      </c>
      <c r="C39" s="61" t="s">
        <v>4464</v>
      </c>
      <c r="D39" s="61" t="s">
        <v>48</v>
      </c>
      <c r="E39" s="209">
        <v>4950000</v>
      </c>
      <c r="F39" s="212">
        <f t="shared" si="0"/>
        <v>4801500</v>
      </c>
      <c r="G39" s="206">
        <f t="shared" si="1"/>
        <v>4653000</v>
      </c>
      <c r="H39" s="61">
        <v>1371.86</v>
      </c>
      <c r="I39" s="61">
        <v>1072.6199999999999</v>
      </c>
      <c r="J39" s="61">
        <v>299.24</v>
      </c>
      <c r="K39" s="61" t="s">
        <v>4250</v>
      </c>
    </row>
    <row r="40" spans="1:11">
      <c r="A40" s="61">
        <v>37</v>
      </c>
      <c r="B40" s="203" t="s">
        <v>3794</v>
      </c>
      <c r="C40" s="61" t="s">
        <v>4467</v>
      </c>
      <c r="D40" s="61" t="s">
        <v>24</v>
      </c>
      <c r="E40" s="209">
        <v>3490000</v>
      </c>
      <c r="F40" s="212">
        <f t="shared" si="0"/>
        <v>3385300</v>
      </c>
      <c r="G40" s="206">
        <f t="shared" si="1"/>
        <v>3280600</v>
      </c>
      <c r="H40" s="61">
        <v>1212.6600000000001</v>
      </c>
      <c r="I40" s="61">
        <v>891.36</v>
      </c>
      <c r="J40" s="61">
        <v>321.3</v>
      </c>
      <c r="K40" s="61" t="s">
        <v>4248</v>
      </c>
    </row>
    <row r="41" spans="1:11">
      <c r="A41" s="61">
        <v>38</v>
      </c>
      <c r="B41" s="203" t="s">
        <v>3795</v>
      </c>
      <c r="C41" s="61" t="s">
        <v>4467</v>
      </c>
      <c r="D41" s="61" t="s">
        <v>24</v>
      </c>
      <c r="E41" s="209">
        <v>3487000</v>
      </c>
      <c r="F41" s="212">
        <f t="shared" si="0"/>
        <v>3382390</v>
      </c>
      <c r="G41" s="206">
        <f t="shared" si="1"/>
        <v>3277780</v>
      </c>
      <c r="H41" s="61">
        <v>1212.77</v>
      </c>
      <c r="I41" s="61">
        <v>891.36</v>
      </c>
      <c r="J41" s="61">
        <v>321.41000000000003</v>
      </c>
      <c r="K41" s="61" t="s">
        <v>3759</v>
      </c>
    </row>
    <row r="42" spans="1:11">
      <c r="A42" s="61">
        <v>39</v>
      </c>
      <c r="B42" s="203" t="s">
        <v>3796</v>
      </c>
      <c r="C42" s="61" t="s">
        <v>4467</v>
      </c>
      <c r="D42" s="61" t="s">
        <v>24</v>
      </c>
      <c r="E42" s="209">
        <v>3487000</v>
      </c>
      <c r="F42" s="212">
        <f t="shared" si="0"/>
        <v>3382390</v>
      </c>
      <c r="G42" s="206">
        <f t="shared" si="1"/>
        <v>3277780</v>
      </c>
      <c r="H42" s="61">
        <v>1212.77</v>
      </c>
      <c r="I42" s="61">
        <v>891.36</v>
      </c>
      <c r="J42" s="61">
        <v>321.41000000000003</v>
      </c>
      <c r="K42" s="61" t="s">
        <v>3759</v>
      </c>
    </row>
    <row r="43" spans="1:11">
      <c r="A43" s="61">
        <v>40</v>
      </c>
      <c r="B43" s="203" t="s">
        <v>3797</v>
      </c>
      <c r="C43" s="61" t="s">
        <v>4466</v>
      </c>
      <c r="D43" s="61" t="s">
        <v>24</v>
      </c>
      <c r="E43" s="209">
        <v>3486000</v>
      </c>
      <c r="F43" s="212">
        <f t="shared" si="0"/>
        <v>3381420</v>
      </c>
      <c r="G43" s="206">
        <f t="shared" si="1"/>
        <v>3276840</v>
      </c>
      <c r="H43" s="61">
        <v>1212.6600000000001</v>
      </c>
      <c r="I43" s="61">
        <v>891.36</v>
      </c>
      <c r="J43" s="61">
        <v>321.3</v>
      </c>
      <c r="K43" s="61" t="s">
        <v>4248</v>
      </c>
    </row>
    <row r="44" spans="1:11">
      <c r="A44" s="61">
        <v>41</v>
      </c>
      <c r="B44" s="203" t="s">
        <v>3798</v>
      </c>
      <c r="C44" s="61" t="s">
        <v>4466</v>
      </c>
      <c r="D44" s="61" t="s">
        <v>24</v>
      </c>
      <c r="E44" s="209">
        <v>3479000</v>
      </c>
      <c r="F44" s="212">
        <f t="shared" si="0"/>
        <v>3374630</v>
      </c>
      <c r="G44" s="206">
        <f t="shared" si="1"/>
        <v>3270260</v>
      </c>
      <c r="H44" s="61">
        <v>1212.77</v>
      </c>
      <c r="I44" s="61">
        <v>891.36</v>
      </c>
      <c r="J44" s="61">
        <v>321.41000000000003</v>
      </c>
      <c r="K44" s="61" t="s">
        <v>3759</v>
      </c>
    </row>
    <row r="45" spans="1:11">
      <c r="A45" s="61">
        <v>42</v>
      </c>
      <c r="B45" s="203" t="s">
        <v>3799</v>
      </c>
      <c r="C45" s="61" t="s">
        <v>4466</v>
      </c>
      <c r="D45" s="61" t="s">
        <v>24</v>
      </c>
      <c r="E45" s="209">
        <v>3479000</v>
      </c>
      <c r="F45" s="212">
        <f t="shared" si="0"/>
        <v>3374630</v>
      </c>
      <c r="G45" s="206">
        <f t="shared" si="1"/>
        <v>3270260</v>
      </c>
      <c r="H45" s="61">
        <v>1212.77</v>
      </c>
      <c r="I45" s="61">
        <v>891.36</v>
      </c>
      <c r="J45" s="61">
        <v>321.41000000000003</v>
      </c>
      <c r="K45" s="61" t="s">
        <v>3759</v>
      </c>
    </row>
    <row r="46" spans="1:11">
      <c r="A46" s="61">
        <v>43</v>
      </c>
      <c r="B46" s="203" t="s">
        <v>3800</v>
      </c>
      <c r="C46" s="61" t="s">
        <v>4467</v>
      </c>
      <c r="D46" s="61" t="s">
        <v>24</v>
      </c>
      <c r="E46" s="209">
        <v>3469000</v>
      </c>
      <c r="F46" s="212">
        <f t="shared" si="0"/>
        <v>3364930</v>
      </c>
      <c r="G46" s="206">
        <f t="shared" si="1"/>
        <v>3260860</v>
      </c>
      <c r="H46" s="61">
        <v>1212.77</v>
      </c>
      <c r="I46" s="61">
        <v>891.36</v>
      </c>
      <c r="J46" s="61">
        <v>321.41000000000003</v>
      </c>
      <c r="K46" s="61" t="s">
        <v>4248</v>
      </c>
    </row>
    <row r="47" spans="1:11">
      <c r="A47" s="61">
        <v>44</v>
      </c>
      <c r="B47" s="203" t="s">
        <v>3801</v>
      </c>
      <c r="C47" s="61" t="s">
        <v>4465</v>
      </c>
      <c r="D47" s="61" t="s">
        <v>24</v>
      </c>
      <c r="E47" s="209">
        <v>3472000</v>
      </c>
      <c r="F47" s="212">
        <f t="shared" si="0"/>
        <v>3367840</v>
      </c>
      <c r="G47" s="206">
        <f t="shared" si="1"/>
        <v>3263680</v>
      </c>
      <c r="H47" s="61">
        <v>1212.77</v>
      </c>
      <c r="I47" s="61">
        <v>891.36</v>
      </c>
      <c r="J47" s="61">
        <v>321.41000000000003</v>
      </c>
      <c r="K47" s="61" t="s">
        <v>3759</v>
      </c>
    </row>
    <row r="48" spans="1:11">
      <c r="A48" s="61">
        <v>45</v>
      </c>
      <c r="B48" s="203" t="s">
        <v>3802</v>
      </c>
      <c r="C48" s="61" t="s">
        <v>4465</v>
      </c>
      <c r="D48" s="61" t="s">
        <v>24</v>
      </c>
      <c r="E48" s="209">
        <v>3472000</v>
      </c>
      <c r="F48" s="212">
        <f t="shared" si="0"/>
        <v>3367840</v>
      </c>
      <c r="G48" s="206">
        <f t="shared" si="1"/>
        <v>3263680</v>
      </c>
      <c r="H48" s="61">
        <v>1212.77</v>
      </c>
      <c r="I48" s="61">
        <v>891.36</v>
      </c>
      <c r="J48" s="61">
        <v>321.41000000000003</v>
      </c>
      <c r="K48" s="61" t="s">
        <v>3759</v>
      </c>
    </row>
    <row r="49" spans="1:11">
      <c r="A49" s="61">
        <v>46</v>
      </c>
      <c r="B49" s="203" t="s">
        <v>3803</v>
      </c>
      <c r="C49" s="61" t="s">
        <v>4466</v>
      </c>
      <c r="D49" s="61" t="s">
        <v>24</v>
      </c>
      <c r="E49" s="209">
        <v>3461000</v>
      </c>
      <c r="F49" s="212">
        <f t="shared" si="0"/>
        <v>3357170</v>
      </c>
      <c r="G49" s="206">
        <f t="shared" si="1"/>
        <v>3253340</v>
      </c>
      <c r="H49" s="61">
        <v>1212.77</v>
      </c>
      <c r="I49" s="61">
        <v>891.36</v>
      </c>
      <c r="J49" s="61">
        <v>321.41000000000003</v>
      </c>
      <c r="K49" s="61" t="s">
        <v>4248</v>
      </c>
    </row>
    <row r="50" spans="1:11">
      <c r="A50" s="61">
        <v>47</v>
      </c>
      <c r="B50" s="203" t="s">
        <v>3804</v>
      </c>
      <c r="C50" s="61" t="s">
        <v>4464</v>
      </c>
      <c r="D50" s="61" t="s">
        <v>24</v>
      </c>
      <c r="E50" s="209">
        <v>3465000</v>
      </c>
      <c r="F50" s="212">
        <f t="shared" si="0"/>
        <v>3361050</v>
      </c>
      <c r="G50" s="206">
        <f t="shared" si="1"/>
        <v>3257100</v>
      </c>
      <c r="H50" s="61">
        <v>1212.77</v>
      </c>
      <c r="I50" s="61">
        <v>891.36</v>
      </c>
      <c r="J50" s="61">
        <v>321.41000000000003</v>
      </c>
      <c r="K50" s="61" t="s">
        <v>3759</v>
      </c>
    </row>
    <row r="51" spans="1:11">
      <c r="A51" s="61">
        <v>48</v>
      </c>
      <c r="B51" s="203" t="s">
        <v>3805</v>
      </c>
      <c r="C51" s="61" t="s">
        <v>4464</v>
      </c>
      <c r="D51" s="61" t="s">
        <v>24</v>
      </c>
      <c r="E51" s="209">
        <v>3465000</v>
      </c>
      <c r="F51" s="212">
        <f t="shared" si="0"/>
        <v>3361050</v>
      </c>
      <c r="G51" s="206">
        <f t="shared" si="1"/>
        <v>3257100</v>
      </c>
      <c r="H51" s="61">
        <v>1212.77</v>
      </c>
      <c r="I51" s="61">
        <v>891.36</v>
      </c>
      <c r="J51" s="61">
        <v>321.41000000000003</v>
      </c>
      <c r="K51" s="61" t="s">
        <v>3759</v>
      </c>
    </row>
    <row r="52" spans="1:11">
      <c r="A52" s="61">
        <v>49</v>
      </c>
      <c r="B52" s="203" t="s">
        <v>3806</v>
      </c>
      <c r="C52" s="61" t="s">
        <v>4465</v>
      </c>
      <c r="D52" s="61" t="s">
        <v>24</v>
      </c>
      <c r="E52" s="209">
        <v>3454000</v>
      </c>
      <c r="F52" s="212">
        <f t="shared" si="0"/>
        <v>3350380</v>
      </c>
      <c r="G52" s="206">
        <f t="shared" si="1"/>
        <v>3246760</v>
      </c>
      <c r="H52" s="61">
        <v>1212.77</v>
      </c>
      <c r="I52" s="61">
        <v>891.36</v>
      </c>
      <c r="J52" s="61">
        <v>321.41000000000003</v>
      </c>
      <c r="K52" s="61" t="s">
        <v>4248</v>
      </c>
    </row>
    <row r="53" spans="1:11">
      <c r="A53" s="61">
        <v>50</v>
      </c>
      <c r="B53" s="203" t="s">
        <v>3807</v>
      </c>
      <c r="C53" s="61" t="s">
        <v>4464</v>
      </c>
      <c r="D53" s="61" t="s">
        <v>24</v>
      </c>
      <c r="E53" s="209">
        <v>3450000</v>
      </c>
      <c r="F53" s="212">
        <f t="shared" si="0"/>
        <v>3346500</v>
      </c>
      <c r="G53" s="206">
        <f t="shared" si="1"/>
        <v>3243000</v>
      </c>
      <c r="H53" s="61">
        <v>1212.77</v>
      </c>
      <c r="I53" s="61">
        <v>891.36</v>
      </c>
      <c r="J53" s="61">
        <v>321.41000000000003</v>
      </c>
      <c r="K53" s="61" t="s">
        <v>4248</v>
      </c>
    </row>
    <row r="54" spans="1:11">
      <c r="A54" s="61">
        <v>51</v>
      </c>
      <c r="B54" s="203" t="s">
        <v>3808</v>
      </c>
      <c r="C54" s="61" t="s">
        <v>4462</v>
      </c>
      <c r="D54" s="61" t="s">
        <v>24</v>
      </c>
      <c r="E54" s="209">
        <v>3336000</v>
      </c>
      <c r="F54" s="212">
        <f t="shared" si="0"/>
        <v>3235920</v>
      </c>
      <c r="G54" s="206">
        <f t="shared" si="1"/>
        <v>3135840</v>
      </c>
      <c r="H54" s="61">
        <v>992</v>
      </c>
      <c r="I54" s="61">
        <v>762.3</v>
      </c>
      <c r="J54" s="61">
        <v>229.7</v>
      </c>
      <c r="K54" s="61" t="s">
        <v>2780</v>
      </c>
    </row>
    <row r="55" spans="1:11">
      <c r="A55" s="61">
        <v>52</v>
      </c>
      <c r="B55" s="203" t="s">
        <v>3809</v>
      </c>
      <c r="C55" s="61" t="s">
        <v>4495</v>
      </c>
      <c r="D55" s="61" t="s">
        <v>24</v>
      </c>
      <c r="E55" s="209">
        <v>3330000</v>
      </c>
      <c r="F55" s="212">
        <f t="shared" si="0"/>
        <v>3230100</v>
      </c>
      <c r="G55" s="206">
        <f t="shared" si="1"/>
        <v>3130200</v>
      </c>
      <c r="H55" s="61">
        <v>992</v>
      </c>
      <c r="I55" s="61">
        <v>762.3</v>
      </c>
      <c r="J55" s="61">
        <v>229.7</v>
      </c>
      <c r="K55" s="61" t="s">
        <v>2780</v>
      </c>
    </row>
    <row r="56" spans="1:11">
      <c r="A56" s="61">
        <v>53</v>
      </c>
      <c r="B56" s="203" t="s">
        <v>3810</v>
      </c>
      <c r="C56" s="61" t="s">
        <v>4463</v>
      </c>
      <c r="D56" s="61" t="s">
        <v>24</v>
      </c>
      <c r="E56" s="209">
        <v>3311000</v>
      </c>
      <c r="F56" s="212">
        <f t="shared" si="0"/>
        <v>3211670</v>
      </c>
      <c r="G56" s="206">
        <f t="shared" si="1"/>
        <v>3112340</v>
      </c>
      <c r="H56" s="61">
        <v>992</v>
      </c>
      <c r="I56" s="61">
        <v>762.3</v>
      </c>
      <c r="J56" s="61">
        <v>229.7</v>
      </c>
      <c r="K56" s="61" t="s">
        <v>4249</v>
      </c>
    </row>
    <row r="57" spans="1:11">
      <c r="A57" s="61">
        <v>54</v>
      </c>
      <c r="B57" s="203" t="s">
        <v>3811</v>
      </c>
      <c r="C57" s="61" t="s">
        <v>4462</v>
      </c>
      <c r="D57" s="61" t="s">
        <v>24</v>
      </c>
      <c r="E57" s="209">
        <v>3305000</v>
      </c>
      <c r="F57" s="212">
        <f t="shared" si="0"/>
        <v>3205850</v>
      </c>
      <c r="G57" s="206">
        <f t="shared" si="1"/>
        <v>3106700</v>
      </c>
      <c r="H57" s="61">
        <v>992</v>
      </c>
      <c r="I57" s="61">
        <v>762.3</v>
      </c>
      <c r="J57" s="61">
        <v>229.7</v>
      </c>
      <c r="K57" s="61" t="s">
        <v>4249</v>
      </c>
    </row>
    <row r="58" spans="1:11">
      <c r="A58" s="61">
        <v>55</v>
      </c>
      <c r="B58" s="203" t="s">
        <v>3812</v>
      </c>
      <c r="C58" s="61" t="s">
        <v>4462</v>
      </c>
      <c r="D58" s="61" t="s">
        <v>24</v>
      </c>
      <c r="E58" s="209">
        <v>3305000</v>
      </c>
      <c r="F58" s="212">
        <f t="shared" si="0"/>
        <v>3205850</v>
      </c>
      <c r="G58" s="206">
        <f t="shared" si="1"/>
        <v>3106700</v>
      </c>
      <c r="H58" s="61">
        <v>992</v>
      </c>
      <c r="I58" s="61">
        <v>762.3</v>
      </c>
      <c r="J58" s="61">
        <v>229.7</v>
      </c>
      <c r="K58" s="61" t="s">
        <v>4249</v>
      </c>
    </row>
    <row r="59" spans="1:11">
      <c r="A59" s="61">
        <v>56</v>
      </c>
      <c r="B59" s="203" t="s">
        <v>3813</v>
      </c>
      <c r="C59" s="61" t="s">
        <v>33</v>
      </c>
      <c r="D59" s="61" t="s">
        <v>24</v>
      </c>
      <c r="E59" s="209">
        <v>3317000</v>
      </c>
      <c r="F59" s="212">
        <f t="shared" si="0"/>
        <v>3217490</v>
      </c>
      <c r="G59" s="206">
        <f t="shared" si="1"/>
        <v>3117980</v>
      </c>
      <c r="H59" s="61">
        <v>992</v>
      </c>
      <c r="I59" s="61">
        <v>762.3</v>
      </c>
      <c r="J59" s="61">
        <v>229.7</v>
      </c>
      <c r="K59" s="61" t="s">
        <v>2780</v>
      </c>
    </row>
    <row r="60" spans="1:11">
      <c r="A60" s="61">
        <v>57</v>
      </c>
      <c r="B60" s="203" t="s">
        <v>3814</v>
      </c>
      <c r="C60" s="61" t="s">
        <v>4495</v>
      </c>
      <c r="D60" s="61" t="s">
        <v>24</v>
      </c>
      <c r="E60" s="209">
        <v>3299000</v>
      </c>
      <c r="F60" s="212">
        <f t="shared" si="0"/>
        <v>3200030</v>
      </c>
      <c r="G60" s="206">
        <f t="shared" si="1"/>
        <v>3101060</v>
      </c>
      <c r="H60" s="61">
        <v>992</v>
      </c>
      <c r="I60" s="61">
        <v>762.3</v>
      </c>
      <c r="J60" s="61">
        <v>229.7</v>
      </c>
      <c r="K60" s="61" t="s">
        <v>4249</v>
      </c>
    </row>
    <row r="61" spans="1:11">
      <c r="A61" s="61">
        <v>58</v>
      </c>
      <c r="B61" s="203" t="s">
        <v>3815</v>
      </c>
      <c r="C61" s="61" t="s">
        <v>4495</v>
      </c>
      <c r="D61" s="61" t="s">
        <v>24</v>
      </c>
      <c r="E61" s="209">
        <v>3299000</v>
      </c>
      <c r="F61" s="212">
        <f t="shared" si="0"/>
        <v>3200030</v>
      </c>
      <c r="G61" s="206">
        <f t="shared" si="1"/>
        <v>3101060</v>
      </c>
      <c r="H61" s="61">
        <v>992</v>
      </c>
      <c r="I61" s="61">
        <v>762.3</v>
      </c>
      <c r="J61" s="61">
        <v>229.7</v>
      </c>
      <c r="K61" s="61" t="s">
        <v>4249</v>
      </c>
    </row>
    <row r="62" spans="1:11">
      <c r="A62" s="61">
        <v>59</v>
      </c>
      <c r="B62" s="203" t="s">
        <v>3816</v>
      </c>
      <c r="C62" s="61" t="s">
        <v>34</v>
      </c>
      <c r="D62" s="61" t="s">
        <v>24</v>
      </c>
      <c r="E62" s="209">
        <v>3311000</v>
      </c>
      <c r="F62" s="212">
        <f t="shared" si="0"/>
        <v>3211670</v>
      </c>
      <c r="G62" s="206">
        <f t="shared" si="1"/>
        <v>3112340</v>
      </c>
      <c r="H62" s="61">
        <v>992</v>
      </c>
      <c r="I62" s="61">
        <v>762.3</v>
      </c>
      <c r="J62" s="61">
        <v>229.7</v>
      </c>
      <c r="K62" s="61" t="s">
        <v>2780</v>
      </c>
    </row>
    <row r="63" spans="1:11">
      <c r="A63" s="61">
        <v>60</v>
      </c>
      <c r="B63" s="203" t="s">
        <v>3817</v>
      </c>
      <c r="C63" s="61" t="s">
        <v>4494</v>
      </c>
      <c r="D63" s="61" t="s">
        <v>24</v>
      </c>
      <c r="E63" s="209">
        <v>3292000</v>
      </c>
      <c r="F63" s="212">
        <f t="shared" si="0"/>
        <v>3193240</v>
      </c>
      <c r="G63" s="206">
        <f t="shared" si="1"/>
        <v>3094480</v>
      </c>
      <c r="H63" s="61">
        <v>992</v>
      </c>
      <c r="I63" s="61">
        <v>762.3</v>
      </c>
      <c r="J63" s="61">
        <v>229.7</v>
      </c>
      <c r="K63" s="61" t="s">
        <v>4249</v>
      </c>
    </row>
    <row r="64" spans="1:11">
      <c r="A64" s="61">
        <v>61</v>
      </c>
      <c r="B64" s="203" t="s">
        <v>3818</v>
      </c>
      <c r="C64" s="61" t="s">
        <v>4494</v>
      </c>
      <c r="D64" s="61" t="s">
        <v>24</v>
      </c>
      <c r="E64" s="209">
        <v>3292000</v>
      </c>
      <c r="F64" s="212">
        <f t="shared" si="0"/>
        <v>3193240</v>
      </c>
      <c r="G64" s="206">
        <f t="shared" si="1"/>
        <v>3094480</v>
      </c>
      <c r="H64" s="61">
        <v>992</v>
      </c>
      <c r="I64" s="61">
        <v>762.3</v>
      </c>
      <c r="J64" s="61">
        <v>229.7</v>
      </c>
      <c r="K64" s="61" t="s">
        <v>4249</v>
      </c>
    </row>
    <row r="65" spans="1:11">
      <c r="A65" s="61">
        <v>62</v>
      </c>
      <c r="B65" s="203" t="s">
        <v>3819</v>
      </c>
      <c r="C65" s="61" t="s">
        <v>4461</v>
      </c>
      <c r="D65" s="61" t="s">
        <v>24</v>
      </c>
      <c r="E65" s="209">
        <v>3305000</v>
      </c>
      <c r="F65" s="212">
        <f t="shared" si="0"/>
        <v>3205850</v>
      </c>
      <c r="G65" s="206">
        <f t="shared" si="1"/>
        <v>3106700</v>
      </c>
      <c r="H65" s="61">
        <v>992</v>
      </c>
      <c r="I65" s="61">
        <v>762.3</v>
      </c>
      <c r="J65" s="61">
        <v>229.7</v>
      </c>
      <c r="K65" s="61" t="s">
        <v>2780</v>
      </c>
    </row>
    <row r="66" spans="1:11">
      <c r="A66" s="61">
        <v>63</v>
      </c>
      <c r="B66" s="203" t="s">
        <v>3820</v>
      </c>
      <c r="C66" s="61" t="s">
        <v>33</v>
      </c>
      <c r="D66" s="61" t="s">
        <v>24</v>
      </c>
      <c r="E66" s="209">
        <v>3286000</v>
      </c>
      <c r="F66" s="212">
        <f t="shared" si="0"/>
        <v>3187420</v>
      </c>
      <c r="G66" s="206">
        <f t="shared" si="1"/>
        <v>3088840</v>
      </c>
      <c r="H66" s="61">
        <v>992</v>
      </c>
      <c r="I66" s="61">
        <v>762.3</v>
      </c>
      <c r="J66" s="61">
        <v>229.7</v>
      </c>
      <c r="K66" s="61" t="s">
        <v>4249</v>
      </c>
    </row>
    <row r="67" spans="1:11">
      <c r="A67" s="61">
        <v>64</v>
      </c>
      <c r="B67" s="203" t="s">
        <v>3821</v>
      </c>
      <c r="C67" s="61" t="s">
        <v>33</v>
      </c>
      <c r="D67" s="61" t="s">
        <v>24</v>
      </c>
      <c r="E67" s="209">
        <v>3286000</v>
      </c>
      <c r="F67" s="212">
        <f t="shared" si="0"/>
        <v>3187420</v>
      </c>
      <c r="G67" s="206">
        <f t="shared" si="1"/>
        <v>3088840</v>
      </c>
      <c r="H67" s="61">
        <v>992</v>
      </c>
      <c r="I67" s="61">
        <v>762.3</v>
      </c>
      <c r="J67" s="61">
        <v>229.7</v>
      </c>
      <c r="K67" s="61" t="s">
        <v>4249</v>
      </c>
    </row>
    <row r="68" spans="1:11">
      <c r="A68" s="61">
        <v>65</v>
      </c>
      <c r="B68" s="203" t="s">
        <v>3822</v>
      </c>
      <c r="C68" s="61" t="s">
        <v>4460</v>
      </c>
      <c r="D68" s="61" t="s">
        <v>24</v>
      </c>
      <c r="E68" s="209">
        <v>3299000</v>
      </c>
      <c r="F68" s="212">
        <f t="shared" si="0"/>
        <v>3200030</v>
      </c>
      <c r="G68" s="206">
        <f t="shared" si="1"/>
        <v>3101060</v>
      </c>
      <c r="H68" s="61">
        <v>992</v>
      </c>
      <c r="I68" s="61">
        <v>762.3</v>
      </c>
      <c r="J68" s="61">
        <v>229.7</v>
      </c>
      <c r="K68" s="61" t="s">
        <v>2780</v>
      </c>
    </row>
    <row r="69" spans="1:11">
      <c r="A69" s="61">
        <v>66</v>
      </c>
      <c r="B69" s="203" t="s">
        <v>3823</v>
      </c>
      <c r="C69" s="61" t="s">
        <v>34</v>
      </c>
      <c r="D69" s="61" t="s">
        <v>24</v>
      </c>
      <c r="E69" s="209">
        <v>3280000</v>
      </c>
      <c r="F69" s="212">
        <f t="shared" ref="F69:F132" si="2">E69*0.97</f>
        <v>3181600</v>
      </c>
      <c r="G69" s="206">
        <f t="shared" ref="G69:G132" si="3">E69*0.94</f>
        <v>3083200</v>
      </c>
      <c r="H69" s="61">
        <v>992</v>
      </c>
      <c r="I69" s="61">
        <v>762.3</v>
      </c>
      <c r="J69" s="61">
        <v>229.7</v>
      </c>
      <c r="K69" s="61" t="s">
        <v>4249</v>
      </c>
    </row>
    <row r="70" spans="1:11">
      <c r="A70" s="61">
        <v>67</v>
      </c>
      <c r="B70" s="203" t="s">
        <v>3824</v>
      </c>
      <c r="C70" s="61" t="s">
        <v>34</v>
      </c>
      <c r="D70" s="61" t="s">
        <v>24</v>
      </c>
      <c r="E70" s="209">
        <v>3280000</v>
      </c>
      <c r="F70" s="212">
        <f t="shared" si="2"/>
        <v>3181600</v>
      </c>
      <c r="G70" s="206">
        <f t="shared" si="3"/>
        <v>3083200</v>
      </c>
      <c r="H70" s="61">
        <v>992</v>
      </c>
      <c r="I70" s="61">
        <v>762.3</v>
      </c>
      <c r="J70" s="61">
        <v>229.7</v>
      </c>
      <c r="K70" s="61" t="s">
        <v>4249</v>
      </c>
    </row>
    <row r="71" spans="1:11">
      <c r="A71" s="61">
        <v>68</v>
      </c>
      <c r="B71" s="203" t="s">
        <v>3825</v>
      </c>
      <c r="C71" s="61" t="s">
        <v>4461</v>
      </c>
      <c r="D71" s="61" t="s">
        <v>24</v>
      </c>
      <c r="E71" s="209">
        <v>3274000</v>
      </c>
      <c r="F71" s="212">
        <f t="shared" si="2"/>
        <v>3175780</v>
      </c>
      <c r="G71" s="206">
        <f t="shared" si="3"/>
        <v>3077560</v>
      </c>
      <c r="H71" s="61">
        <v>992</v>
      </c>
      <c r="I71" s="61">
        <v>762.3</v>
      </c>
      <c r="J71" s="61">
        <v>229.7</v>
      </c>
      <c r="K71" s="61" t="s">
        <v>4249</v>
      </c>
    </row>
    <row r="72" spans="1:11">
      <c r="A72" s="61">
        <v>69</v>
      </c>
      <c r="B72" s="203" t="s">
        <v>3826</v>
      </c>
      <c r="C72" s="61" t="s">
        <v>4461</v>
      </c>
      <c r="D72" s="61" t="s">
        <v>24</v>
      </c>
      <c r="E72" s="209">
        <v>3274000</v>
      </c>
      <c r="F72" s="212">
        <f t="shared" si="2"/>
        <v>3175780</v>
      </c>
      <c r="G72" s="206">
        <f t="shared" si="3"/>
        <v>3077560</v>
      </c>
      <c r="H72" s="61">
        <v>992</v>
      </c>
      <c r="I72" s="61">
        <v>762.3</v>
      </c>
      <c r="J72" s="61">
        <v>229.7</v>
      </c>
      <c r="K72" s="61" t="s">
        <v>4249</v>
      </c>
    </row>
    <row r="73" spans="1:11">
      <c r="A73" s="61">
        <v>70</v>
      </c>
      <c r="B73" s="203" t="s">
        <v>3827</v>
      </c>
      <c r="C73" s="61" t="s">
        <v>12</v>
      </c>
      <c r="D73" s="61" t="s">
        <v>24</v>
      </c>
      <c r="E73" s="209">
        <v>3286000</v>
      </c>
      <c r="F73" s="212">
        <f t="shared" si="2"/>
        <v>3187420</v>
      </c>
      <c r="G73" s="206">
        <f t="shared" si="3"/>
        <v>3088840</v>
      </c>
      <c r="H73" s="61">
        <v>992</v>
      </c>
      <c r="I73" s="61">
        <v>762.3</v>
      </c>
      <c r="J73" s="61">
        <v>229.7</v>
      </c>
      <c r="K73" s="61" t="s">
        <v>2780</v>
      </c>
    </row>
    <row r="74" spans="1:11">
      <c r="A74" s="61">
        <v>71</v>
      </c>
      <c r="B74" s="203" t="s">
        <v>3828</v>
      </c>
      <c r="C74" s="61" t="s">
        <v>4460</v>
      </c>
      <c r="D74" s="61" t="s">
        <v>24</v>
      </c>
      <c r="E74" s="209">
        <v>3267000</v>
      </c>
      <c r="F74" s="212">
        <f t="shared" si="2"/>
        <v>3168990</v>
      </c>
      <c r="G74" s="206">
        <f t="shared" si="3"/>
        <v>3070980</v>
      </c>
      <c r="H74" s="61">
        <v>992</v>
      </c>
      <c r="I74" s="61">
        <v>762.3</v>
      </c>
      <c r="J74" s="61">
        <v>229.7</v>
      </c>
      <c r="K74" s="61" t="s">
        <v>4249</v>
      </c>
    </row>
    <row r="75" spans="1:11">
      <c r="A75" s="61">
        <v>72</v>
      </c>
      <c r="B75" s="203" t="s">
        <v>3829</v>
      </c>
      <c r="C75" s="61" t="s">
        <v>4460</v>
      </c>
      <c r="D75" s="61" t="s">
        <v>24</v>
      </c>
      <c r="E75" s="209">
        <v>3267000</v>
      </c>
      <c r="F75" s="212">
        <f t="shared" si="2"/>
        <v>3168990</v>
      </c>
      <c r="G75" s="206">
        <f t="shared" si="3"/>
        <v>3070980</v>
      </c>
      <c r="H75" s="61">
        <v>992</v>
      </c>
      <c r="I75" s="61">
        <v>762.3</v>
      </c>
      <c r="J75" s="61">
        <v>229.7</v>
      </c>
      <c r="K75" s="61" t="s">
        <v>4249</v>
      </c>
    </row>
    <row r="76" spans="1:11">
      <c r="A76" s="61">
        <v>73</v>
      </c>
      <c r="B76" s="203" t="s">
        <v>3830</v>
      </c>
      <c r="C76" s="61" t="s">
        <v>32</v>
      </c>
      <c r="D76" s="61" t="s">
        <v>24</v>
      </c>
      <c r="E76" s="209">
        <v>3280000</v>
      </c>
      <c r="F76" s="212">
        <f t="shared" si="2"/>
        <v>3181600</v>
      </c>
      <c r="G76" s="206">
        <f t="shared" si="3"/>
        <v>3083200</v>
      </c>
      <c r="H76" s="61">
        <v>992</v>
      </c>
      <c r="I76" s="61">
        <v>762.3</v>
      </c>
      <c r="J76" s="61">
        <v>229.7</v>
      </c>
      <c r="K76" s="61" t="s">
        <v>2780</v>
      </c>
    </row>
    <row r="77" spans="1:11">
      <c r="A77" s="61">
        <v>74</v>
      </c>
      <c r="B77" s="203" t="s">
        <v>3831</v>
      </c>
      <c r="C77" s="61" t="s">
        <v>32</v>
      </c>
      <c r="D77" s="61" t="s">
        <v>24</v>
      </c>
      <c r="E77" s="209">
        <v>3280000</v>
      </c>
      <c r="F77" s="212">
        <f t="shared" si="2"/>
        <v>3181600</v>
      </c>
      <c r="G77" s="206">
        <f t="shared" si="3"/>
        <v>3083200</v>
      </c>
      <c r="H77" s="61">
        <v>992</v>
      </c>
      <c r="I77" s="61">
        <v>762.3</v>
      </c>
      <c r="J77" s="61">
        <v>229.7</v>
      </c>
      <c r="K77" s="61" t="s">
        <v>2780</v>
      </c>
    </row>
    <row r="78" spans="1:11">
      <c r="A78" s="61">
        <v>75</v>
      </c>
      <c r="B78" s="203" t="s">
        <v>3832</v>
      </c>
      <c r="C78" s="61" t="s">
        <v>12</v>
      </c>
      <c r="D78" s="61" t="s">
        <v>24</v>
      </c>
      <c r="E78" s="209">
        <v>3255000</v>
      </c>
      <c r="F78" s="212">
        <f t="shared" si="2"/>
        <v>3157350</v>
      </c>
      <c r="G78" s="206">
        <f t="shared" si="3"/>
        <v>3059700</v>
      </c>
      <c r="H78" s="61">
        <v>992</v>
      </c>
      <c r="I78" s="61">
        <v>762.3</v>
      </c>
      <c r="J78" s="61">
        <v>229.7</v>
      </c>
      <c r="K78" s="61" t="s">
        <v>4249</v>
      </c>
    </row>
    <row r="79" spans="1:11">
      <c r="A79" s="61">
        <v>76</v>
      </c>
      <c r="B79" s="203" t="s">
        <v>3833</v>
      </c>
      <c r="C79" s="61" t="s">
        <v>12</v>
      </c>
      <c r="D79" s="61" t="s">
        <v>24</v>
      </c>
      <c r="E79" s="209">
        <v>3255000</v>
      </c>
      <c r="F79" s="212">
        <f t="shared" si="2"/>
        <v>3157350</v>
      </c>
      <c r="G79" s="206">
        <f t="shared" si="3"/>
        <v>3059700</v>
      </c>
      <c r="H79" s="61">
        <v>992</v>
      </c>
      <c r="I79" s="61">
        <v>762.3</v>
      </c>
      <c r="J79" s="61">
        <v>229.7</v>
      </c>
      <c r="K79" s="61" t="s">
        <v>4249</v>
      </c>
    </row>
    <row r="80" spans="1:11">
      <c r="A80" s="61">
        <v>77</v>
      </c>
      <c r="B80" s="203" t="s">
        <v>3834</v>
      </c>
      <c r="C80" s="61" t="s">
        <v>32</v>
      </c>
      <c r="D80" s="61" t="s">
        <v>24</v>
      </c>
      <c r="E80" s="209">
        <v>3248000</v>
      </c>
      <c r="F80" s="212">
        <f t="shared" si="2"/>
        <v>3150560</v>
      </c>
      <c r="G80" s="206">
        <f t="shared" si="3"/>
        <v>3053120</v>
      </c>
      <c r="H80" s="61">
        <v>992</v>
      </c>
      <c r="I80" s="61">
        <v>762.3</v>
      </c>
      <c r="J80" s="61">
        <v>229.7</v>
      </c>
      <c r="K80" s="61" t="s">
        <v>4249</v>
      </c>
    </row>
    <row r="81" spans="1:11">
      <c r="A81" s="61">
        <v>78</v>
      </c>
      <c r="B81" s="203" t="s">
        <v>3835</v>
      </c>
      <c r="C81" s="61" t="s">
        <v>32</v>
      </c>
      <c r="D81" s="61" t="s">
        <v>24</v>
      </c>
      <c r="E81" s="209">
        <v>3248000</v>
      </c>
      <c r="F81" s="212">
        <f t="shared" si="2"/>
        <v>3150560</v>
      </c>
      <c r="G81" s="206">
        <f t="shared" si="3"/>
        <v>3053120</v>
      </c>
      <c r="H81" s="61">
        <v>992</v>
      </c>
      <c r="I81" s="61">
        <v>762.3</v>
      </c>
      <c r="J81" s="61">
        <v>229.7</v>
      </c>
      <c r="K81" s="61" t="s">
        <v>4249</v>
      </c>
    </row>
    <row r="82" spans="1:11">
      <c r="A82" s="61">
        <v>79</v>
      </c>
      <c r="B82" s="203" t="s">
        <v>3836</v>
      </c>
      <c r="C82" s="61" t="s">
        <v>4458</v>
      </c>
      <c r="D82" s="61" t="s">
        <v>24</v>
      </c>
      <c r="E82" s="209">
        <v>3255000</v>
      </c>
      <c r="F82" s="212">
        <f t="shared" si="2"/>
        <v>3157350</v>
      </c>
      <c r="G82" s="206">
        <f t="shared" si="3"/>
        <v>3059700</v>
      </c>
      <c r="H82" s="61">
        <v>992</v>
      </c>
      <c r="I82" s="61">
        <v>762.3</v>
      </c>
      <c r="J82" s="61">
        <v>229.7</v>
      </c>
      <c r="K82" s="61" t="s">
        <v>2780</v>
      </c>
    </row>
    <row r="83" spans="1:11">
      <c r="A83" s="61">
        <v>80</v>
      </c>
      <c r="B83" s="203" t="s">
        <v>3837</v>
      </c>
      <c r="C83" s="61" t="s">
        <v>5</v>
      </c>
      <c r="D83" s="61" t="s">
        <v>24</v>
      </c>
      <c r="E83" s="209">
        <v>3236000</v>
      </c>
      <c r="F83" s="212">
        <f t="shared" si="2"/>
        <v>3138920</v>
      </c>
      <c r="G83" s="206">
        <f t="shared" si="3"/>
        <v>3041840</v>
      </c>
      <c r="H83" s="61">
        <v>992</v>
      </c>
      <c r="I83" s="61">
        <v>762.3</v>
      </c>
      <c r="J83" s="61">
        <v>229.7</v>
      </c>
      <c r="K83" s="61" t="s">
        <v>4249</v>
      </c>
    </row>
    <row r="84" spans="1:11">
      <c r="A84" s="61">
        <v>81</v>
      </c>
      <c r="B84" s="203" t="s">
        <v>3838</v>
      </c>
      <c r="C84" s="61" t="s">
        <v>5</v>
      </c>
      <c r="D84" s="61" t="s">
        <v>24</v>
      </c>
      <c r="E84" s="209">
        <v>3236000</v>
      </c>
      <c r="F84" s="212">
        <f t="shared" si="2"/>
        <v>3138920</v>
      </c>
      <c r="G84" s="206">
        <f t="shared" si="3"/>
        <v>3041840</v>
      </c>
      <c r="H84" s="61">
        <v>992</v>
      </c>
      <c r="I84" s="61">
        <v>762.3</v>
      </c>
      <c r="J84" s="61">
        <v>229.7</v>
      </c>
      <c r="K84" s="61" t="s">
        <v>4249</v>
      </c>
    </row>
    <row r="85" spans="1:11">
      <c r="A85" s="61">
        <v>82</v>
      </c>
      <c r="B85" s="203" t="s">
        <v>3839</v>
      </c>
      <c r="C85" s="61" t="s">
        <v>4</v>
      </c>
      <c r="D85" s="61" t="s">
        <v>24</v>
      </c>
      <c r="E85" s="209">
        <v>3230000</v>
      </c>
      <c r="F85" s="212">
        <f t="shared" si="2"/>
        <v>3133100</v>
      </c>
      <c r="G85" s="206">
        <f t="shared" si="3"/>
        <v>3036200</v>
      </c>
      <c r="H85" s="61">
        <v>992</v>
      </c>
      <c r="I85" s="61">
        <v>762.3</v>
      </c>
      <c r="J85" s="61">
        <v>229.7</v>
      </c>
      <c r="K85" s="61" t="s">
        <v>4249</v>
      </c>
    </row>
    <row r="86" spans="1:11">
      <c r="A86" s="61">
        <v>83</v>
      </c>
      <c r="B86" s="203" t="s">
        <v>3840</v>
      </c>
      <c r="C86" s="61" t="s">
        <v>4</v>
      </c>
      <c r="D86" s="61" t="s">
        <v>24</v>
      </c>
      <c r="E86" s="209">
        <v>3230000</v>
      </c>
      <c r="F86" s="212">
        <f t="shared" si="2"/>
        <v>3133100</v>
      </c>
      <c r="G86" s="206">
        <f t="shared" si="3"/>
        <v>3036200</v>
      </c>
      <c r="H86" s="61">
        <v>992</v>
      </c>
      <c r="I86" s="61">
        <v>762.3</v>
      </c>
      <c r="J86" s="61">
        <v>229.7</v>
      </c>
      <c r="K86" s="61" t="s">
        <v>4249</v>
      </c>
    </row>
    <row r="87" spans="1:11">
      <c r="A87" s="61">
        <v>84</v>
      </c>
      <c r="B87" s="203" t="s">
        <v>4622</v>
      </c>
      <c r="C87" s="61" t="s">
        <v>7</v>
      </c>
      <c r="D87" s="61" t="s">
        <v>24</v>
      </c>
      <c r="E87" s="209">
        <v>3242000</v>
      </c>
      <c r="F87" s="212">
        <f t="shared" si="2"/>
        <v>3144740</v>
      </c>
      <c r="G87" s="206">
        <f t="shared" si="3"/>
        <v>3047480</v>
      </c>
      <c r="H87" s="61">
        <v>992</v>
      </c>
      <c r="I87" s="61">
        <v>762.3</v>
      </c>
      <c r="J87" s="61">
        <v>229.7</v>
      </c>
      <c r="K87" s="61" t="s">
        <v>2780</v>
      </c>
    </row>
    <row r="88" spans="1:11">
      <c r="A88" s="61">
        <v>85</v>
      </c>
      <c r="B88" s="203" t="s">
        <v>3841</v>
      </c>
      <c r="C88" s="61" t="s">
        <v>4458</v>
      </c>
      <c r="D88" s="61" t="s">
        <v>24</v>
      </c>
      <c r="E88" s="209">
        <v>3223000</v>
      </c>
      <c r="F88" s="212">
        <f t="shared" si="2"/>
        <v>3126310</v>
      </c>
      <c r="G88" s="206">
        <f t="shared" si="3"/>
        <v>3029620</v>
      </c>
      <c r="H88" s="61">
        <v>992</v>
      </c>
      <c r="I88" s="61">
        <v>762.3</v>
      </c>
      <c r="J88" s="61">
        <v>229.7</v>
      </c>
      <c r="K88" s="61" t="s">
        <v>4249</v>
      </c>
    </row>
    <row r="89" spans="1:11">
      <c r="A89" s="61">
        <v>86</v>
      </c>
      <c r="B89" s="203" t="s">
        <v>3842</v>
      </c>
      <c r="C89" s="61" t="s">
        <v>4458</v>
      </c>
      <c r="D89" s="61" t="s">
        <v>24</v>
      </c>
      <c r="E89" s="209">
        <v>3223000</v>
      </c>
      <c r="F89" s="212">
        <f t="shared" si="2"/>
        <v>3126310</v>
      </c>
      <c r="G89" s="206">
        <f t="shared" si="3"/>
        <v>3029620</v>
      </c>
      <c r="H89" s="61">
        <v>992</v>
      </c>
      <c r="I89" s="61">
        <v>762.3</v>
      </c>
      <c r="J89" s="61">
        <v>229.7</v>
      </c>
      <c r="K89" s="61" t="s">
        <v>4249</v>
      </c>
    </row>
    <row r="90" spans="1:11">
      <c r="A90" s="61">
        <v>87</v>
      </c>
      <c r="B90" s="203" t="s">
        <v>3843</v>
      </c>
      <c r="C90" s="61" t="s">
        <v>6</v>
      </c>
      <c r="D90" s="61" t="s">
        <v>24</v>
      </c>
      <c r="E90" s="209">
        <v>3217000</v>
      </c>
      <c r="F90" s="212">
        <f t="shared" si="2"/>
        <v>3120490</v>
      </c>
      <c r="G90" s="206">
        <f t="shared" si="3"/>
        <v>3023980</v>
      </c>
      <c r="H90" s="61">
        <v>992</v>
      </c>
      <c r="I90" s="61">
        <v>762.3</v>
      </c>
      <c r="J90" s="61">
        <v>229.7</v>
      </c>
      <c r="K90" s="61" t="s">
        <v>4249</v>
      </c>
    </row>
    <row r="91" spans="1:11">
      <c r="A91" s="61">
        <v>88</v>
      </c>
      <c r="B91" s="203" t="s">
        <v>3844</v>
      </c>
      <c r="C91" s="61" t="s">
        <v>6</v>
      </c>
      <c r="D91" s="61" t="s">
        <v>24</v>
      </c>
      <c r="E91" s="209">
        <v>3217000</v>
      </c>
      <c r="F91" s="212">
        <f t="shared" si="2"/>
        <v>3120490</v>
      </c>
      <c r="G91" s="206">
        <f t="shared" si="3"/>
        <v>3023980</v>
      </c>
      <c r="H91" s="61">
        <v>992</v>
      </c>
      <c r="I91" s="61">
        <v>762.3</v>
      </c>
      <c r="J91" s="61">
        <v>229.7</v>
      </c>
      <c r="K91" s="61" t="s">
        <v>4249</v>
      </c>
    </row>
    <row r="92" spans="1:11">
      <c r="A92" s="61">
        <v>89</v>
      </c>
      <c r="B92" s="203" t="s">
        <v>4566</v>
      </c>
      <c r="C92" s="61" t="s">
        <v>7</v>
      </c>
      <c r="D92" s="61" t="s">
        <v>24</v>
      </c>
      <c r="E92" s="209">
        <v>3211000</v>
      </c>
      <c r="F92" s="212">
        <f t="shared" si="2"/>
        <v>3114670</v>
      </c>
      <c r="G92" s="206">
        <f t="shared" si="3"/>
        <v>3018340</v>
      </c>
      <c r="H92" s="61">
        <v>992</v>
      </c>
      <c r="I92" s="61">
        <v>762.3</v>
      </c>
      <c r="J92" s="61">
        <v>229.7</v>
      </c>
      <c r="K92" s="61" t="s">
        <v>4249</v>
      </c>
    </row>
    <row r="93" spans="1:11">
      <c r="A93" s="61">
        <v>90</v>
      </c>
      <c r="B93" s="203" t="s">
        <v>3845</v>
      </c>
      <c r="C93" s="61" t="s">
        <v>7</v>
      </c>
      <c r="D93" s="61" t="s">
        <v>24</v>
      </c>
      <c r="E93" s="209">
        <v>3211000</v>
      </c>
      <c r="F93" s="212">
        <f t="shared" si="2"/>
        <v>3114670</v>
      </c>
      <c r="G93" s="206">
        <f t="shared" si="3"/>
        <v>3018340</v>
      </c>
      <c r="H93" s="61">
        <v>992</v>
      </c>
      <c r="I93" s="61">
        <v>762.3</v>
      </c>
      <c r="J93" s="61">
        <v>229.7</v>
      </c>
      <c r="K93" s="61" t="s">
        <v>4249</v>
      </c>
    </row>
    <row r="94" spans="1:11">
      <c r="A94" s="61">
        <v>91</v>
      </c>
      <c r="B94" s="203" t="s">
        <v>3846</v>
      </c>
      <c r="C94" s="61" t="s">
        <v>8</v>
      </c>
      <c r="D94" s="61" t="s">
        <v>24</v>
      </c>
      <c r="E94" s="209">
        <v>3205000</v>
      </c>
      <c r="F94" s="212">
        <f t="shared" si="2"/>
        <v>3108850</v>
      </c>
      <c r="G94" s="206">
        <f t="shared" si="3"/>
        <v>3012700</v>
      </c>
      <c r="H94" s="61">
        <v>992</v>
      </c>
      <c r="I94" s="61">
        <v>762.3</v>
      </c>
      <c r="J94" s="61">
        <v>229.7</v>
      </c>
      <c r="K94" s="61" t="s">
        <v>4249</v>
      </c>
    </row>
    <row r="95" spans="1:11">
      <c r="A95" s="61">
        <v>92</v>
      </c>
      <c r="B95" s="203" t="s">
        <v>3847</v>
      </c>
      <c r="C95" s="61" t="s">
        <v>8</v>
      </c>
      <c r="D95" s="61" t="s">
        <v>24</v>
      </c>
      <c r="E95" s="209">
        <v>3205000</v>
      </c>
      <c r="F95" s="212">
        <f t="shared" si="2"/>
        <v>3108850</v>
      </c>
      <c r="G95" s="206">
        <f t="shared" si="3"/>
        <v>3012700</v>
      </c>
      <c r="H95" s="61">
        <v>992</v>
      </c>
      <c r="I95" s="61">
        <v>762.3</v>
      </c>
      <c r="J95" s="61">
        <v>229.7</v>
      </c>
      <c r="K95" s="61" t="s">
        <v>4249</v>
      </c>
    </row>
    <row r="96" spans="1:11">
      <c r="A96" s="61">
        <v>93</v>
      </c>
      <c r="B96" s="203" t="s">
        <v>3848</v>
      </c>
      <c r="C96" s="61" t="s">
        <v>9</v>
      </c>
      <c r="D96" s="61" t="s">
        <v>24</v>
      </c>
      <c r="E96" s="209">
        <v>3200000</v>
      </c>
      <c r="F96" s="212">
        <f t="shared" si="2"/>
        <v>3104000</v>
      </c>
      <c r="G96" s="206">
        <f t="shared" si="3"/>
        <v>3008000</v>
      </c>
      <c r="H96" s="61">
        <v>992</v>
      </c>
      <c r="I96" s="61">
        <v>762.3</v>
      </c>
      <c r="J96" s="61">
        <v>229.7</v>
      </c>
      <c r="K96" s="61" t="s">
        <v>4249</v>
      </c>
    </row>
    <row r="97" spans="1:11">
      <c r="A97" s="61">
        <v>94</v>
      </c>
      <c r="B97" s="203" t="s">
        <v>3849</v>
      </c>
      <c r="C97" s="61" t="s">
        <v>9</v>
      </c>
      <c r="D97" s="61" t="s">
        <v>24</v>
      </c>
      <c r="E97" s="209">
        <v>3200000</v>
      </c>
      <c r="F97" s="212">
        <f t="shared" si="2"/>
        <v>3104000</v>
      </c>
      <c r="G97" s="206">
        <f t="shared" si="3"/>
        <v>3008000</v>
      </c>
      <c r="H97" s="61">
        <v>992</v>
      </c>
      <c r="I97" s="61">
        <v>762.3</v>
      </c>
      <c r="J97" s="61">
        <v>229.7</v>
      </c>
      <c r="K97" s="61" t="s">
        <v>4249</v>
      </c>
    </row>
    <row r="98" spans="1:11">
      <c r="A98" s="61">
        <v>95</v>
      </c>
      <c r="B98" s="203" t="s">
        <v>3850</v>
      </c>
      <c r="C98" s="61" t="s">
        <v>10</v>
      </c>
      <c r="D98" s="61" t="s">
        <v>24</v>
      </c>
      <c r="E98" s="209">
        <v>3201000</v>
      </c>
      <c r="F98" s="212">
        <f t="shared" si="2"/>
        <v>3104970</v>
      </c>
      <c r="G98" s="206">
        <f t="shared" si="3"/>
        <v>3008940</v>
      </c>
      <c r="H98" s="61">
        <v>992</v>
      </c>
      <c r="I98" s="61">
        <v>762.3</v>
      </c>
      <c r="J98" s="61">
        <v>229.7</v>
      </c>
      <c r="K98" s="61" t="s">
        <v>4249</v>
      </c>
    </row>
    <row r="99" spans="1:11">
      <c r="A99" s="61">
        <v>96</v>
      </c>
      <c r="B99" s="203" t="s">
        <v>3851</v>
      </c>
      <c r="C99" s="61" t="s">
        <v>10</v>
      </c>
      <c r="D99" s="61" t="s">
        <v>24</v>
      </c>
      <c r="E99" s="209">
        <v>3201000</v>
      </c>
      <c r="F99" s="212">
        <f t="shared" si="2"/>
        <v>3104970</v>
      </c>
      <c r="G99" s="206">
        <f t="shared" si="3"/>
        <v>3008940</v>
      </c>
      <c r="H99" s="61">
        <v>992</v>
      </c>
      <c r="I99" s="61">
        <v>762.3</v>
      </c>
      <c r="J99" s="61">
        <v>229.7</v>
      </c>
      <c r="K99" s="61" t="s">
        <v>4249</v>
      </c>
    </row>
    <row r="100" spans="1:11">
      <c r="A100" s="61">
        <v>97</v>
      </c>
      <c r="B100" s="203" t="s">
        <v>3852</v>
      </c>
      <c r="C100" s="61" t="s">
        <v>33</v>
      </c>
      <c r="D100" s="61" t="s">
        <v>36</v>
      </c>
      <c r="E100" s="209">
        <v>2366000</v>
      </c>
      <c r="F100" s="212">
        <f t="shared" si="2"/>
        <v>2295020</v>
      </c>
      <c r="G100" s="206">
        <f t="shared" si="3"/>
        <v>2224040</v>
      </c>
      <c r="H100" s="61">
        <v>632.16</v>
      </c>
      <c r="I100" s="61">
        <v>561.66</v>
      </c>
      <c r="J100" s="61">
        <v>70.5</v>
      </c>
      <c r="K100" s="61" t="s">
        <v>4249</v>
      </c>
    </row>
    <row r="101" spans="1:11">
      <c r="A101" s="61">
        <v>98</v>
      </c>
      <c r="B101" s="203" t="s">
        <v>3853</v>
      </c>
      <c r="C101" s="61" t="s">
        <v>4460</v>
      </c>
      <c r="D101" s="61" t="s">
        <v>36</v>
      </c>
      <c r="E101" s="209">
        <v>2375000</v>
      </c>
      <c r="F101" s="212">
        <f t="shared" si="2"/>
        <v>2303750</v>
      </c>
      <c r="G101" s="206">
        <f t="shared" si="3"/>
        <v>2232500</v>
      </c>
      <c r="H101" s="61">
        <v>632.16</v>
      </c>
      <c r="I101" s="61">
        <v>561.66</v>
      </c>
      <c r="J101" s="61">
        <v>70.5</v>
      </c>
      <c r="K101" s="61" t="s">
        <v>2780</v>
      </c>
    </row>
    <row r="102" spans="1:11">
      <c r="A102" s="61">
        <v>99</v>
      </c>
      <c r="B102" s="203" t="s">
        <v>3854</v>
      </c>
      <c r="C102" s="61" t="s">
        <v>34</v>
      </c>
      <c r="D102" s="61" t="s">
        <v>36</v>
      </c>
      <c r="E102" s="209">
        <v>2362000</v>
      </c>
      <c r="F102" s="212">
        <f t="shared" si="2"/>
        <v>2291140</v>
      </c>
      <c r="G102" s="206">
        <f t="shared" si="3"/>
        <v>2220280</v>
      </c>
      <c r="H102" s="61">
        <v>632.16</v>
      </c>
      <c r="I102" s="61">
        <v>561.66</v>
      </c>
      <c r="J102" s="61">
        <v>70.5</v>
      </c>
      <c r="K102" s="61" t="s">
        <v>4249</v>
      </c>
    </row>
    <row r="103" spans="1:11">
      <c r="A103" s="61">
        <v>100</v>
      </c>
      <c r="B103" s="203" t="s">
        <v>3855</v>
      </c>
      <c r="C103" s="61" t="s">
        <v>34</v>
      </c>
      <c r="D103" s="61" t="s">
        <v>36</v>
      </c>
      <c r="E103" s="209">
        <v>2400000</v>
      </c>
      <c r="F103" s="212">
        <f t="shared" si="2"/>
        <v>2328000</v>
      </c>
      <c r="G103" s="206">
        <f t="shared" si="3"/>
        <v>2256000</v>
      </c>
      <c r="H103" s="61">
        <v>632.16</v>
      </c>
      <c r="I103" s="61">
        <v>561.66</v>
      </c>
      <c r="J103" s="61">
        <v>70.5</v>
      </c>
      <c r="K103" s="61" t="s">
        <v>4249</v>
      </c>
    </row>
    <row r="104" spans="1:11">
      <c r="A104" s="61">
        <v>101</v>
      </c>
      <c r="B104" s="203" t="s">
        <v>3856</v>
      </c>
      <c r="C104" s="61" t="s">
        <v>4459</v>
      </c>
      <c r="D104" s="61" t="s">
        <v>36</v>
      </c>
      <c r="E104" s="209">
        <v>2335000</v>
      </c>
      <c r="F104" s="212">
        <f t="shared" si="2"/>
        <v>2264950</v>
      </c>
      <c r="G104" s="206">
        <f t="shared" si="3"/>
        <v>2194900</v>
      </c>
      <c r="H104" s="61">
        <v>632.16</v>
      </c>
      <c r="I104" s="61">
        <v>561.66</v>
      </c>
      <c r="J104" s="61">
        <v>70.5</v>
      </c>
      <c r="K104" s="61" t="s">
        <v>4249</v>
      </c>
    </row>
    <row r="105" spans="1:11">
      <c r="A105" s="61">
        <v>102</v>
      </c>
      <c r="B105" s="203" t="s">
        <v>3857</v>
      </c>
      <c r="C105" s="61" t="s">
        <v>5</v>
      </c>
      <c r="D105" s="61" t="s">
        <v>36</v>
      </c>
      <c r="E105" s="209">
        <v>2330000</v>
      </c>
      <c r="F105" s="212">
        <f t="shared" si="2"/>
        <v>2260100</v>
      </c>
      <c r="G105" s="206">
        <f t="shared" si="3"/>
        <v>2190200</v>
      </c>
      <c r="H105" s="61">
        <v>632.16</v>
      </c>
      <c r="I105" s="61">
        <v>561.66</v>
      </c>
      <c r="J105" s="61">
        <v>70.5</v>
      </c>
      <c r="K105" s="61" t="s">
        <v>4249</v>
      </c>
    </row>
    <row r="106" spans="1:11">
      <c r="A106" s="61">
        <v>103</v>
      </c>
      <c r="B106" s="203" t="s">
        <v>3858</v>
      </c>
      <c r="C106" s="61" t="s">
        <v>5</v>
      </c>
      <c r="D106" s="61" t="s">
        <v>36</v>
      </c>
      <c r="E106" s="209">
        <v>2330000</v>
      </c>
      <c r="F106" s="212">
        <f t="shared" si="2"/>
        <v>2260100</v>
      </c>
      <c r="G106" s="206">
        <f t="shared" si="3"/>
        <v>2190200</v>
      </c>
      <c r="H106" s="61">
        <v>632.16</v>
      </c>
      <c r="I106" s="61">
        <v>561.66</v>
      </c>
      <c r="J106" s="61">
        <v>70.5</v>
      </c>
      <c r="K106" s="61" t="s">
        <v>4249</v>
      </c>
    </row>
    <row r="107" spans="1:11">
      <c r="A107" s="61">
        <v>104</v>
      </c>
      <c r="B107" s="203" t="s">
        <v>4669</v>
      </c>
      <c r="C107" s="61" t="s">
        <v>6</v>
      </c>
      <c r="D107" s="61" t="s">
        <v>36</v>
      </c>
      <c r="E107" s="209">
        <v>2339000</v>
      </c>
      <c r="F107" s="212">
        <f t="shared" si="2"/>
        <v>2268830</v>
      </c>
      <c r="G107" s="206">
        <f t="shared" si="3"/>
        <v>2198660</v>
      </c>
      <c r="H107" s="61">
        <v>632.16</v>
      </c>
      <c r="I107" s="61">
        <v>561.66</v>
      </c>
      <c r="J107" s="61">
        <v>70.5</v>
      </c>
      <c r="K107" s="61" t="s">
        <v>2780</v>
      </c>
    </row>
    <row r="108" spans="1:11">
      <c r="A108" s="61">
        <v>105</v>
      </c>
      <c r="B108" s="203" t="s">
        <v>4670</v>
      </c>
      <c r="C108" s="61" t="s">
        <v>7</v>
      </c>
      <c r="D108" s="61" t="s">
        <v>36</v>
      </c>
      <c r="E108" s="209">
        <v>2335000</v>
      </c>
      <c r="F108" s="212">
        <f t="shared" si="2"/>
        <v>2264950</v>
      </c>
      <c r="G108" s="206">
        <f t="shared" si="3"/>
        <v>2194900</v>
      </c>
      <c r="H108" s="61">
        <v>632.16</v>
      </c>
      <c r="I108" s="61">
        <v>561.66</v>
      </c>
      <c r="J108" s="61">
        <v>70.5</v>
      </c>
      <c r="K108" s="61" t="s">
        <v>2780</v>
      </c>
    </row>
    <row r="109" spans="1:11">
      <c r="A109" s="61">
        <v>106</v>
      </c>
      <c r="B109" s="203" t="s">
        <v>4671</v>
      </c>
      <c r="C109" s="61" t="s">
        <v>8</v>
      </c>
      <c r="D109" s="61" t="s">
        <v>36</v>
      </c>
      <c r="E109" s="209">
        <v>2330000</v>
      </c>
      <c r="F109" s="212">
        <f t="shared" si="2"/>
        <v>2260100</v>
      </c>
      <c r="G109" s="206">
        <f t="shared" si="3"/>
        <v>2190200</v>
      </c>
      <c r="H109" s="61">
        <v>632.16</v>
      </c>
      <c r="I109" s="61">
        <v>561.66</v>
      </c>
      <c r="J109" s="61">
        <v>70.5</v>
      </c>
      <c r="K109" s="61" t="s">
        <v>2780</v>
      </c>
    </row>
    <row r="110" spans="1:11">
      <c r="A110" s="61">
        <v>107</v>
      </c>
      <c r="B110" s="203" t="s">
        <v>4672</v>
      </c>
      <c r="C110" s="61" t="s">
        <v>6</v>
      </c>
      <c r="D110" s="61" t="s">
        <v>36</v>
      </c>
      <c r="E110" s="209">
        <v>2317000</v>
      </c>
      <c r="F110" s="212">
        <f t="shared" si="2"/>
        <v>2247490</v>
      </c>
      <c r="G110" s="206">
        <f t="shared" si="3"/>
        <v>2177980</v>
      </c>
      <c r="H110" s="61">
        <v>632.16</v>
      </c>
      <c r="I110" s="61">
        <v>561.66</v>
      </c>
      <c r="J110" s="61">
        <v>70.5</v>
      </c>
      <c r="K110" s="61" t="s">
        <v>4249</v>
      </c>
    </row>
    <row r="111" spans="1:11">
      <c r="A111" s="61">
        <v>108</v>
      </c>
      <c r="B111" s="203" t="s">
        <v>3859</v>
      </c>
      <c r="C111" s="61" t="s">
        <v>9</v>
      </c>
      <c r="D111" s="61" t="s">
        <v>36</v>
      </c>
      <c r="E111" s="209">
        <v>2326000</v>
      </c>
      <c r="F111" s="212">
        <f t="shared" si="2"/>
        <v>2256220</v>
      </c>
      <c r="G111" s="206">
        <f t="shared" si="3"/>
        <v>2186440</v>
      </c>
      <c r="H111" s="61">
        <v>632.16</v>
      </c>
      <c r="I111" s="61">
        <v>561.66</v>
      </c>
      <c r="J111" s="61">
        <v>70.5</v>
      </c>
      <c r="K111" s="61" t="s">
        <v>2780</v>
      </c>
    </row>
    <row r="112" spans="1:11">
      <c r="A112" s="61">
        <v>109</v>
      </c>
      <c r="B112" s="203" t="s">
        <v>3860</v>
      </c>
      <c r="C112" s="61" t="s">
        <v>9</v>
      </c>
      <c r="D112" s="61" t="s">
        <v>36</v>
      </c>
      <c r="E112" s="209">
        <v>2326000</v>
      </c>
      <c r="F112" s="212">
        <f t="shared" si="2"/>
        <v>2256220</v>
      </c>
      <c r="G112" s="206">
        <f t="shared" si="3"/>
        <v>2186440</v>
      </c>
      <c r="H112" s="61">
        <v>632.16</v>
      </c>
      <c r="I112" s="61">
        <v>561.66</v>
      </c>
      <c r="J112" s="61">
        <v>70.5</v>
      </c>
      <c r="K112" s="61" t="s">
        <v>2780</v>
      </c>
    </row>
    <row r="113" spans="1:11">
      <c r="A113" s="61">
        <v>110</v>
      </c>
      <c r="B113" s="203" t="s">
        <v>3861</v>
      </c>
      <c r="C113" s="61" t="s">
        <v>7</v>
      </c>
      <c r="D113" s="61" t="s">
        <v>36</v>
      </c>
      <c r="E113" s="209">
        <v>2312000</v>
      </c>
      <c r="F113" s="212">
        <f t="shared" si="2"/>
        <v>2242640</v>
      </c>
      <c r="G113" s="206">
        <f t="shared" si="3"/>
        <v>2173280</v>
      </c>
      <c r="H113" s="61">
        <v>632.16</v>
      </c>
      <c r="I113" s="61">
        <v>561.66</v>
      </c>
      <c r="J113" s="61">
        <v>70.5</v>
      </c>
      <c r="K113" s="61" t="s">
        <v>4249</v>
      </c>
    </row>
    <row r="114" spans="1:11">
      <c r="A114" s="61">
        <v>111</v>
      </c>
      <c r="B114" s="203" t="s">
        <v>3862</v>
      </c>
      <c r="C114" s="61" t="s">
        <v>9</v>
      </c>
      <c r="D114" s="61" t="s">
        <v>36</v>
      </c>
      <c r="E114" s="209">
        <v>2303000</v>
      </c>
      <c r="F114" s="212">
        <f t="shared" si="2"/>
        <v>2233910</v>
      </c>
      <c r="G114" s="206">
        <f t="shared" si="3"/>
        <v>2164820</v>
      </c>
      <c r="H114" s="61">
        <v>632.16</v>
      </c>
      <c r="I114" s="61">
        <v>561.66</v>
      </c>
      <c r="J114" s="61">
        <v>70.5</v>
      </c>
      <c r="K114" s="61" t="s">
        <v>4249</v>
      </c>
    </row>
    <row r="115" spans="1:11">
      <c r="A115" s="61">
        <v>112</v>
      </c>
      <c r="B115" s="203" t="s">
        <v>3863</v>
      </c>
      <c r="C115" s="61" t="s">
        <v>9</v>
      </c>
      <c r="D115" s="61" t="s">
        <v>36</v>
      </c>
      <c r="E115" s="209">
        <v>2303000</v>
      </c>
      <c r="F115" s="212">
        <f t="shared" si="2"/>
        <v>2233910</v>
      </c>
      <c r="G115" s="206">
        <f t="shared" si="3"/>
        <v>2164820</v>
      </c>
      <c r="H115" s="61">
        <v>632.16</v>
      </c>
      <c r="I115" s="61">
        <v>561.66</v>
      </c>
      <c r="J115" s="61">
        <v>70.5</v>
      </c>
      <c r="K115" s="61" t="s">
        <v>4249</v>
      </c>
    </row>
    <row r="116" spans="1:11">
      <c r="A116" s="61">
        <v>113</v>
      </c>
      <c r="B116" s="203" t="s">
        <v>4968</v>
      </c>
      <c r="C116" s="61" t="s">
        <v>4463</v>
      </c>
      <c r="D116" s="61" t="s">
        <v>35</v>
      </c>
      <c r="E116" s="209">
        <v>1420000</v>
      </c>
      <c r="F116" s="212">
        <f t="shared" si="2"/>
        <v>1377400</v>
      </c>
      <c r="G116" s="206">
        <f t="shared" si="3"/>
        <v>1334800</v>
      </c>
      <c r="H116" s="61">
        <v>408.28</v>
      </c>
      <c r="I116" s="61">
        <v>297.62</v>
      </c>
      <c r="J116" s="61">
        <v>110.65</v>
      </c>
      <c r="K116" s="61" t="s">
        <v>3759</v>
      </c>
    </row>
    <row r="117" spans="1:11">
      <c r="A117" s="61">
        <v>114</v>
      </c>
      <c r="B117" s="203" t="s">
        <v>4969</v>
      </c>
      <c r="C117" s="61" t="s">
        <v>4463</v>
      </c>
      <c r="D117" s="61" t="s">
        <v>35</v>
      </c>
      <c r="E117" s="209">
        <v>1420000</v>
      </c>
      <c r="F117" s="212">
        <f t="shared" si="2"/>
        <v>1377400</v>
      </c>
      <c r="G117" s="206">
        <f t="shared" si="3"/>
        <v>1334800</v>
      </c>
      <c r="H117" s="61">
        <v>408.28</v>
      </c>
      <c r="I117" s="61">
        <v>297.62</v>
      </c>
      <c r="J117" s="61">
        <v>110.65</v>
      </c>
      <c r="K117" s="61" t="s">
        <v>3759</v>
      </c>
    </row>
    <row r="118" spans="1:11">
      <c r="A118" s="61">
        <v>115</v>
      </c>
      <c r="B118" s="203" t="s">
        <v>4970</v>
      </c>
      <c r="C118" s="61" t="s">
        <v>4462</v>
      </c>
      <c r="D118" s="61" t="s">
        <v>35</v>
      </c>
      <c r="E118" s="209">
        <v>1420000</v>
      </c>
      <c r="F118" s="212">
        <f t="shared" si="2"/>
        <v>1377400</v>
      </c>
      <c r="G118" s="206">
        <f t="shared" si="3"/>
        <v>1334800</v>
      </c>
      <c r="H118" s="61">
        <v>408.28</v>
      </c>
      <c r="I118" s="61">
        <v>297.62</v>
      </c>
      <c r="J118" s="61">
        <v>110.65</v>
      </c>
      <c r="K118" s="61" t="s">
        <v>3759</v>
      </c>
    </row>
    <row r="119" spans="1:11">
      <c r="A119" s="61">
        <v>116</v>
      </c>
      <c r="B119" s="203" t="s">
        <v>4971</v>
      </c>
      <c r="C119" s="61" t="s">
        <v>4462</v>
      </c>
      <c r="D119" s="61" t="s">
        <v>35</v>
      </c>
      <c r="E119" s="209">
        <v>1420000</v>
      </c>
      <c r="F119" s="212">
        <f t="shared" si="2"/>
        <v>1377400</v>
      </c>
      <c r="G119" s="206">
        <f t="shared" si="3"/>
        <v>1334800</v>
      </c>
      <c r="H119" s="61">
        <v>408.28</v>
      </c>
      <c r="I119" s="61">
        <v>297.62</v>
      </c>
      <c r="J119" s="61">
        <v>110.65</v>
      </c>
      <c r="K119" s="61" t="s">
        <v>3759</v>
      </c>
    </row>
    <row r="120" spans="1:11">
      <c r="A120" s="61">
        <v>117</v>
      </c>
      <c r="B120" s="203" t="s">
        <v>4972</v>
      </c>
      <c r="C120" s="61" t="s">
        <v>4495</v>
      </c>
      <c r="D120" s="61" t="s">
        <v>35</v>
      </c>
      <c r="E120" s="209">
        <v>1420000</v>
      </c>
      <c r="F120" s="212">
        <f t="shared" si="2"/>
        <v>1377400</v>
      </c>
      <c r="G120" s="206">
        <f t="shared" si="3"/>
        <v>1334800</v>
      </c>
      <c r="H120" s="61">
        <v>408.28</v>
      </c>
      <c r="I120" s="61">
        <v>297.62</v>
      </c>
      <c r="J120" s="61">
        <v>110.65</v>
      </c>
      <c r="K120" s="61" t="s">
        <v>3759</v>
      </c>
    </row>
    <row r="121" spans="1:11">
      <c r="A121" s="61">
        <v>118</v>
      </c>
      <c r="B121" s="203" t="s">
        <v>4973</v>
      </c>
      <c r="C121" s="61" t="s">
        <v>4495</v>
      </c>
      <c r="D121" s="61" t="s">
        <v>35</v>
      </c>
      <c r="E121" s="209">
        <v>1420000</v>
      </c>
      <c r="F121" s="212">
        <f t="shared" si="2"/>
        <v>1377400</v>
      </c>
      <c r="G121" s="206">
        <f t="shared" si="3"/>
        <v>1334800</v>
      </c>
      <c r="H121" s="61">
        <v>408.28</v>
      </c>
      <c r="I121" s="61">
        <v>297.62</v>
      </c>
      <c r="J121" s="61">
        <v>110.65</v>
      </c>
      <c r="K121" s="61" t="s">
        <v>3759</v>
      </c>
    </row>
    <row r="122" spans="1:11">
      <c r="A122" s="61">
        <v>119</v>
      </c>
      <c r="B122" s="203" t="s">
        <v>4974</v>
      </c>
      <c r="C122" s="61" t="s">
        <v>4494</v>
      </c>
      <c r="D122" s="61" t="s">
        <v>35</v>
      </c>
      <c r="E122" s="209">
        <v>1420000</v>
      </c>
      <c r="F122" s="212">
        <f t="shared" si="2"/>
        <v>1377400</v>
      </c>
      <c r="G122" s="206">
        <f t="shared" si="3"/>
        <v>1334800</v>
      </c>
      <c r="H122" s="61">
        <v>408.28</v>
      </c>
      <c r="I122" s="61">
        <v>297.62</v>
      </c>
      <c r="J122" s="61">
        <v>110.65</v>
      </c>
      <c r="K122" s="61" t="s">
        <v>3759</v>
      </c>
    </row>
    <row r="123" spans="1:11">
      <c r="A123" s="61">
        <v>120</v>
      </c>
      <c r="B123" s="203" t="s">
        <v>4975</v>
      </c>
      <c r="C123" s="61" t="s">
        <v>4494</v>
      </c>
      <c r="D123" s="61" t="s">
        <v>35</v>
      </c>
      <c r="E123" s="209">
        <v>1420000</v>
      </c>
      <c r="F123" s="212">
        <f t="shared" si="2"/>
        <v>1377400</v>
      </c>
      <c r="G123" s="206">
        <f t="shared" si="3"/>
        <v>1334800</v>
      </c>
      <c r="H123" s="61">
        <v>408.28</v>
      </c>
      <c r="I123" s="61">
        <v>297.62</v>
      </c>
      <c r="J123" s="61">
        <v>110.65</v>
      </c>
      <c r="K123" s="61" t="s">
        <v>3759</v>
      </c>
    </row>
    <row r="124" spans="1:11">
      <c r="A124" s="61">
        <v>121</v>
      </c>
      <c r="B124" s="203" t="s">
        <v>4976</v>
      </c>
      <c r="C124" s="61" t="s">
        <v>4463</v>
      </c>
      <c r="D124" s="61" t="s">
        <v>35</v>
      </c>
      <c r="E124" s="209">
        <v>1408000</v>
      </c>
      <c r="F124" s="212">
        <f t="shared" si="2"/>
        <v>1365760</v>
      </c>
      <c r="G124" s="206">
        <f t="shared" si="3"/>
        <v>1323520</v>
      </c>
      <c r="H124" s="61">
        <v>379.75</v>
      </c>
      <c r="I124" s="61">
        <v>293.20999999999998</v>
      </c>
      <c r="J124" s="61">
        <v>86.54</v>
      </c>
      <c r="K124" s="61" t="s">
        <v>3759</v>
      </c>
    </row>
    <row r="125" spans="1:11">
      <c r="A125" s="61">
        <v>122</v>
      </c>
      <c r="B125" s="203" t="s">
        <v>4977</v>
      </c>
      <c r="C125" s="61" t="s">
        <v>4463</v>
      </c>
      <c r="D125" s="61" t="s">
        <v>35</v>
      </c>
      <c r="E125" s="209">
        <v>1408000</v>
      </c>
      <c r="F125" s="212">
        <f t="shared" si="2"/>
        <v>1365760</v>
      </c>
      <c r="G125" s="206">
        <f t="shared" si="3"/>
        <v>1323520</v>
      </c>
      <c r="H125" s="61">
        <v>394.93</v>
      </c>
      <c r="I125" s="61">
        <v>293.75</v>
      </c>
      <c r="J125" s="61">
        <v>101.18</v>
      </c>
      <c r="K125" s="61" t="s">
        <v>3759</v>
      </c>
    </row>
    <row r="126" spans="1:11">
      <c r="A126" s="61">
        <v>123</v>
      </c>
      <c r="B126" s="203" t="s">
        <v>4978</v>
      </c>
      <c r="C126" s="61" t="s">
        <v>4463</v>
      </c>
      <c r="D126" s="61" t="s">
        <v>35</v>
      </c>
      <c r="E126" s="209">
        <v>1408000</v>
      </c>
      <c r="F126" s="212">
        <f t="shared" si="2"/>
        <v>1365760</v>
      </c>
      <c r="G126" s="206">
        <f t="shared" si="3"/>
        <v>1323520</v>
      </c>
      <c r="H126" s="61">
        <v>394.93</v>
      </c>
      <c r="I126" s="61">
        <v>293.75</v>
      </c>
      <c r="J126" s="61">
        <v>101.18</v>
      </c>
      <c r="K126" s="61" t="s">
        <v>3759</v>
      </c>
    </row>
    <row r="127" spans="1:11">
      <c r="A127" s="61">
        <v>124</v>
      </c>
      <c r="B127" s="203" t="s">
        <v>4979</v>
      </c>
      <c r="C127" s="61" t="s">
        <v>33</v>
      </c>
      <c r="D127" s="61" t="s">
        <v>35</v>
      </c>
      <c r="E127" s="209">
        <v>1418000</v>
      </c>
      <c r="F127" s="212">
        <f t="shared" si="2"/>
        <v>1375460</v>
      </c>
      <c r="G127" s="206">
        <f t="shared" si="3"/>
        <v>1332920</v>
      </c>
      <c r="H127" s="61">
        <v>408.28</v>
      </c>
      <c r="I127" s="61">
        <v>297.62</v>
      </c>
      <c r="J127" s="61">
        <v>110.65</v>
      </c>
      <c r="K127" s="61" t="s">
        <v>3759</v>
      </c>
    </row>
    <row r="128" spans="1:11">
      <c r="A128" s="61">
        <v>125</v>
      </c>
      <c r="B128" s="203" t="s">
        <v>4980</v>
      </c>
      <c r="C128" s="61" t="s">
        <v>33</v>
      </c>
      <c r="D128" s="61" t="s">
        <v>35</v>
      </c>
      <c r="E128" s="209">
        <v>1418000</v>
      </c>
      <c r="F128" s="212">
        <f t="shared" si="2"/>
        <v>1375460</v>
      </c>
      <c r="G128" s="206">
        <f t="shared" si="3"/>
        <v>1332920</v>
      </c>
      <c r="H128" s="61">
        <v>408.28</v>
      </c>
      <c r="I128" s="61">
        <v>297.62</v>
      </c>
      <c r="J128" s="61">
        <v>110.65</v>
      </c>
      <c r="K128" s="61" t="s">
        <v>3759</v>
      </c>
    </row>
    <row r="129" spans="1:11">
      <c r="A129" s="61">
        <v>126</v>
      </c>
      <c r="B129" s="203" t="s">
        <v>4981</v>
      </c>
      <c r="C129" s="61" t="s">
        <v>4463</v>
      </c>
      <c r="D129" s="61" t="s">
        <v>35</v>
      </c>
      <c r="E129" s="209">
        <v>1408000</v>
      </c>
      <c r="F129" s="212">
        <f t="shared" si="2"/>
        <v>1365760</v>
      </c>
      <c r="G129" s="206">
        <f t="shared" si="3"/>
        <v>1323520</v>
      </c>
      <c r="H129" s="61">
        <v>385.13</v>
      </c>
      <c r="I129" s="61">
        <v>293.20999999999998</v>
      </c>
      <c r="J129" s="61">
        <v>91.92</v>
      </c>
      <c r="K129" s="61" t="s">
        <v>3759</v>
      </c>
    </row>
    <row r="130" spans="1:11">
      <c r="A130" s="61">
        <v>127</v>
      </c>
      <c r="B130" s="203" t="s">
        <v>4982</v>
      </c>
      <c r="C130" s="61" t="s">
        <v>4462</v>
      </c>
      <c r="D130" s="61" t="s">
        <v>35</v>
      </c>
      <c r="E130" s="209">
        <v>1409000</v>
      </c>
      <c r="F130" s="212">
        <f t="shared" si="2"/>
        <v>1366730</v>
      </c>
      <c r="G130" s="206">
        <f t="shared" si="3"/>
        <v>1324460</v>
      </c>
      <c r="H130" s="61">
        <v>362.31</v>
      </c>
      <c r="I130" s="61">
        <v>293.20999999999998</v>
      </c>
      <c r="J130" s="61">
        <v>69.099999999999994</v>
      </c>
      <c r="K130" s="61" t="s">
        <v>3759</v>
      </c>
    </row>
    <row r="131" spans="1:11">
      <c r="A131" s="61">
        <v>128</v>
      </c>
      <c r="B131" s="203" t="s">
        <v>4983</v>
      </c>
      <c r="C131" s="61" t="s">
        <v>4463</v>
      </c>
      <c r="D131" s="61" t="s">
        <v>35</v>
      </c>
      <c r="E131" s="209">
        <v>1406000</v>
      </c>
      <c r="F131" s="212">
        <f t="shared" si="2"/>
        <v>1363820</v>
      </c>
      <c r="G131" s="206">
        <f t="shared" si="3"/>
        <v>1321640</v>
      </c>
      <c r="H131" s="61">
        <v>389.33</v>
      </c>
      <c r="I131" s="61">
        <v>293.20999999999998</v>
      </c>
      <c r="J131" s="61">
        <v>96.12</v>
      </c>
      <c r="K131" s="61" t="s">
        <v>3759</v>
      </c>
    </row>
    <row r="132" spans="1:11">
      <c r="A132" s="61">
        <v>129</v>
      </c>
      <c r="B132" s="203" t="s">
        <v>4984</v>
      </c>
      <c r="C132" s="61" t="s">
        <v>4462</v>
      </c>
      <c r="D132" s="61" t="s">
        <v>35</v>
      </c>
      <c r="E132" s="209">
        <v>1405000</v>
      </c>
      <c r="F132" s="212">
        <f t="shared" si="2"/>
        <v>1362850</v>
      </c>
      <c r="G132" s="206">
        <f t="shared" si="3"/>
        <v>1320700</v>
      </c>
      <c r="H132" s="61">
        <v>379.75</v>
      </c>
      <c r="I132" s="61">
        <v>293.20999999999998</v>
      </c>
      <c r="J132" s="61">
        <v>86.54</v>
      </c>
      <c r="K132" s="61" t="s">
        <v>3759</v>
      </c>
    </row>
    <row r="133" spans="1:11">
      <c r="A133" s="61">
        <v>130</v>
      </c>
      <c r="B133" s="203" t="s">
        <v>4985</v>
      </c>
      <c r="C133" s="61" t="s">
        <v>4462</v>
      </c>
      <c r="D133" s="61" t="s">
        <v>35</v>
      </c>
      <c r="E133" s="209">
        <v>1406000</v>
      </c>
      <c r="F133" s="212">
        <f t="shared" ref="F133:F196" si="4">E133*0.97</f>
        <v>1363820</v>
      </c>
      <c r="G133" s="206">
        <f t="shared" ref="G133:G196" si="5">E133*0.94</f>
        <v>1321640</v>
      </c>
      <c r="H133" s="61">
        <v>394.93</v>
      </c>
      <c r="I133" s="61">
        <v>293.75</v>
      </c>
      <c r="J133" s="61">
        <v>101.18</v>
      </c>
      <c r="K133" s="61" t="s">
        <v>3759</v>
      </c>
    </row>
    <row r="134" spans="1:11">
      <c r="A134" s="61">
        <v>131</v>
      </c>
      <c r="B134" s="203" t="s">
        <v>4986</v>
      </c>
      <c r="C134" s="61" t="s">
        <v>4462</v>
      </c>
      <c r="D134" s="61" t="s">
        <v>35</v>
      </c>
      <c r="E134" s="209">
        <v>1406000</v>
      </c>
      <c r="F134" s="212">
        <f t="shared" si="4"/>
        <v>1363820</v>
      </c>
      <c r="G134" s="206">
        <f t="shared" si="5"/>
        <v>1321640</v>
      </c>
      <c r="H134" s="61">
        <v>394.93</v>
      </c>
      <c r="I134" s="61">
        <v>293.75</v>
      </c>
      <c r="J134" s="61">
        <v>101.18</v>
      </c>
      <c r="K134" s="61" t="s">
        <v>3759</v>
      </c>
    </row>
    <row r="135" spans="1:11">
      <c r="A135" s="61">
        <v>132</v>
      </c>
      <c r="B135" s="203" t="s">
        <v>4987</v>
      </c>
      <c r="C135" s="61" t="s">
        <v>34</v>
      </c>
      <c r="D135" s="61" t="s">
        <v>35</v>
      </c>
      <c r="E135" s="209">
        <v>1415000</v>
      </c>
      <c r="F135" s="212">
        <f t="shared" si="4"/>
        <v>1372550</v>
      </c>
      <c r="G135" s="206">
        <f t="shared" si="5"/>
        <v>1330100</v>
      </c>
      <c r="H135" s="61">
        <v>408.28</v>
      </c>
      <c r="I135" s="61">
        <v>297.62</v>
      </c>
      <c r="J135" s="61">
        <v>110.65</v>
      </c>
      <c r="K135" s="61" t="s">
        <v>3759</v>
      </c>
    </row>
    <row r="136" spans="1:11">
      <c r="A136" s="61">
        <v>133</v>
      </c>
      <c r="B136" s="203" t="s">
        <v>4988</v>
      </c>
      <c r="C136" s="61" t="s">
        <v>34</v>
      </c>
      <c r="D136" s="61" t="s">
        <v>35</v>
      </c>
      <c r="E136" s="209">
        <v>1415000</v>
      </c>
      <c r="F136" s="212">
        <f t="shared" si="4"/>
        <v>1372550</v>
      </c>
      <c r="G136" s="206">
        <f t="shared" si="5"/>
        <v>1330100</v>
      </c>
      <c r="H136" s="61">
        <v>408.28</v>
      </c>
      <c r="I136" s="61">
        <v>297.62</v>
      </c>
      <c r="J136" s="61">
        <v>110.65</v>
      </c>
      <c r="K136" s="61" t="s">
        <v>3759</v>
      </c>
    </row>
    <row r="137" spans="1:11">
      <c r="A137" s="61">
        <v>134</v>
      </c>
      <c r="B137" s="203" t="s">
        <v>4989</v>
      </c>
      <c r="C137" s="61" t="s">
        <v>4462</v>
      </c>
      <c r="D137" s="61" t="s">
        <v>35</v>
      </c>
      <c r="E137" s="209">
        <v>1405000</v>
      </c>
      <c r="F137" s="212">
        <f t="shared" si="4"/>
        <v>1362850</v>
      </c>
      <c r="G137" s="206">
        <f t="shared" si="5"/>
        <v>1320700</v>
      </c>
      <c r="H137" s="61">
        <v>385.13</v>
      </c>
      <c r="I137" s="61">
        <v>293.20999999999998</v>
      </c>
      <c r="J137" s="61">
        <v>91.92</v>
      </c>
      <c r="K137" s="61" t="s">
        <v>3759</v>
      </c>
    </row>
    <row r="138" spans="1:11">
      <c r="A138" s="61">
        <v>135</v>
      </c>
      <c r="B138" s="203" t="s">
        <v>4990</v>
      </c>
      <c r="C138" s="61" t="s">
        <v>4495</v>
      </c>
      <c r="D138" s="61" t="s">
        <v>35</v>
      </c>
      <c r="E138" s="209">
        <v>1406000</v>
      </c>
      <c r="F138" s="212">
        <f t="shared" si="4"/>
        <v>1363820</v>
      </c>
      <c r="G138" s="206">
        <f t="shared" si="5"/>
        <v>1321640</v>
      </c>
      <c r="H138" s="61">
        <v>362.31</v>
      </c>
      <c r="I138" s="61">
        <v>293.20999999999998</v>
      </c>
      <c r="J138" s="61">
        <v>69.099999999999994</v>
      </c>
      <c r="K138" s="61" t="s">
        <v>3759</v>
      </c>
    </row>
    <row r="139" spans="1:11">
      <c r="A139" s="61">
        <v>136</v>
      </c>
      <c r="B139" s="203" t="s">
        <v>4991</v>
      </c>
      <c r="C139" s="61" t="s">
        <v>4462</v>
      </c>
      <c r="D139" s="61" t="s">
        <v>35</v>
      </c>
      <c r="E139" s="209">
        <v>1404000</v>
      </c>
      <c r="F139" s="212">
        <f t="shared" si="4"/>
        <v>1361880</v>
      </c>
      <c r="G139" s="206">
        <f t="shared" si="5"/>
        <v>1319760</v>
      </c>
      <c r="H139" s="61">
        <v>389.33</v>
      </c>
      <c r="I139" s="61">
        <v>293.20999999999998</v>
      </c>
      <c r="J139" s="61">
        <v>96.12</v>
      </c>
      <c r="K139" s="61" t="s">
        <v>3759</v>
      </c>
    </row>
    <row r="140" spans="1:11">
      <c r="A140" s="61">
        <v>137</v>
      </c>
      <c r="B140" s="203" t="s">
        <v>4992</v>
      </c>
      <c r="C140" s="61" t="s">
        <v>4462</v>
      </c>
      <c r="D140" s="61" t="s">
        <v>35</v>
      </c>
      <c r="E140" s="209">
        <v>1404000</v>
      </c>
      <c r="F140" s="212">
        <f t="shared" si="4"/>
        <v>1361880</v>
      </c>
      <c r="G140" s="206">
        <f t="shared" si="5"/>
        <v>1319760</v>
      </c>
      <c r="H140" s="61">
        <v>389.55</v>
      </c>
      <c r="I140" s="61">
        <v>293.20999999999998</v>
      </c>
      <c r="J140" s="61">
        <v>96.34</v>
      </c>
      <c r="K140" s="61" t="s">
        <v>3759</v>
      </c>
    </row>
    <row r="141" spans="1:11">
      <c r="A141" s="61">
        <v>138</v>
      </c>
      <c r="B141" s="203" t="s">
        <v>3864</v>
      </c>
      <c r="C141" s="61" t="s">
        <v>4463</v>
      </c>
      <c r="D141" s="61" t="s">
        <v>35</v>
      </c>
      <c r="E141" s="209">
        <v>1400000</v>
      </c>
      <c r="F141" s="212">
        <f t="shared" si="4"/>
        <v>1358000</v>
      </c>
      <c r="G141" s="206">
        <f t="shared" si="5"/>
        <v>1316000</v>
      </c>
      <c r="H141" s="61">
        <v>389.33</v>
      </c>
      <c r="I141" s="61">
        <v>293.20999999999998</v>
      </c>
      <c r="J141" s="61">
        <v>96.12</v>
      </c>
      <c r="K141" s="61" t="s">
        <v>4248</v>
      </c>
    </row>
    <row r="142" spans="1:11">
      <c r="A142" s="61">
        <v>139</v>
      </c>
      <c r="B142" s="203" t="s">
        <v>3865</v>
      </c>
      <c r="C142" s="61" t="s">
        <v>4463</v>
      </c>
      <c r="D142" s="61" t="s">
        <v>35</v>
      </c>
      <c r="E142" s="209">
        <v>1400000</v>
      </c>
      <c r="F142" s="212">
        <f t="shared" si="4"/>
        <v>1358000</v>
      </c>
      <c r="G142" s="206">
        <f t="shared" si="5"/>
        <v>1316000</v>
      </c>
      <c r="H142" s="61">
        <v>389.55</v>
      </c>
      <c r="I142" s="61">
        <v>293.20999999999998</v>
      </c>
      <c r="J142" s="61">
        <v>96.34</v>
      </c>
      <c r="K142" s="61" t="s">
        <v>4248</v>
      </c>
    </row>
    <row r="143" spans="1:11">
      <c r="A143" s="61">
        <v>140</v>
      </c>
      <c r="B143" s="203" t="s">
        <v>3866</v>
      </c>
      <c r="C143" s="61" t="s">
        <v>4463</v>
      </c>
      <c r="D143" s="61" t="s">
        <v>35</v>
      </c>
      <c r="E143" s="209">
        <v>1400000</v>
      </c>
      <c r="F143" s="212">
        <f t="shared" si="4"/>
        <v>1358000</v>
      </c>
      <c r="G143" s="206">
        <f t="shared" si="5"/>
        <v>1316000</v>
      </c>
      <c r="H143" s="61">
        <v>389.33</v>
      </c>
      <c r="I143" s="61">
        <v>293.20999999999998</v>
      </c>
      <c r="J143" s="61">
        <v>96.12</v>
      </c>
      <c r="K143" s="61" t="s">
        <v>4248</v>
      </c>
    </row>
    <row r="144" spans="1:11">
      <c r="A144" s="61">
        <v>141</v>
      </c>
      <c r="B144" s="203" t="s">
        <v>3867</v>
      </c>
      <c r="C144" s="61" t="s">
        <v>4463</v>
      </c>
      <c r="D144" s="61" t="s">
        <v>35</v>
      </c>
      <c r="E144" s="209">
        <v>1399000</v>
      </c>
      <c r="F144" s="212">
        <f t="shared" si="4"/>
        <v>1357030</v>
      </c>
      <c r="G144" s="206">
        <f t="shared" si="5"/>
        <v>1315060</v>
      </c>
      <c r="H144" s="61">
        <v>394.6</v>
      </c>
      <c r="I144" s="61">
        <v>293.20999999999998</v>
      </c>
      <c r="J144" s="61">
        <v>101.4</v>
      </c>
      <c r="K144" s="61" t="s">
        <v>4248</v>
      </c>
    </row>
    <row r="145" spans="1:11">
      <c r="A145" s="61">
        <v>142</v>
      </c>
      <c r="B145" s="203" t="s">
        <v>4993</v>
      </c>
      <c r="C145" s="61" t="s">
        <v>4463</v>
      </c>
      <c r="D145" s="61" t="s">
        <v>35</v>
      </c>
      <c r="E145" s="209">
        <v>1399000</v>
      </c>
      <c r="F145" s="212">
        <f t="shared" si="4"/>
        <v>1357030</v>
      </c>
      <c r="G145" s="206">
        <f t="shared" si="5"/>
        <v>1315060</v>
      </c>
      <c r="H145" s="61">
        <v>400.53</v>
      </c>
      <c r="I145" s="61">
        <v>291.27</v>
      </c>
      <c r="J145" s="61">
        <v>109.25</v>
      </c>
      <c r="K145" s="61" t="s">
        <v>3759</v>
      </c>
    </row>
    <row r="146" spans="1:11">
      <c r="A146" s="61">
        <v>143</v>
      </c>
      <c r="B146" s="203" t="s">
        <v>4994</v>
      </c>
      <c r="C146" s="61" t="s">
        <v>4463</v>
      </c>
      <c r="D146" s="61" t="s">
        <v>35</v>
      </c>
      <c r="E146" s="209">
        <v>1399000</v>
      </c>
      <c r="F146" s="212">
        <f t="shared" si="4"/>
        <v>1357030</v>
      </c>
      <c r="G146" s="206">
        <f t="shared" si="5"/>
        <v>1315060</v>
      </c>
      <c r="H146" s="61">
        <v>400.53</v>
      </c>
      <c r="I146" s="61">
        <v>291.27</v>
      </c>
      <c r="J146" s="61">
        <v>109.25</v>
      </c>
      <c r="K146" s="61" t="s">
        <v>3759</v>
      </c>
    </row>
    <row r="147" spans="1:11">
      <c r="A147" s="61">
        <v>144</v>
      </c>
      <c r="B147" s="203" t="s">
        <v>4995</v>
      </c>
      <c r="C147" s="61" t="s">
        <v>4495</v>
      </c>
      <c r="D147" s="61" t="s">
        <v>35</v>
      </c>
      <c r="E147" s="209">
        <v>1402000</v>
      </c>
      <c r="F147" s="212">
        <f t="shared" si="4"/>
        <v>1359940</v>
      </c>
      <c r="G147" s="206">
        <f t="shared" si="5"/>
        <v>1317880</v>
      </c>
      <c r="H147" s="61">
        <v>379.75</v>
      </c>
      <c r="I147" s="61">
        <v>293.20999999999998</v>
      </c>
      <c r="J147" s="61">
        <v>86.54</v>
      </c>
      <c r="K147" s="61" t="s">
        <v>3759</v>
      </c>
    </row>
    <row r="148" spans="1:11">
      <c r="A148" s="61">
        <v>145</v>
      </c>
      <c r="B148" s="203" t="s">
        <v>4996</v>
      </c>
      <c r="C148" s="61" t="s">
        <v>4495</v>
      </c>
      <c r="D148" s="61" t="s">
        <v>35</v>
      </c>
      <c r="E148" s="209">
        <v>1403000</v>
      </c>
      <c r="F148" s="212">
        <f t="shared" si="4"/>
        <v>1360910</v>
      </c>
      <c r="G148" s="206">
        <f t="shared" si="5"/>
        <v>1318820</v>
      </c>
      <c r="H148" s="61">
        <v>394.93</v>
      </c>
      <c r="I148" s="61">
        <v>293.75</v>
      </c>
      <c r="J148" s="61">
        <v>101.18</v>
      </c>
      <c r="K148" s="61" t="s">
        <v>3759</v>
      </c>
    </row>
    <row r="149" spans="1:11">
      <c r="A149" s="61">
        <v>146</v>
      </c>
      <c r="B149" s="203" t="s">
        <v>4997</v>
      </c>
      <c r="C149" s="61" t="s">
        <v>4495</v>
      </c>
      <c r="D149" s="61" t="s">
        <v>35</v>
      </c>
      <c r="E149" s="209">
        <v>1403000</v>
      </c>
      <c r="F149" s="212">
        <f t="shared" si="4"/>
        <v>1360910</v>
      </c>
      <c r="G149" s="206">
        <f t="shared" si="5"/>
        <v>1318820</v>
      </c>
      <c r="H149" s="61">
        <v>394.93</v>
      </c>
      <c r="I149" s="61">
        <v>293.75</v>
      </c>
      <c r="J149" s="61">
        <v>101.18</v>
      </c>
      <c r="K149" s="61" t="s">
        <v>3759</v>
      </c>
    </row>
    <row r="150" spans="1:11">
      <c r="A150" s="61">
        <v>147</v>
      </c>
      <c r="B150" s="203" t="s">
        <v>3868</v>
      </c>
      <c r="C150" s="61" t="s">
        <v>4495</v>
      </c>
      <c r="D150" s="61" t="s">
        <v>35</v>
      </c>
      <c r="E150" s="209">
        <v>1402000</v>
      </c>
      <c r="F150" s="212">
        <f t="shared" si="4"/>
        <v>1359940</v>
      </c>
      <c r="G150" s="206">
        <f t="shared" si="5"/>
        <v>1317880</v>
      </c>
      <c r="H150" s="61">
        <v>385.13</v>
      </c>
      <c r="I150" s="61">
        <v>293.20999999999998</v>
      </c>
      <c r="J150" s="61">
        <v>91.92</v>
      </c>
      <c r="K150" s="61" t="s">
        <v>3759</v>
      </c>
    </row>
    <row r="151" spans="1:11">
      <c r="A151" s="61">
        <v>148</v>
      </c>
      <c r="B151" s="203" t="s">
        <v>3869</v>
      </c>
      <c r="C151" s="61" t="s">
        <v>4462</v>
      </c>
      <c r="D151" s="61" t="s">
        <v>35</v>
      </c>
      <c r="E151" s="209">
        <v>1399000</v>
      </c>
      <c r="F151" s="212">
        <f t="shared" si="4"/>
        <v>1357030</v>
      </c>
      <c r="G151" s="206">
        <f t="shared" si="5"/>
        <v>1315060</v>
      </c>
      <c r="H151" s="61">
        <v>403.65</v>
      </c>
      <c r="I151" s="61">
        <v>293.20999999999998</v>
      </c>
      <c r="J151" s="61">
        <v>110.44</v>
      </c>
      <c r="K151" s="61" t="s">
        <v>4248</v>
      </c>
    </row>
    <row r="152" spans="1:11">
      <c r="A152" s="61">
        <v>149</v>
      </c>
      <c r="B152" s="203" t="s">
        <v>3870</v>
      </c>
      <c r="C152" s="61" t="s">
        <v>4462</v>
      </c>
      <c r="D152" s="61" t="s">
        <v>35</v>
      </c>
      <c r="E152" s="209">
        <v>1399000</v>
      </c>
      <c r="F152" s="212">
        <f t="shared" si="4"/>
        <v>1357030</v>
      </c>
      <c r="G152" s="206">
        <f t="shared" si="5"/>
        <v>1315060</v>
      </c>
      <c r="H152" s="61">
        <v>403.65</v>
      </c>
      <c r="I152" s="61">
        <v>293.20999999999998</v>
      </c>
      <c r="J152" s="61">
        <v>110.44</v>
      </c>
      <c r="K152" s="61" t="s">
        <v>4248</v>
      </c>
    </row>
    <row r="153" spans="1:11">
      <c r="A153" s="61">
        <v>150</v>
      </c>
      <c r="B153" s="203" t="s">
        <v>3871</v>
      </c>
      <c r="C153" s="61" t="s">
        <v>4462</v>
      </c>
      <c r="D153" s="61" t="s">
        <v>35</v>
      </c>
      <c r="E153" s="209">
        <v>1399000</v>
      </c>
      <c r="F153" s="212">
        <f t="shared" si="4"/>
        <v>1357030</v>
      </c>
      <c r="G153" s="206">
        <f t="shared" si="5"/>
        <v>1315060</v>
      </c>
      <c r="H153" s="61">
        <v>379.75</v>
      </c>
      <c r="I153" s="61">
        <v>293.20999999999998</v>
      </c>
      <c r="J153" s="61">
        <v>86.54</v>
      </c>
      <c r="K153" s="61" t="s">
        <v>4248</v>
      </c>
    </row>
    <row r="154" spans="1:11">
      <c r="A154" s="61">
        <v>151</v>
      </c>
      <c r="B154" s="203" t="s">
        <v>3872</v>
      </c>
      <c r="C154" s="61" t="s">
        <v>4462</v>
      </c>
      <c r="D154" s="61" t="s">
        <v>35</v>
      </c>
      <c r="E154" s="209">
        <v>1399000</v>
      </c>
      <c r="F154" s="212">
        <f t="shared" si="4"/>
        <v>1357030</v>
      </c>
      <c r="G154" s="206">
        <f t="shared" si="5"/>
        <v>1315060</v>
      </c>
      <c r="H154" s="61">
        <v>379.75</v>
      </c>
      <c r="I154" s="61">
        <v>293.20999999999998</v>
      </c>
      <c r="J154" s="61">
        <v>86.54</v>
      </c>
      <c r="K154" s="61" t="s">
        <v>4248</v>
      </c>
    </row>
    <row r="155" spans="1:11">
      <c r="A155" s="61">
        <v>152</v>
      </c>
      <c r="B155" s="203" t="s">
        <v>3873</v>
      </c>
      <c r="C155" s="61" t="s">
        <v>4495</v>
      </c>
      <c r="D155" s="61" t="s">
        <v>35</v>
      </c>
      <c r="E155" s="209">
        <v>1401000</v>
      </c>
      <c r="F155" s="212">
        <f t="shared" si="4"/>
        <v>1358970</v>
      </c>
      <c r="G155" s="206">
        <f t="shared" si="5"/>
        <v>1316940</v>
      </c>
      <c r="H155" s="61">
        <v>389.55</v>
      </c>
      <c r="I155" s="61">
        <v>293.20999999999998</v>
      </c>
      <c r="J155" s="61">
        <v>96.34</v>
      </c>
      <c r="K155" s="61" t="s">
        <v>3759</v>
      </c>
    </row>
    <row r="156" spans="1:11">
      <c r="A156" s="61">
        <v>153</v>
      </c>
      <c r="B156" s="203" t="s">
        <v>3874</v>
      </c>
      <c r="C156" s="61" t="s">
        <v>4495</v>
      </c>
      <c r="D156" s="61" t="s">
        <v>35</v>
      </c>
      <c r="E156" s="209">
        <v>1401000</v>
      </c>
      <c r="F156" s="212">
        <f t="shared" si="4"/>
        <v>1358970</v>
      </c>
      <c r="G156" s="206">
        <f t="shared" si="5"/>
        <v>1316940</v>
      </c>
      <c r="H156" s="61">
        <v>389.65</v>
      </c>
      <c r="I156" s="61">
        <v>293.20999999999998</v>
      </c>
      <c r="J156" s="61">
        <v>96.44</v>
      </c>
      <c r="K156" s="61" t="s">
        <v>3759</v>
      </c>
    </row>
    <row r="157" spans="1:11">
      <c r="A157" s="61">
        <v>154</v>
      </c>
      <c r="B157" s="203" t="s">
        <v>3875</v>
      </c>
      <c r="C157" s="61" t="s">
        <v>4462</v>
      </c>
      <c r="D157" s="61" t="s">
        <v>35</v>
      </c>
      <c r="E157" s="209">
        <v>1398000</v>
      </c>
      <c r="F157" s="212">
        <f t="shared" si="4"/>
        <v>1356060</v>
      </c>
      <c r="G157" s="206">
        <f t="shared" si="5"/>
        <v>1314120</v>
      </c>
      <c r="H157" s="61">
        <v>385.03</v>
      </c>
      <c r="I157" s="61">
        <v>293.20999999999998</v>
      </c>
      <c r="J157" s="61">
        <v>91.82</v>
      </c>
      <c r="K157" s="61" t="s">
        <v>4248</v>
      </c>
    </row>
    <row r="158" spans="1:11">
      <c r="A158" s="61">
        <v>155</v>
      </c>
      <c r="B158" s="203" t="s">
        <v>3876</v>
      </c>
      <c r="C158" s="61" t="s">
        <v>4462</v>
      </c>
      <c r="D158" s="61" t="s">
        <v>35</v>
      </c>
      <c r="E158" s="209">
        <v>1398000</v>
      </c>
      <c r="F158" s="212">
        <f t="shared" si="4"/>
        <v>1356060</v>
      </c>
      <c r="G158" s="206">
        <f t="shared" si="5"/>
        <v>1314120</v>
      </c>
      <c r="H158" s="61">
        <v>402.35</v>
      </c>
      <c r="I158" s="61">
        <v>293.20999999999998</v>
      </c>
      <c r="J158" s="61">
        <v>109.15</v>
      </c>
      <c r="K158" s="61" t="s">
        <v>4248</v>
      </c>
    </row>
    <row r="159" spans="1:11">
      <c r="A159" s="61">
        <v>156</v>
      </c>
      <c r="B159" s="203" t="s">
        <v>3877</v>
      </c>
      <c r="C159" s="61" t="s">
        <v>4462</v>
      </c>
      <c r="D159" s="61" t="s">
        <v>35</v>
      </c>
      <c r="E159" s="209">
        <v>1398000</v>
      </c>
      <c r="F159" s="212">
        <f t="shared" si="4"/>
        <v>1356060</v>
      </c>
      <c r="G159" s="206">
        <f t="shared" si="5"/>
        <v>1314120</v>
      </c>
      <c r="H159" s="61">
        <v>402.35</v>
      </c>
      <c r="I159" s="61">
        <v>293.20999999999998</v>
      </c>
      <c r="J159" s="61">
        <v>109.15</v>
      </c>
      <c r="K159" s="61" t="s">
        <v>4248</v>
      </c>
    </row>
    <row r="160" spans="1:11">
      <c r="A160" s="61">
        <v>157</v>
      </c>
      <c r="B160" s="203" t="s">
        <v>3878</v>
      </c>
      <c r="C160" s="61" t="s">
        <v>4495</v>
      </c>
      <c r="D160" s="61" t="s">
        <v>35</v>
      </c>
      <c r="E160" s="209">
        <v>1401000</v>
      </c>
      <c r="F160" s="212">
        <f t="shared" si="4"/>
        <v>1358970</v>
      </c>
      <c r="G160" s="206">
        <f t="shared" si="5"/>
        <v>1316940</v>
      </c>
      <c r="H160" s="61">
        <v>389.33</v>
      </c>
      <c r="I160" s="61">
        <v>293.20999999999998</v>
      </c>
      <c r="J160" s="61">
        <v>96.12</v>
      </c>
      <c r="K160" s="61" t="s">
        <v>3759</v>
      </c>
    </row>
    <row r="161" spans="1:11">
      <c r="A161" s="61">
        <v>158</v>
      </c>
      <c r="B161" s="203" t="s">
        <v>3879</v>
      </c>
      <c r="C161" s="61" t="s">
        <v>4495</v>
      </c>
      <c r="D161" s="61" t="s">
        <v>35</v>
      </c>
      <c r="E161" s="209">
        <v>1399000</v>
      </c>
      <c r="F161" s="212">
        <f t="shared" si="4"/>
        <v>1357030</v>
      </c>
      <c r="G161" s="206">
        <f t="shared" si="5"/>
        <v>1315060</v>
      </c>
      <c r="H161" s="61">
        <v>362.31</v>
      </c>
      <c r="I161" s="61">
        <v>293.20999999999998</v>
      </c>
      <c r="J161" s="61">
        <v>69.099999999999994</v>
      </c>
      <c r="K161" s="61" t="s">
        <v>4248</v>
      </c>
    </row>
    <row r="162" spans="1:11">
      <c r="A162" s="61">
        <v>159</v>
      </c>
      <c r="B162" s="203" t="s">
        <v>3880</v>
      </c>
      <c r="C162" s="61" t="s">
        <v>4495</v>
      </c>
      <c r="D162" s="61" t="s">
        <v>35</v>
      </c>
      <c r="E162" s="209">
        <v>1399000</v>
      </c>
      <c r="F162" s="212">
        <f t="shared" si="4"/>
        <v>1357030</v>
      </c>
      <c r="G162" s="206">
        <f t="shared" si="5"/>
        <v>1315060</v>
      </c>
      <c r="H162" s="61">
        <v>362.31</v>
      </c>
      <c r="I162" s="61">
        <v>293.20999999999998</v>
      </c>
      <c r="J162" s="61">
        <v>69.099999999999994</v>
      </c>
      <c r="K162" s="61" t="s">
        <v>4248</v>
      </c>
    </row>
    <row r="163" spans="1:11">
      <c r="A163" s="61">
        <v>160</v>
      </c>
      <c r="B163" s="203" t="s">
        <v>3881</v>
      </c>
      <c r="C163" s="61" t="s">
        <v>4462</v>
      </c>
      <c r="D163" s="61" t="s">
        <v>35</v>
      </c>
      <c r="E163" s="209">
        <v>1397000</v>
      </c>
      <c r="F163" s="212">
        <f t="shared" si="4"/>
        <v>1355090</v>
      </c>
      <c r="G163" s="206">
        <f t="shared" si="5"/>
        <v>1313180</v>
      </c>
      <c r="H163" s="61">
        <v>389.65</v>
      </c>
      <c r="I163" s="61">
        <v>293.20999999999998</v>
      </c>
      <c r="J163" s="61">
        <v>96.44</v>
      </c>
      <c r="K163" s="61" t="s">
        <v>4248</v>
      </c>
    </row>
    <row r="164" spans="1:11">
      <c r="A164" s="61">
        <v>161</v>
      </c>
      <c r="B164" s="203" t="s">
        <v>3882</v>
      </c>
      <c r="C164" s="61" t="s">
        <v>4462</v>
      </c>
      <c r="D164" s="61" t="s">
        <v>35</v>
      </c>
      <c r="E164" s="209">
        <v>1397000</v>
      </c>
      <c r="F164" s="212">
        <f t="shared" si="4"/>
        <v>1355090</v>
      </c>
      <c r="G164" s="206">
        <f t="shared" si="5"/>
        <v>1313180</v>
      </c>
      <c r="H164" s="61">
        <v>389.33</v>
      </c>
      <c r="I164" s="61">
        <v>293.20999999999998</v>
      </c>
      <c r="J164" s="61">
        <v>96.12</v>
      </c>
      <c r="K164" s="61" t="s">
        <v>4248</v>
      </c>
    </row>
    <row r="165" spans="1:11">
      <c r="A165" s="61">
        <v>162</v>
      </c>
      <c r="B165" s="203" t="s">
        <v>3883</v>
      </c>
      <c r="C165" s="61" t="s">
        <v>4462</v>
      </c>
      <c r="D165" s="61" t="s">
        <v>35</v>
      </c>
      <c r="E165" s="209">
        <v>1397000</v>
      </c>
      <c r="F165" s="212">
        <f t="shared" si="4"/>
        <v>1355090</v>
      </c>
      <c r="G165" s="206">
        <f t="shared" si="5"/>
        <v>1313180</v>
      </c>
      <c r="H165" s="61">
        <v>389.55</v>
      </c>
      <c r="I165" s="61">
        <v>293.20999999999998</v>
      </c>
      <c r="J165" s="61">
        <v>96.34</v>
      </c>
      <c r="K165" s="61" t="s">
        <v>4248</v>
      </c>
    </row>
    <row r="166" spans="1:11">
      <c r="A166" s="61">
        <v>163</v>
      </c>
      <c r="B166" s="203" t="s">
        <v>3884</v>
      </c>
      <c r="C166" s="61" t="s">
        <v>4462</v>
      </c>
      <c r="D166" s="61" t="s">
        <v>35</v>
      </c>
      <c r="E166" s="209">
        <v>1397000</v>
      </c>
      <c r="F166" s="212">
        <f t="shared" si="4"/>
        <v>1355090</v>
      </c>
      <c r="G166" s="206">
        <f t="shared" si="5"/>
        <v>1313180</v>
      </c>
      <c r="H166" s="61">
        <v>389.33</v>
      </c>
      <c r="I166" s="61">
        <v>293.20999999999998</v>
      </c>
      <c r="J166" s="61">
        <v>96.12</v>
      </c>
      <c r="K166" s="61" t="s">
        <v>4248</v>
      </c>
    </row>
    <row r="167" spans="1:11">
      <c r="A167" s="61">
        <v>164</v>
      </c>
      <c r="B167" s="203" t="s">
        <v>3885</v>
      </c>
      <c r="C167" s="61" t="s">
        <v>4462</v>
      </c>
      <c r="D167" s="61" t="s">
        <v>35</v>
      </c>
      <c r="E167" s="209">
        <v>1397000</v>
      </c>
      <c r="F167" s="212">
        <f t="shared" si="4"/>
        <v>1355090</v>
      </c>
      <c r="G167" s="206">
        <f t="shared" si="5"/>
        <v>1313180</v>
      </c>
      <c r="H167" s="61">
        <v>394.5</v>
      </c>
      <c r="I167" s="61">
        <v>293.20999999999998</v>
      </c>
      <c r="J167" s="61">
        <v>101.29</v>
      </c>
      <c r="K167" s="61" t="s">
        <v>4248</v>
      </c>
    </row>
    <row r="168" spans="1:11">
      <c r="A168" s="61">
        <v>165</v>
      </c>
      <c r="B168" s="203" t="s">
        <v>3886</v>
      </c>
      <c r="C168" s="61" t="s">
        <v>4462</v>
      </c>
      <c r="D168" s="61" t="s">
        <v>35</v>
      </c>
      <c r="E168" s="209">
        <v>1397000</v>
      </c>
      <c r="F168" s="212">
        <f t="shared" si="4"/>
        <v>1355090</v>
      </c>
      <c r="G168" s="206">
        <f t="shared" si="5"/>
        <v>1313180</v>
      </c>
      <c r="H168" s="61">
        <v>394.6</v>
      </c>
      <c r="I168" s="61">
        <v>293.20999999999998</v>
      </c>
      <c r="J168" s="61">
        <v>101.4</v>
      </c>
      <c r="K168" s="61" t="s">
        <v>4248</v>
      </c>
    </row>
    <row r="169" spans="1:11">
      <c r="A169" s="61">
        <v>166</v>
      </c>
      <c r="B169" s="203" t="s">
        <v>3887</v>
      </c>
      <c r="C169" s="61" t="s">
        <v>4462</v>
      </c>
      <c r="D169" s="61" t="s">
        <v>35</v>
      </c>
      <c r="E169" s="209">
        <v>1396000</v>
      </c>
      <c r="F169" s="212">
        <f t="shared" si="4"/>
        <v>1354120</v>
      </c>
      <c r="G169" s="206">
        <f t="shared" si="5"/>
        <v>1312240</v>
      </c>
      <c r="H169" s="61">
        <v>400.53</v>
      </c>
      <c r="I169" s="61">
        <v>291.27</v>
      </c>
      <c r="J169" s="61">
        <v>109.25</v>
      </c>
      <c r="K169" s="61" t="s">
        <v>3759</v>
      </c>
    </row>
    <row r="170" spans="1:11">
      <c r="A170" s="61">
        <v>167</v>
      </c>
      <c r="B170" s="203" t="s">
        <v>3888</v>
      </c>
      <c r="C170" s="61" t="s">
        <v>4462</v>
      </c>
      <c r="D170" s="61" t="s">
        <v>35</v>
      </c>
      <c r="E170" s="209">
        <v>1396000</v>
      </c>
      <c r="F170" s="212">
        <f t="shared" si="4"/>
        <v>1354120</v>
      </c>
      <c r="G170" s="206">
        <f t="shared" si="5"/>
        <v>1312240</v>
      </c>
      <c r="H170" s="61">
        <v>400.53</v>
      </c>
      <c r="I170" s="61">
        <v>291.27</v>
      </c>
      <c r="J170" s="61">
        <v>109.25</v>
      </c>
      <c r="K170" s="61" t="s">
        <v>3759</v>
      </c>
    </row>
    <row r="171" spans="1:11">
      <c r="A171" s="61">
        <v>168</v>
      </c>
      <c r="B171" s="203" t="s">
        <v>3889</v>
      </c>
      <c r="C171" s="61" t="s">
        <v>4494</v>
      </c>
      <c r="D171" s="61" t="s">
        <v>35</v>
      </c>
      <c r="E171" s="209">
        <v>1400000</v>
      </c>
      <c r="F171" s="212">
        <f t="shared" si="4"/>
        <v>1358000</v>
      </c>
      <c r="G171" s="206">
        <f t="shared" si="5"/>
        <v>1316000</v>
      </c>
      <c r="H171" s="61">
        <v>379.75</v>
      </c>
      <c r="I171" s="61">
        <v>293.20999999999998</v>
      </c>
      <c r="J171" s="61">
        <v>86.54</v>
      </c>
      <c r="K171" s="61" t="s">
        <v>3759</v>
      </c>
    </row>
    <row r="172" spans="1:11">
      <c r="A172" s="61">
        <v>169</v>
      </c>
      <c r="B172" s="203" t="s">
        <v>3890</v>
      </c>
      <c r="C172" s="61" t="s">
        <v>4494</v>
      </c>
      <c r="D172" s="61" t="s">
        <v>35</v>
      </c>
      <c r="E172" s="209">
        <v>1400000</v>
      </c>
      <c r="F172" s="212">
        <f t="shared" si="4"/>
        <v>1358000</v>
      </c>
      <c r="G172" s="206">
        <f t="shared" si="5"/>
        <v>1316000</v>
      </c>
      <c r="H172" s="61">
        <v>394.93</v>
      </c>
      <c r="I172" s="61">
        <v>293.75</v>
      </c>
      <c r="J172" s="61">
        <v>101.18</v>
      </c>
      <c r="K172" s="61" t="s">
        <v>3759</v>
      </c>
    </row>
    <row r="173" spans="1:11">
      <c r="A173" s="61">
        <v>170</v>
      </c>
      <c r="B173" s="203" t="s">
        <v>3891</v>
      </c>
      <c r="C173" s="61" t="s">
        <v>4494</v>
      </c>
      <c r="D173" s="61" t="s">
        <v>35</v>
      </c>
      <c r="E173" s="209">
        <v>1400000</v>
      </c>
      <c r="F173" s="212">
        <f t="shared" si="4"/>
        <v>1358000</v>
      </c>
      <c r="G173" s="206">
        <f t="shared" si="5"/>
        <v>1316000</v>
      </c>
      <c r="H173" s="61">
        <v>394.93</v>
      </c>
      <c r="I173" s="61">
        <v>293.75</v>
      </c>
      <c r="J173" s="61">
        <v>101.18</v>
      </c>
      <c r="K173" s="61" t="s">
        <v>3759</v>
      </c>
    </row>
    <row r="174" spans="1:11">
      <c r="A174" s="61">
        <v>171</v>
      </c>
      <c r="B174" s="203" t="s">
        <v>3892</v>
      </c>
      <c r="C174" s="61" t="s">
        <v>4495</v>
      </c>
      <c r="D174" s="61" t="s">
        <v>35</v>
      </c>
      <c r="E174" s="209">
        <v>1396000</v>
      </c>
      <c r="F174" s="212">
        <f t="shared" si="4"/>
        <v>1354120</v>
      </c>
      <c r="G174" s="206">
        <f t="shared" si="5"/>
        <v>1312240</v>
      </c>
      <c r="H174" s="61">
        <v>403.65</v>
      </c>
      <c r="I174" s="61">
        <v>293.20999999999998</v>
      </c>
      <c r="J174" s="61">
        <v>110.44</v>
      </c>
      <c r="K174" s="61" t="s">
        <v>4248</v>
      </c>
    </row>
    <row r="175" spans="1:11">
      <c r="A175" s="61">
        <v>172</v>
      </c>
      <c r="B175" s="203" t="s">
        <v>3893</v>
      </c>
      <c r="C175" s="61" t="s">
        <v>4495</v>
      </c>
      <c r="D175" s="61" t="s">
        <v>35</v>
      </c>
      <c r="E175" s="209">
        <v>1396000</v>
      </c>
      <c r="F175" s="212">
        <f t="shared" si="4"/>
        <v>1354120</v>
      </c>
      <c r="G175" s="206">
        <f t="shared" si="5"/>
        <v>1312240</v>
      </c>
      <c r="H175" s="61">
        <v>403.65</v>
      </c>
      <c r="I175" s="61">
        <v>293.20999999999998</v>
      </c>
      <c r="J175" s="61">
        <v>110.44</v>
      </c>
      <c r="K175" s="61" t="s">
        <v>4248</v>
      </c>
    </row>
    <row r="176" spans="1:11">
      <c r="A176" s="61">
        <v>173</v>
      </c>
      <c r="B176" s="203" t="s">
        <v>3894</v>
      </c>
      <c r="C176" s="61" t="s">
        <v>4494</v>
      </c>
      <c r="D176" s="61" t="s">
        <v>35</v>
      </c>
      <c r="E176" s="209">
        <v>1400000</v>
      </c>
      <c r="F176" s="212">
        <f t="shared" si="4"/>
        <v>1358000</v>
      </c>
      <c r="G176" s="206">
        <f t="shared" si="5"/>
        <v>1316000</v>
      </c>
      <c r="H176" s="61">
        <v>385.13</v>
      </c>
      <c r="I176" s="61">
        <v>293.20999999999998</v>
      </c>
      <c r="J176" s="61">
        <v>91.92</v>
      </c>
      <c r="K176" s="61" t="s">
        <v>3759</v>
      </c>
    </row>
    <row r="177" spans="1:11">
      <c r="A177" s="61">
        <v>174</v>
      </c>
      <c r="B177" s="203" t="s">
        <v>3895</v>
      </c>
      <c r="C177" s="61" t="s">
        <v>4494</v>
      </c>
      <c r="D177" s="61" t="s">
        <v>35</v>
      </c>
      <c r="E177" s="209">
        <v>1400000</v>
      </c>
      <c r="F177" s="212">
        <f t="shared" si="4"/>
        <v>1358000</v>
      </c>
      <c r="G177" s="206">
        <f t="shared" si="5"/>
        <v>1316000</v>
      </c>
      <c r="H177" s="61">
        <v>385.03</v>
      </c>
      <c r="I177" s="61">
        <v>293.20999999999998</v>
      </c>
      <c r="J177" s="61">
        <v>91.82</v>
      </c>
      <c r="K177" s="61" t="s">
        <v>3759</v>
      </c>
    </row>
    <row r="178" spans="1:11">
      <c r="A178" s="61">
        <v>175</v>
      </c>
      <c r="B178" s="203" t="s">
        <v>3896</v>
      </c>
      <c r="C178" s="61" t="s">
        <v>33</v>
      </c>
      <c r="D178" s="61" t="s">
        <v>35</v>
      </c>
      <c r="E178" s="209">
        <v>1401000</v>
      </c>
      <c r="F178" s="212">
        <f t="shared" si="4"/>
        <v>1358970</v>
      </c>
      <c r="G178" s="206">
        <f t="shared" si="5"/>
        <v>1316940</v>
      </c>
      <c r="H178" s="61">
        <v>362.31</v>
      </c>
      <c r="I178" s="61">
        <v>293.20999999999998</v>
      </c>
      <c r="J178" s="61">
        <v>69.099999999999994</v>
      </c>
      <c r="K178" s="61" t="s">
        <v>3759</v>
      </c>
    </row>
    <row r="179" spans="1:11">
      <c r="A179" s="61">
        <v>176</v>
      </c>
      <c r="B179" s="203" t="s">
        <v>3897</v>
      </c>
      <c r="C179" s="61" t="s">
        <v>4495</v>
      </c>
      <c r="D179" s="61" t="s">
        <v>35</v>
      </c>
      <c r="E179" s="209">
        <v>1396000</v>
      </c>
      <c r="F179" s="212">
        <f t="shared" si="4"/>
        <v>1354120</v>
      </c>
      <c r="G179" s="206">
        <f t="shared" si="5"/>
        <v>1312240</v>
      </c>
      <c r="H179" s="61">
        <v>379.75</v>
      </c>
      <c r="I179" s="61">
        <v>293.20999999999998</v>
      </c>
      <c r="J179" s="61">
        <v>86.54</v>
      </c>
      <c r="K179" s="61" t="s">
        <v>4248</v>
      </c>
    </row>
    <row r="180" spans="1:11">
      <c r="A180" s="61">
        <v>177</v>
      </c>
      <c r="B180" s="203" t="s">
        <v>3898</v>
      </c>
      <c r="C180" s="61" t="s">
        <v>4495</v>
      </c>
      <c r="D180" s="61" t="s">
        <v>35</v>
      </c>
      <c r="E180" s="209">
        <v>1396000</v>
      </c>
      <c r="F180" s="212">
        <f t="shared" si="4"/>
        <v>1354120</v>
      </c>
      <c r="G180" s="206">
        <f t="shared" si="5"/>
        <v>1312240</v>
      </c>
      <c r="H180" s="61">
        <v>385.03</v>
      </c>
      <c r="I180" s="61">
        <v>293.20999999999998</v>
      </c>
      <c r="J180" s="61">
        <v>91.82</v>
      </c>
      <c r="K180" s="61" t="s">
        <v>4248</v>
      </c>
    </row>
    <row r="181" spans="1:11">
      <c r="A181" s="61">
        <v>178</v>
      </c>
      <c r="B181" s="203" t="s">
        <v>3899</v>
      </c>
      <c r="C181" s="61" t="s">
        <v>4495</v>
      </c>
      <c r="D181" s="61" t="s">
        <v>35</v>
      </c>
      <c r="E181" s="209">
        <v>1395000</v>
      </c>
      <c r="F181" s="212">
        <f t="shared" si="4"/>
        <v>1353150</v>
      </c>
      <c r="G181" s="206">
        <f t="shared" si="5"/>
        <v>1311300</v>
      </c>
      <c r="H181" s="61">
        <v>402.35</v>
      </c>
      <c r="I181" s="61">
        <v>293.20999999999998</v>
      </c>
      <c r="J181" s="61">
        <v>109.15</v>
      </c>
      <c r="K181" s="61" t="s">
        <v>4248</v>
      </c>
    </row>
    <row r="182" spans="1:11">
      <c r="A182" s="61">
        <v>179</v>
      </c>
      <c r="B182" s="203" t="s">
        <v>3900</v>
      </c>
      <c r="C182" s="61" t="s">
        <v>4495</v>
      </c>
      <c r="D182" s="61" t="s">
        <v>35</v>
      </c>
      <c r="E182" s="209">
        <v>1395000</v>
      </c>
      <c r="F182" s="212">
        <f t="shared" si="4"/>
        <v>1353150</v>
      </c>
      <c r="G182" s="206">
        <f t="shared" si="5"/>
        <v>1311300</v>
      </c>
      <c r="H182" s="61">
        <v>402.35</v>
      </c>
      <c r="I182" s="61">
        <v>293.20999999999998</v>
      </c>
      <c r="J182" s="61">
        <v>109.15</v>
      </c>
      <c r="K182" s="61" t="s">
        <v>4248</v>
      </c>
    </row>
    <row r="183" spans="1:11">
      <c r="A183" s="61">
        <v>180</v>
      </c>
      <c r="B183" s="203" t="s">
        <v>3901</v>
      </c>
      <c r="C183" s="61" t="s">
        <v>4495</v>
      </c>
      <c r="D183" s="61" t="s">
        <v>35</v>
      </c>
      <c r="E183" s="209">
        <v>1396000</v>
      </c>
      <c r="F183" s="212">
        <f t="shared" si="4"/>
        <v>1354120</v>
      </c>
      <c r="G183" s="206">
        <f t="shared" si="5"/>
        <v>1312240</v>
      </c>
      <c r="H183" s="61">
        <v>385.13</v>
      </c>
      <c r="I183" s="61">
        <v>293.20999999999998</v>
      </c>
      <c r="J183" s="61">
        <v>91.92</v>
      </c>
      <c r="K183" s="61" t="s">
        <v>4248</v>
      </c>
    </row>
    <row r="184" spans="1:11">
      <c r="A184" s="61">
        <v>181</v>
      </c>
      <c r="B184" s="203" t="s">
        <v>3902</v>
      </c>
      <c r="C184" s="61" t="s">
        <v>4495</v>
      </c>
      <c r="D184" s="61" t="s">
        <v>35</v>
      </c>
      <c r="E184" s="209">
        <v>1396000</v>
      </c>
      <c r="F184" s="212">
        <f t="shared" si="4"/>
        <v>1354120</v>
      </c>
      <c r="G184" s="206">
        <f t="shared" si="5"/>
        <v>1312240</v>
      </c>
      <c r="H184" s="61">
        <v>379.75</v>
      </c>
      <c r="I184" s="61">
        <v>293.20999999999998</v>
      </c>
      <c r="J184" s="61">
        <v>86.54</v>
      </c>
      <c r="K184" s="61" t="s">
        <v>4248</v>
      </c>
    </row>
    <row r="185" spans="1:11">
      <c r="A185" s="61">
        <v>182</v>
      </c>
      <c r="B185" s="203" t="s">
        <v>3903</v>
      </c>
      <c r="C185" s="61" t="s">
        <v>4494</v>
      </c>
      <c r="D185" s="61" t="s">
        <v>35</v>
      </c>
      <c r="E185" s="209">
        <v>1398000</v>
      </c>
      <c r="F185" s="212">
        <f t="shared" si="4"/>
        <v>1356060</v>
      </c>
      <c r="G185" s="206">
        <f t="shared" si="5"/>
        <v>1314120</v>
      </c>
      <c r="H185" s="61">
        <v>389.33</v>
      </c>
      <c r="I185" s="61">
        <v>293.20999999999998</v>
      </c>
      <c r="J185" s="61">
        <v>96.12</v>
      </c>
      <c r="K185" s="61" t="s">
        <v>3759</v>
      </c>
    </row>
    <row r="186" spans="1:11">
      <c r="A186" s="61">
        <v>183</v>
      </c>
      <c r="B186" s="203" t="s">
        <v>3904</v>
      </c>
      <c r="C186" s="61" t="s">
        <v>4494</v>
      </c>
      <c r="D186" s="61" t="s">
        <v>35</v>
      </c>
      <c r="E186" s="209">
        <v>1399000</v>
      </c>
      <c r="F186" s="212">
        <f t="shared" si="4"/>
        <v>1357030</v>
      </c>
      <c r="G186" s="206">
        <f t="shared" si="5"/>
        <v>1315060</v>
      </c>
      <c r="H186" s="61">
        <v>389.55</v>
      </c>
      <c r="I186" s="61">
        <v>293.20999999999998</v>
      </c>
      <c r="J186" s="61">
        <v>96.34</v>
      </c>
      <c r="K186" s="61" t="s">
        <v>3759</v>
      </c>
    </row>
    <row r="187" spans="1:11">
      <c r="A187" s="61">
        <v>184</v>
      </c>
      <c r="B187" s="203" t="s">
        <v>3905</v>
      </c>
      <c r="C187" s="61" t="s">
        <v>4494</v>
      </c>
      <c r="D187" s="61" t="s">
        <v>35</v>
      </c>
      <c r="E187" s="209">
        <v>1399000</v>
      </c>
      <c r="F187" s="212">
        <f t="shared" si="4"/>
        <v>1357030</v>
      </c>
      <c r="G187" s="206">
        <f t="shared" si="5"/>
        <v>1315060</v>
      </c>
      <c r="H187" s="61">
        <v>389.65</v>
      </c>
      <c r="I187" s="61">
        <v>293.20999999999998</v>
      </c>
      <c r="J187" s="61">
        <v>96.44</v>
      </c>
      <c r="K187" s="61" t="s">
        <v>3759</v>
      </c>
    </row>
    <row r="188" spans="1:11">
      <c r="A188" s="61">
        <v>185</v>
      </c>
      <c r="B188" s="203" t="s">
        <v>3906</v>
      </c>
      <c r="C188" s="61" t="s">
        <v>4494</v>
      </c>
      <c r="D188" s="61" t="s">
        <v>35</v>
      </c>
      <c r="E188" s="209">
        <v>1397000</v>
      </c>
      <c r="F188" s="212">
        <f t="shared" si="4"/>
        <v>1355090</v>
      </c>
      <c r="G188" s="206">
        <f t="shared" si="5"/>
        <v>1313180</v>
      </c>
      <c r="H188" s="61">
        <v>362.31</v>
      </c>
      <c r="I188" s="61">
        <v>293.20999999999998</v>
      </c>
      <c r="J188" s="61">
        <v>69.099999999999994</v>
      </c>
      <c r="K188" s="61" t="s">
        <v>4248</v>
      </c>
    </row>
    <row r="189" spans="1:11">
      <c r="A189" s="61">
        <v>186</v>
      </c>
      <c r="B189" s="203" t="s">
        <v>3907</v>
      </c>
      <c r="C189" s="61" t="s">
        <v>4494</v>
      </c>
      <c r="D189" s="61" t="s">
        <v>35</v>
      </c>
      <c r="E189" s="209">
        <v>1397000</v>
      </c>
      <c r="F189" s="212">
        <f t="shared" si="4"/>
        <v>1355090</v>
      </c>
      <c r="G189" s="206">
        <f t="shared" si="5"/>
        <v>1313180</v>
      </c>
      <c r="H189" s="61">
        <v>362.31</v>
      </c>
      <c r="I189" s="61">
        <v>293.20999999999998</v>
      </c>
      <c r="J189" s="61">
        <v>69.099999999999994</v>
      </c>
      <c r="K189" s="61" t="s">
        <v>4248</v>
      </c>
    </row>
    <row r="190" spans="1:11">
      <c r="A190" s="61">
        <v>187</v>
      </c>
      <c r="B190" s="203" t="s">
        <v>3908</v>
      </c>
      <c r="C190" s="61" t="s">
        <v>4495</v>
      </c>
      <c r="D190" s="61" t="s">
        <v>35</v>
      </c>
      <c r="E190" s="209">
        <v>1394000</v>
      </c>
      <c r="F190" s="212">
        <f t="shared" si="4"/>
        <v>1352180</v>
      </c>
      <c r="G190" s="206">
        <f t="shared" si="5"/>
        <v>1310360</v>
      </c>
      <c r="H190" s="61">
        <v>389.33</v>
      </c>
      <c r="I190" s="61">
        <v>293.20999999999998</v>
      </c>
      <c r="J190" s="61">
        <v>96.12</v>
      </c>
      <c r="K190" s="61" t="s">
        <v>4248</v>
      </c>
    </row>
    <row r="191" spans="1:11">
      <c r="A191" s="61">
        <v>188</v>
      </c>
      <c r="B191" s="203" t="s">
        <v>3909</v>
      </c>
      <c r="C191" s="61" t="s">
        <v>4495</v>
      </c>
      <c r="D191" s="61" t="s">
        <v>35</v>
      </c>
      <c r="E191" s="209">
        <v>1395000</v>
      </c>
      <c r="F191" s="212">
        <f t="shared" si="4"/>
        <v>1353150</v>
      </c>
      <c r="G191" s="206">
        <f t="shared" si="5"/>
        <v>1311300</v>
      </c>
      <c r="H191" s="61">
        <v>389.65</v>
      </c>
      <c r="I191" s="61">
        <v>293.20999999999998</v>
      </c>
      <c r="J191" s="61">
        <v>96.44</v>
      </c>
      <c r="K191" s="61" t="s">
        <v>4248</v>
      </c>
    </row>
    <row r="192" spans="1:11">
      <c r="A192" s="61">
        <v>189</v>
      </c>
      <c r="B192" s="203" t="s">
        <v>3910</v>
      </c>
      <c r="C192" s="61" t="s">
        <v>4495</v>
      </c>
      <c r="D192" s="61" t="s">
        <v>35</v>
      </c>
      <c r="E192" s="209">
        <v>1395000</v>
      </c>
      <c r="F192" s="212">
        <f t="shared" si="4"/>
        <v>1353150</v>
      </c>
      <c r="G192" s="206">
        <f t="shared" si="5"/>
        <v>1311300</v>
      </c>
      <c r="H192" s="61">
        <v>389.55</v>
      </c>
      <c r="I192" s="61">
        <v>293.20999999999998</v>
      </c>
      <c r="J192" s="61">
        <v>96.34</v>
      </c>
      <c r="K192" s="61" t="s">
        <v>4248</v>
      </c>
    </row>
    <row r="193" spans="1:11">
      <c r="A193" s="61">
        <v>190</v>
      </c>
      <c r="B193" s="203" t="s">
        <v>3911</v>
      </c>
      <c r="C193" s="61" t="s">
        <v>4495</v>
      </c>
      <c r="D193" s="61" t="s">
        <v>35</v>
      </c>
      <c r="E193" s="209">
        <v>1394000</v>
      </c>
      <c r="F193" s="212">
        <f t="shared" si="4"/>
        <v>1352180</v>
      </c>
      <c r="G193" s="206">
        <f t="shared" si="5"/>
        <v>1310360</v>
      </c>
      <c r="H193" s="61">
        <v>389.33</v>
      </c>
      <c r="I193" s="61">
        <v>293.20999999999998</v>
      </c>
      <c r="J193" s="61">
        <v>96.12</v>
      </c>
      <c r="K193" s="61" t="s">
        <v>4248</v>
      </c>
    </row>
    <row r="194" spans="1:11">
      <c r="A194" s="61">
        <v>191</v>
      </c>
      <c r="B194" s="203" t="s">
        <v>3912</v>
      </c>
      <c r="C194" s="61" t="s">
        <v>4495</v>
      </c>
      <c r="D194" s="61" t="s">
        <v>35</v>
      </c>
      <c r="E194" s="209">
        <v>1394000</v>
      </c>
      <c r="F194" s="212">
        <f t="shared" si="4"/>
        <v>1352180</v>
      </c>
      <c r="G194" s="206">
        <f t="shared" si="5"/>
        <v>1310360</v>
      </c>
      <c r="H194" s="61">
        <v>394.5</v>
      </c>
      <c r="I194" s="61">
        <v>293.20999999999998</v>
      </c>
      <c r="J194" s="61">
        <v>101.29</v>
      </c>
      <c r="K194" s="61" t="s">
        <v>4248</v>
      </c>
    </row>
    <row r="195" spans="1:11">
      <c r="A195" s="61">
        <v>192</v>
      </c>
      <c r="B195" s="203" t="s">
        <v>3913</v>
      </c>
      <c r="C195" s="61" t="s">
        <v>4495</v>
      </c>
      <c r="D195" s="61" t="s">
        <v>35</v>
      </c>
      <c r="E195" s="209">
        <v>1394000</v>
      </c>
      <c r="F195" s="212">
        <f t="shared" si="4"/>
        <v>1352180</v>
      </c>
      <c r="G195" s="206">
        <f t="shared" si="5"/>
        <v>1310360</v>
      </c>
      <c r="H195" s="61">
        <v>394.6</v>
      </c>
      <c r="I195" s="61">
        <v>293.20999999999998</v>
      </c>
      <c r="J195" s="61">
        <v>101.4</v>
      </c>
      <c r="K195" s="61" t="s">
        <v>4248</v>
      </c>
    </row>
    <row r="196" spans="1:11">
      <c r="A196" s="61">
        <v>193</v>
      </c>
      <c r="B196" s="203" t="s">
        <v>3914</v>
      </c>
      <c r="C196" s="61" t="s">
        <v>4495</v>
      </c>
      <c r="D196" s="61" t="s">
        <v>35</v>
      </c>
      <c r="E196" s="209">
        <v>1393000</v>
      </c>
      <c r="F196" s="212">
        <f t="shared" si="4"/>
        <v>1351210</v>
      </c>
      <c r="G196" s="206">
        <f t="shared" si="5"/>
        <v>1309420</v>
      </c>
      <c r="H196" s="61">
        <v>400.53</v>
      </c>
      <c r="I196" s="61">
        <v>291.27</v>
      </c>
      <c r="J196" s="61">
        <v>109.25</v>
      </c>
      <c r="K196" s="61" t="s">
        <v>3759</v>
      </c>
    </row>
    <row r="197" spans="1:11">
      <c r="A197" s="61">
        <v>194</v>
      </c>
      <c r="B197" s="203" t="s">
        <v>3915</v>
      </c>
      <c r="C197" s="61" t="s">
        <v>4495</v>
      </c>
      <c r="D197" s="61" t="s">
        <v>35</v>
      </c>
      <c r="E197" s="209">
        <v>1393000</v>
      </c>
      <c r="F197" s="212">
        <f t="shared" ref="F197:F260" si="6">E197*0.97</f>
        <v>1351210</v>
      </c>
      <c r="G197" s="206">
        <f t="shared" ref="G197:G260" si="7">E197*0.94</f>
        <v>1309420</v>
      </c>
      <c r="H197" s="61">
        <v>400.53</v>
      </c>
      <c r="I197" s="61">
        <v>291.27</v>
      </c>
      <c r="J197" s="61">
        <v>109.25</v>
      </c>
      <c r="K197" s="61" t="s">
        <v>3759</v>
      </c>
    </row>
    <row r="198" spans="1:11">
      <c r="A198" s="61">
        <v>195</v>
      </c>
      <c r="B198" s="203" t="s">
        <v>3916</v>
      </c>
      <c r="C198" s="61" t="s">
        <v>33</v>
      </c>
      <c r="D198" s="61" t="s">
        <v>35</v>
      </c>
      <c r="E198" s="209">
        <v>1398000</v>
      </c>
      <c r="F198" s="212">
        <f t="shared" si="6"/>
        <v>1356060</v>
      </c>
      <c r="G198" s="206">
        <f t="shared" si="7"/>
        <v>1314120</v>
      </c>
      <c r="H198" s="61">
        <v>394.93</v>
      </c>
      <c r="I198" s="61">
        <v>293.75</v>
      </c>
      <c r="J198" s="61">
        <v>101.18</v>
      </c>
      <c r="K198" s="61" t="s">
        <v>3759</v>
      </c>
    </row>
    <row r="199" spans="1:11">
      <c r="A199" s="61">
        <v>196</v>
      </c>
      <c r="B199" s="203" t="s">
        <v>3917</v>
      </c>
      <c r="C199" s="61" t="s">
        <v>33</v>
      </c>
      <c r="D199" s="61" t="s">
        <v>35</v>
      </c>
      <c r="E199" s="209">
        <v>1398000</v>
      </c>
      <c r="F199" s="212">
        <f t="shared" si="6"/>
        <v>1356060</v>
      </c>
      <c r="G199" s="206">
        <f t="shared" si="7"/>
        <v>1314120</v>
      </c>
      <c r="H199" s="61">
        <v>394.93</v>
      </c>
      <c r="I199" s="61">
        <v>293.75</v>
      </c>
      <c r="J199" s="61">
        <v>101.18</v>
      </c>
      <c r="K199" s="61" t="s">
        <v>3759</v>
      </c>
    </row>
    <row r="200" spans="1:11">
      <c r="A200" s="61">
        <v>197</v>
      </c>
      <c r="B200" s="203" t="s">
        <v>3918</v>
      </c>
      <c r="C200" s="61" t="s">
        <v>33</v>
      </c>
      <c r="D200" s="61" t="s">
        <v>35</v>
      </c>
      <c r="E200" s="209">
        <v>1397000</v>
      </c>
      <c r="F200" s="212">
        <f t="shared" si="6"/>
        <v>1355090</v>
      </c>
      <c r="G200" s="206">
        <f t="shared" si="7"/>
        <v>1313180</v>
      </c>
      <c r="H200" s="61">
        <v>379.75</v>
      </c>
      <c r="I200" s="61">
        <v>293.20999999999998</v>
      </c>
      <c r="J200" s="61">
        <v>86.54</v>
      </c>
      <c r="K200" s="61" t="s">
        <v>3759</v>
      </c>
    </row>
    <row r="201" spans="1:11">
      <c r="A201" s="61">
        <v>198</v>
      </c>
      <c r="B201" s="203" t="s">
        <v>3919</v>
      </c>
      <c r="C201" s="61" t="s">
        <v>33</v>
      </c>
      <c r="D201" s="61" t="s">
        <v>35</v>
      </c>
      <c r="E201" s="209">
        <v>1397000</v>
      </c>
      <c r="F201" s="212">
        <f t="shared" si="6"/>
        <v>1355090</v>
      </c>
      <c r="G201" s="206">
        <f t="shared" si="7"/>
        <v>1313180</v>
      </c>
      <c r="H201" s="61">
        <v>385.13</v>
      </c>
      <c r="I201" s="61">
        <v>293.20999999999998</v>
      </c>
      <c r="J201" s="61">
        <v>91.92</v>
      </c>
      <c r="K201" s="61" t="s">
        <v>3759</v>
      </c>
    </row>
    <row r="202" spans="1:11">
      <c r="A202" s="61">
        <v>199</v>
      </c>
      <c r="B202" s="203" t="s">
        <v>3920</v>
      </c>
      <c r="C202" s="61" t="s">
        <v>33</v>
      </c>
      <c r="D202" s="61" t="s">
        <v>35</v>
      </c>
      <c r="E202" s="209">
        <v>1397000</v>
      </c>
      <c r="F202" s="212">
        <f t="shared" si="6"/>
        <v>1355090</v>
      </c>
      <c r="G202" s="206">
        <f t="shared" si="7"/>
        <v>1313180</v>
      </c>
      <c r="H202" s="61">
        <v>385.03</v>
      </c>
      <c r="I202" s="61">
        <v>293.20999999999998</v>
      </c>
      <c r="J202" s="61">
        <v>91.82</v>
      </c>
      <c r="K202" s="61" t="s">
        <v>3759</v>
      </c>
    </row>
    <row r="203" spans="1:11">
      <c r="A203" s="61">
        <v>200</v>
      </c>
      <c r="B203" s="203" t="s">
        <v>3921</v>
      </c>
      <c r="C203" s="61" t="s">
        <v>4494</v>
      </c>
      <c r="D203" s="61" t="s">
        <v>35</v>
      </c>
      <c r="E203" s="209">
        <v>1394000</v>
      </c>
      <c r="F203" s="212">
        <f t="shared" si="6"/>
        <v>1352180</v>
      </c>
      <c r="G203" s="206">
        <f t="shared" si="7"/>
        <v>1310360</v>
      </c>
      <c r="H203" s="61">
        <v>403.65</v>
      </c>
      <c r="I203" s="61">
        <v>293.20999999999998</v>
      </c>
      <c r="J203" s="61">
        <v>110.44</v>
      </c>
      <c r="K203" s="61" t="s">
        <v>4248</v>
      </c>
    </row>
    <row r="204" spans="1:11">
      <c r="A204" s="61">
        <v>201</v>
      </c>
      <c r="B204" s="203" t="s">
        <v>3922</v>
      </c>
      <c r="C204" s="61" t="s">
        <v>4494</v>
      </c>
      <c r="D204" s="61" t="s">
        <v>35</v>
      </c>
      <c r="E204" s="209">
        <v>1394000</v>
      </c>
      <c r="F204" s="212">
        <f t="shared" si="6"/>
        <v>1352180</v>
      </c>
      <c r="G204" s="206">
        <f t="shared" si="7"/>
        <v>1310360</v>
      </c>
      <c r="H204" s="61">
        <v>403.65</v>
      </c>
      <c r="I204" s="61">
        <v>293.20999999999998</v>
      </c>
      <c r="J204" s="61">
        <v>110.44</v>
      </c>
      <c r="K204" s="61" t="s">
        <v>4248</v>
      </c>
    </row>
    <row r="205" spans="1:11">
      <c r="A205" s="61">
        <v>202</v>
      </c>
      <c r="B205" s="203" t="s">
        <v>3923</v>
      </c>
      <c r="C205" s="61" t="s">
        <v>34</v>
      </c>
      <c r="D205" s="61" t="s">
        <v>35</v>
      </c>
      <c r="E205" s="209">
        <v>1398000</v>
      </c>
      <c r="F205" s="212">
        <f t="shared" si="6"/>
        <v>1356060</v>
      </c>
      <c r="G205" s="206">
        <f t="shared" si="7"/>
        <v>1314120</v>
      </c>
      <c r="H205" s="61">
        <v>362.31</v>
      </c>
      <c r="I205" s="61">
        <v>293.20999999999998</v>
      </c>
      <c r="J205" s="61">
        <v>69.099999999999994</v>
      </c>
      <c r="K205" s="61" t="s">
        <v>3759</v>
      </c>
    </row>
    <row r="206" spans="1:11">
      <c r="A206" s="61">
        <v>203</v>
      </c>
      <c r="B206" s="203" t="s">
        <v>3924</v>
      </c>
      <c r="C206" s="61" t="s">
        <v>4494</v>
      </c>
      <c r="D206" s="61" t="s">
        <v>35</v>
      </c>
      <c r="E206" s="209">
        <v>1393000</v>
      </c>
      <c r="F206" s="212">
        <f t="shared" si="6"/>
        <v>1351210</v>
      </c>
      <c r="G206" s="206">
        <f t="shared" si="7"/>
        <v>1309420</v>
      </c>
      <c r="H206" s="61">
        <v>379.75</v>
      </c>
      <c r="I206" s="61">
        <v>293.20999999999998</v>
      </c>
      <c r="J206" s="61">
        <v>86.54</v>
      </c>
      <c r="K206" s="61" t="s">
        <v>4248</v>
      </c>
    </row>
    <row r="207" spans="1:11">
      <c r="A207" s="61">
        <v>204</v>
      </c>
      <c r="B207" s="203" t="s">
        <v>3925</v>
      </c>
      <c r="C207" s="61" t="s">
        <v>4494</v>
      </c>
      <c r="D207" s="61" t="s">
        <v>35</v>
      </c>
      <c r="E207" s="209">
        <v>1393000</v>
      </c>
      <c r="F207" s="212">
        <f t="shared" si="6"/>
        <v>1351210</v>
      </c>
      <c r="G207" s="206">
        <f t="shared" si="7"/>
        <v>1309420</v>
      </c>
      <c r="H207" s="61">
        <v>385.13</v>
      </c>
      <c r="I207" s="61">
        <v>293.20999999999998</v>
      </c>
      <c r="J207" s="61">
        <v>91.92</v>
      </c>
      <c r="K207" s="61" t="s">
        <v>4248</v>
      </c>
    </row>
    <row r="208" spans="1:11">
      <c r="A208" s="61">
        <v>205</v>
      </c>
      <c r="B208" s="203" t="s">
        <v>3926</v>
      </c>
      <c r="C208" s="61" t="s">
        <v>4494</v>
      </c>
      <c r="D208" s="61" t="s">
        <v>35</v>
      </c>
      <c r="E208" s="209">
        <v>1393000</v>
      </c>
      <c r="F208" s="212">
        <f t="shared" si="6"/>
        <v>1351210</v>
      </c>
      <c r="G208" s="206">
        <f t="shared" si="7"/>
        <v>1309420</v>
      </c>
      <c r="H208" s="61">
        <v>379.75</v>
      </c>
      <c r="I208" s="61">
        <v>293.20999999999998</v>
      </c>
      <c r="J208" s="61">
        <v>86.54</v>
      </c>
      <c r="K208" s="61" t="s">
        <v>4248</v>
      </c>
    </row>
    <row r="209" spans="1:11">
      <c r="A209" s="61">
        <v>206</v>
      </c>
      <c r="B209" s="203" t="s">
        <v>3927</v>
      </c>
      <c r="C209" s="61" t="s">
        <v>33</v>
      </c>
      <c r="D209" s="61" t="s">
        <v>35</v>
      </c>
      <c r="E209" s="209">
        <v>1396000</v>
      </c>
      <c r="F209" s="212">
        <f t="shared" si="6"/>
        <v>1354120</v>
      </c>
      <c r="G209" s="206">
        <f t="shared" si="7"/>
        <v>1312240</v>
      </c>
      <c r="H209" s="61">
        <v>389.55</v>
      </c>
      <c r="I209" s="61">
        <v>293.20999999999998</v>
      </c>
      <c r="J209" s="61">
        <v>96.34</v>
      </c>
      <c r="K209" s="61" t="s">
        <v>3759</v>
      </c>
    </row>
    <row r="210" spans="1:11">
      <c r="A210" s="61">
        <v>207</v>
      </c>
      <c r="B210" s="203" t="s">
        <v>3928</v>
      </c>
      <c r="C210" s="61" t="s">
        <v>33</v>
      </c>
      <c r="D210" s="61" t="s">
        <v>35</v>
      </c>
      <c r="E210" s="209">
        <v>1396000</v>
      </c>
      <c r="F210" s="212">
        <f t="shared" si="6"/>
        <v>1354120</v>
      </c>
      <c r="G210" s="206">
        <f t="shared" si="7"/>
        <v>1312240</v>
      </c>
      <c r="H210" s="61">
        <v>389.65</v>
      </c>
      <c r="I210" s="61">
        <v>293.20999999999998</v>
      </c>
      <c r="J210" s="61">
        <v>96.44</v>
      </c>
      <c r="K210" s="61" t="s">
        <v>3759</v>
      </c>
    </row>
    <row r="211" spans="1:11">
      <c r="A211" s="61">
        <v>208</v>
      </c>
      <c r="B211" s="203" t="s">
        <v>3929</v>
      </c>
      <c r="C211" s="61" t="s">
        <v>4494</v>
      </c>
      <c r="D211" s="61" t="s">
        <v>35</v>
      </c>
      <c r="E211" s="209">
        <v>1393000</v>
      </c>
      <c r="F211" s="212">
        <f t="shared" si="6"/>
        <v>1351210</v>
      </c>
      <c r="G211" s="206">
        <f t="shared" si="7"/>
        <v>1309420</v>
      </c>
      <c r="H211" s="61">
        <v>385.03</v>
      </c>
      <c r="I211" s="61">
        <v>293.20999999999998</v>
      </c>
      <c r="J211" s="61">
        <v>91.82</v>
      </c>
      <c r="K211" s="61" t="s">
        <v>4248</v>
      </c>
    </row>
    <row r="212" spans="1:11">
      <c r="A212" s="61">
        <v>209</v>
      </c>
      <c r="B212" s="203" t="s">
        <v>3930</v>
      </c>
      <c r="C212" s="61" t="s">
        <v>4494</v>
      </c>
      <c r="D212" s="61" t="s">
        <v>35</v>
      </c>
      <c r="E212" s="209">
        <v>1393000</v>
      </c>
      <c r="F212" s="212">
        <f t="shared" si="6"/>
        <v>1351210</v>
      </c>
      <c r="G212" s="206">
        <f t="shared" si="7"/>
        <v>1309420</v>
      </c>
      <c r="H212" s="61">
        <v>402.35</v>
      </c>
      <c r="I212" s="61">
        <v>293.20999999999998</v>
      </c>
      <c r="J212" s="61">
        <v>109.15</v>
      </c>
      <c r="K212" s="61" t="s">
        <v>4248</v>
      </c>
    </row>
    <row r="213" spans="1:11">
      <c r="A213" s="61">
        <v>210</v>
      </c>
      <c r="B213" s="203" t="s">
        <v>3931</v>
      </c>
      <c r="C213" s="61" t="s">
        <v>4494</v>
      </c>
      <c r="D213" s="61" t="s">
        <v>35</v>
      </c>
      <c r="E213" s="209">
        <v>1393000</v>
      </c>
      <c r="F213" s="212">
        <f t="shared" si="6"/>
        <v>1351210</v>
      </c>
      <c r="G213" s="206">
        <f t="shared" si="7"/>
        <v>1309420</v>
      </c>
      <c r="H213" s="61">
        <v>402.35</v>
      </c>
      <c r="I213" s="61">
        <v>293.20999999999998</v>
      </c>
      <c r="J213" s="61">
        <v>109.15</v>
      </c>
      <c r="K213" s="61" t="s">
        <v>4248</v>
      </c>
    </row>
    <row r="214" spans="1:11">
      <c r="A214" s="61">
        <v>211</v>
      </c>
      <c r="B214" s="203" t="s">
        <v>3932</v>
      </c>
      <c r="C214" s="61" t="s">
        <v>33</v>
      </c>
      <c r="D214" s="61" t="s">
        <v>35</v>
      </c>
      <c r="E214" s="209">
        <v>1396000</v>
      </c>
      <c r="F214" s="212">
        <f t="shared" si="6"/>
        <v>1354120</v>
      </c>
      <c r="G214" s="206">
        <f t="shared" si="7"/>
        <v>1312240</v>
      </c>
      <c r="H214" s="61">
        <v>389.33</v>
      </c>
      <c r="I214" s="61">
        <v>293.20999999999998</v>
      </c>
      <c r="J214" s="61">
        <v>96.12</v>
      </c>
      <c r="K214" s="61" t="s">
        <v>3759</v>
      </c>
    </row>
    <row r="215" spans="1:11">
      <c r="A215" s="61">
        <v>212</v>
      </c>
      <c r="B215" s="203" t="s">
        <v>3933</v>
      </c>
      <c r="C215" s="61" t="s">
        <v>4494</v>
      </c>
      <c r="D215" s="61" t="s">
        <v>35</v>
      </c>
      <c r="E215" s="209">
        <v>1392000</v>
      </c>
      <c r="F215" s="212">
        <f t="shared" si="6"/>
        <v>1350240</v>
      </c>
      <c r="G215" s="206">
        <f t="shared" si="7"/>
        <v>1308480</v>
      </c>
      <c r="H215" s="61">
        <v>389.65</v>
      </c>
      <c r="I215" s="61">
        <v>293.20999999999998</v>
      </c>
      <c r="J215" s="61">
        <v>96.44</v>
      </c>
      <c r="K215" s="61" t="s">
        <v>4248</v>
      </c>
    </row>
    <row r="216" spans="1:11">
      <c r="A216" s="61">
        <v>213</v>
      </c>
      <c r="B216" s="203" t="s">
        <v>3934</v>
      </c>
      <c r="C216" s="61" t="s">
        <v>4494</v>
      </c>
      <c r="D216" s="61" t="s">
        <v>35</v>
      </c>
      <c r="E216" s="209">
        <v>1392000</v>
      </c>
      <c r="F216" s="212">
        <f t="shared" si="6"/>
        <v>1350240</v>
      </c>
      <c r="G216" s="206">
        <f t="shared" si="7"/>
        <v>1308480</v>
      </c>
      <c r="H216" s="61">
        <v>389.55</v>
      </c>
      <c r="I216" s="61">
        <v>293.20999999999998</v>
      </c>
      <c r="J216" s="61">
        <v>96.34</v>
      </c>
      <c r="K216" s="61" t="s">
        <v>4248</v>
      </c>
    </row>
    <row r="217" spans="1:11">
      <c r="A217" s="61">
        <v>214</v>
      </c>
      <c r="B217" s="203" t="s">
        <v>3935</v>
      </c>
      <c r="C217" s="61" t="s">
        <v>33</v>
      </c>
      <c r="D217" s="61" t="s">
        <v>35</v>
      </c>
      <c r="E217" s="209">
        <v>1394000</v>
      </c>
      <c r="F217" s="212">
        <f t="shared" si="6"/>
        <v>1352180</v>
      </c>
      <c r="G217" s="206">
        <f t="shared" si="7"/>
        <v>1310360</v>
      </c>
      <c r="H217" s="61">
        <v>362.31</v>
      </c>
      <c r="I217" s="61">
        <v>293.20999999999998</v>
      </c>
      <c r="J217" s="61">
        <v>69.099999999999994</v>
      </c>
      <c r="K217" s="61" t="s">
        <v>4248</v>
      </c>
    </row>
    <row r="218" spans="1:11">
      <c r="A218" s="61">
        <v>215</v>
      </c>
      <c r="B218" s="203" t="s">
        <v>3936</v>
      </c>
      <c r="C218" s="61" t="s">
        <v>33</v>
      </c>
      <c r="D218" s="61" t="s">
        <v>35</v>
      </c>
      <c r="E218" s="209">
        <v>1394000</v>
      </c>
      <c r="F218" s="212">
        <f t="shared" si="6"/>
        <v>1352180</v>
      </c>
      <c r="G218" s="206">
        <f t="shared" si="7"/>
        <v>1310360</v>
      </c>
      <c r="H218" s="61">
        <v>362.31</v>
      </c>
      <c r="I218" s="61">
        <v>293.20999999999998</v>
      </c>
      <c r="J218" s="61">
        <v>69.099999999999994</v>
      </c>
      <c r="K218" s="61" t="s">
        <v>4248</v>
      </c>
    </row>
    <row r="219" spans="1:11">
      <c r="A219" s="61">
        <v>216</v>
      </c>
      <c r="B219" s="203" t="s">
        <v>3937</v>
      </c>
      <c r="C219" s="61" t="s">
        <v>4494</v>
      </c>
      <c r="D219" s="61" t="s">
        <v>35</v>
      </c>
      <c r="E219" s="209">
        <v>1392000</v>
      </c>
      <c r="F219" s="212">
        <f t="shared" si="6"/>
        <v>1350240</v>
      </c>
      <c r="G219" s="206">
        <f t="shared" si="7"/>
        <v>1308480</v>
      </c>
      <c r="H219" s="61">
        <v>389.33</v>
      </c>
      <c r="I219" s="61">
        <v>293.20999999999998</v>
      </c>
      <c r="J219" s="61">
        <v>96.12</v>
      </c>
      <c r="K219" s="61" t="s">
        <v>4248</v>
      </c>
    </row>
    <row r="220" spans="1:11">
      <c r="A220" s="61">
        <v>217</v>
      </c>
      <c r="B220" s="203" t="s">
        <v>3938</v>
      </c>
      <c r="C220" s="61" t="s">
        <v>4494</v>
      </c>
      <c r="D220" s="61" t="s">
        <v>35</v>
      </c>
      <c r="E220" s="209">
        <v>1392000</v>
      </c>
      <c r="F220" s="212">
        <f t="shared" si="6"/>
        <v>1350240</v>
      </c>
      <c r="G220" s="206">
        <f t="shared" si="7"/>
        <v>1308480</v>
      </c>
      <c r="H220" s="61">
        <v>389.33</v>
      </c>
      <c r="I220" s="61">
        <v>293.20999999999998</v>
      </c>
      <c r="J220" s="61">
        <v>96.12</v>
      </c>
      <c r="K220" s="61" t="s">
        <v>4248</v>
      </c>
    </row>
    <row r="221" spans="1:11">
      <c r="A221" s="61">
        <v>218</v>
      </c>
      <c r="B221" s="203" t="s">
        <v>3939</v>
      </c>
      <c r="C221" s="61" t="s">
        <v>4494</v>
      </c>
      <c r="D221" s="61" t="s">
        <v>35</v>
      </c>
      <c r="E221" s="209">
        <v>1391000</v>
      </c>
      <c r="F221" s="212">
        <f t="shared" si="6"/>
        <v>1349270</v>
      </c>
      <c r="G221" s="206">
        <f t="shared" si="7"/>
        <v>1307540</v>
      </c>
      <c r="H221" s="61">
        <v>394.5</v>
      </c>
      <c r="I221" s="61">
        <v>293.20999999999998</v>
      </c>
      <c r="J221" s="61">
        <v>101.29</v>
      </c>
      <c r="K221" s="61" t="s">
        <v>4248</v>
      </c>
    </row>
    <row r="222" spans="1:11">
      <c r="A222" s="61">
        <v>219</v>
      </c>
      <c r="B222" s="203" t="s">
        <v>3940</v>
      </c>
      <c r="C222" s="61" t="s">
        <v>4494</v>
      </c>
      <c r="D222" s="61" t="s">
        <v>35</v>
      </c>
      <c r="E222" s="209">
        <v>1391000</v>
      </c>
      <c r="F222" s="212">
        <f t="shared" si="6"/>
        <v>1349270</v>
      </c>
      <c r="G222" s="206">
        <f t="shared" si="7"/>
        <v>1307540</v>
      </c>
      <c r="H222" s="61">
        <v>394.6</v>
      </c>
      <c r="I222" s="61">
        <v>293.20999999999998</v>
      </c>
      <c r="J222" s="61">
        <v>101.4</v>
      </c>
      <c r="K222" s="61" t="s">
        <v>4248</v>
      </c>
    </row>
    <row r="223" spans="1:11">
      <c r="A223" s="61">
        <v>220</v>
      </c>
      <c r="B223" s="203" t="s">
        <v>3941</v>
      </c>
      <c r="C223" s="61" t="s">
        <v>4494</v>
      </c>
      <c r="D223" s="61" t="s">
        <v>35</v>
      </c>
      <c r="E223" s="209">
        <v>1391000</v>
      </c>
      <c r="F223" s="212">
        <f t="shared" si="6"/>
        <v>1349270</v>
      </c>
      <c r="G223" s="206">
        <f t="shared" si="7"/>
        <v>1307540</v>
      </c>
      <c r="H223" s="61">
        <v>400.53</v>
      </c>
      <c r="I223" s="61">
        <v>291.27</v>
      </c>
      <c r="J223" s="61">
        <v>109.25</v>
      </c>
      <c r="K223" s="61" t="s">
        <v>3759</v>
      </c>
    </row>
    <row r="224" spans="1:11">
      <c r="A224" s="61">
        <v>221</v>
      </c>
      <c r="B224" s="203" t="s">
        <v>3942</v>
      </c>
      <c r="C224" s="61" t="s">
        <v>4494</v>
      </c>
      <c r="D224" s="61" t="s">
        <v>35</v>
      </c>
      <c r="E224" s="209">
        <v>1391000</v>
      </c>
      <c r="F224" s="212">
        <f t="shared" si="6"/>
        <v>1349270</v>
      </c>
      <c r="G224" s="206">
        <f t="shared" si="7"/>
        <v>1307540</v>
      </c>
      <c r="H224" s="61">
        <v>400.53</v>
      </c>
      <c r="I224" s="61">
        <v>291.27</v>
      </c>
      <c r="J224" s="61">
        <v>109.25</v>
      </c>
      <c r="K224" s="61" t="s">
        <v>3759</v>
      </c>
    </row>
    <row r="225" spans="1:11">
      <c r="A225" s="61">
        <v>222</v>
      </c>
      <c r="B225" s="203" t="s">
        <v>3943</v>
      </c>
      <c r="C225" s="61" t="s">
        <v>34</v>
      </c>
      <c r="D225" s="61" t="s">
        <v>35</v>
      </c>
      <c r="E225" s="209">
        <v>1395000</v>
      </c>
      <c r="F225" s="212">
        <f t="shared" si="6"/>
        <v>1353150</v>
      </c>
      <c r="G225" s="206">
        <f t="shared" si="7"/>
        <v>1311300</v>
      </c>
      <c r="H225" s="61">
        <v>394.93</v>
      </c>
      <c r="I225" s="61">
        <v>293.75</v>
      </c>
      <c r="J225" s="61">
        <v>101.18</v>
      </c>
      <c r="K225" s="61" t="s">
        <v>3759</v>
      </c>
    </row>
    <row r="226" spans="1:11">
      <c r="A226" s="61">
        <v>223</v>
      </c>
      <c r="B226" s="203" t="s">
        <v>3944</v>
      </c>
      <c r="C226" s="61" t="s">
        <v>34</v>
      </c>
      <c r="D226" s="61" t="s">
        <v>35</v>
      </c>
      <c r="E226" s="209">
        <v>1395000</v>
      </c>
      <c r="F226" s="212">
        <f t="shared" si="6"/>
        <v>1353150</v>
      </c>
      <c r="G226" s="206">
        <f t="shared" si="7"/>
        <v>1311300</v>
      </c>
      <c r="H226" s="61">
        <v>394.93</v>
      </c>
      <c r="I226" s="61">
        <v>293.75</v>
      </c>
      <c r="J226" s="61">
        <v>101.18</v>
      </c>
      <c r="K226" s="61" t="s">
        <v>3759</v>
      </c>
    </row>
    <row r="227" spans="1:11">
      <c r="A227" s="61">
        <v>224</v>
      </c>
      <c r="B227" s="203" t="s">
        <v>3945</v>
      </c>
      <c r="C227" s="61" t="s">
        <v>34</v>
      </c>
      <c r="D227" s="61" t="s">
        <v>35</v>
      </c>
      <c r="E227" s="209">
        <v>1395000</v>
      </c>
      <c r="F227" s="212">
        <f t="shared" si="6"/>
        <v>1353150</v>
      </c>
      <c r="G227" s="206">
        <f t="shared" si="7"/>
        <v>1311300</v>
      </c>
      <c r="H227" s="61">
        <v>379.75</v>
      </c>
      <c r="I227" s="61">
        <v>293.20999999999998</v>
      </c>
      <c r="J227" s="61">
        <v>86.54</v>
      </c>
      <c r="K227" s="61" t="s">
        <v>3759</v>
      </c>
    </row>
    <row r="228" spans="1:11">
      <c r="A228" s="61">
        <v>225</v>
      </c>
      <c r="B228" s="203" t="s">
        <v>3946</v>
      </c>
      <c r="C228" s="61" t="s">
        <v>34</v>
      </c>
      <c r="D228" s="61" t="s">
        <v>35</v>
      </c>
      <c r="E228" s="209">
        <v>1394000</v>
      </c>
      <c r="F228" s="212">
        <f t="shared" si="6"/>
        <v>1352180</v>
      </c>
      <c r="G228" s="206">
        <f t="shared" si="7"/>
        <v>1310360</v>
      </c>
      <c r="H228" s="61">
        <v>385.13</v>
      </c>
      <c r="I228" s="61">
        <v>293.20999999999998</v>
      </c>
      <c r="J228" s="61">
        <v>91.92</v>
      </c>
      <c r="K228" s="61" t="s">
        <v>3759</v>
      </c>
    </row>
    <row r="229" spans="1:11">
      <c r="A229" s="61">
        <v>226</v>
      </c>
      <c r="B229" s="203" t="s">
        <v>3947</v>
      </c>
      <c r="C229" s="61" t="s">
        <v>34</v>
      </c>
      <c r="D229" s="61" t="s">
        <v>35</v>
      </c>
      <c r="E229" s="209">
        <v>1394000</v>
      </c>
      <c r="F229" s="212">
        <f t="shared" si="6"/>
        <v>1352180</v>
      </c>
      <c r="G229" s="206">
        <f t="shared" si="7"/>
        <v>1310360</v>
      </c>
      <c r="H229" s="61">
        <v>385.03</v>
      </c>
      <c r="I229" s="61">
        <v>293.20999999999998</v>
      </c>
      <c r="J229" s="61">
        <v>91.82</v>
      </c>
      <c r="K229" s="61" t="s">
        <v>3759</v>
      </c>
    </row>
    <row r="230" spans="1:11">
      <c r="A230" s="61">
        <v>227</v>
      </c>
      <c r="B230" s="203" t="s">
        <v>3948</v>
      </c>
      <c r="C230" s="61" t="s">
        <v>12</v>
      </c>
      <c r="D230" s="61" t="s">
        <v>35</v>
      </c>
      <c r="E230" s="209">
        <v>1404000</v>
      </c>
      <c r="F230" s="212">
        <f t="shared" si="6"/>
        <v>1361880</v>
      </c>
      <c r="G230" s="206">
        <f t="shared" si="7"/>
        <v>1319760</v>
      </c>
      <c r="H230" s="61">
        <v>408.28</v>
      </c>
      <c r="I230" s="61">
        <v>297.62</v>
      </c>
      <c r="J230" s="61">
        <v>110.65</v>
      </c>
      <c r="K230" s="61" t="s">
        <v>3759</v>
      </c>
    </row>
    <row r="231" spans="1:11">
      <c r="A231" s="61">
        <v>228</v>
      </c>
      <c r="B231" s="203" t="s">
        <v>3949</v>
      </c>
      <c r="C231" s="61" t="s">
        <v>33</v>
      </c>
      <c r="D231" s="61" t="s">
        <v>35</v>
      </c>
      <c r="E231" s="209">
        <v>1391000</v>
      </c>
      <c r="F231" s="212">
        <f t="shared" si="6"/>
        <v>1349270</v>
      </c>
      <c r="G231" s="206">
        <f t="shared" si="7"/>
        <v>1307540</v>
      </c>
      <c r="H231" s="61">
        <v>403.65</v>
      </c>
      <c r="I231" s="61">
        <v>293.20999999999998</v>
      </c>
      <c r="J231" s="61">
        <v>110.44</v>
      </c>
      <c r="K231" s="61" t="s">
        <v>4248</v>
      </c>
    </row>
    <row r="232" spans="1:11">
      <c r="A232" s="61">
        <v>229</v>
      </c>
      <c r="B232" s="203" t="s">
        <v>3950</v>
      </c>
      <c r="C232" s="61" t="s">
        <v>33</v>
      </c>
      <c r="D232" s="61" t="s">
        <v>35</v>
      </c>
      <c r="E232" s="209">
        <v>1391000</v>
      </c>
      <c r="F232" s="212">
        <f t="shared" si="6"/>
        <v>1349270</v>
      </c>
      <c r="G232" s="206">
        <f t="shared" si="7"/>
        <v>1307540</v>
      </c>
      <c r="H232" s="61">
        <v>403.65</v>
      </c>
      <c r="I232" s="61">
        <v>293.20999999999998</v>
      </c>
      <c r="J232" s="61">
        <v>110.44</v>
      </c>
      <c r="K232" s="61" t="s">
        <v>4248</v>
      </c>
    </row>
    <row r="233" spans="1:11">
      <c r="A233" s="61">
        <v>230</v>
      </c>
      <c r="B233" s="203" t="s">
        <v>3951</v>
      </c>
      <c r="C233" s="61" t="s">
        <v>33</v>
      </c>
      <c r="D233" s="61" t="s">
        <v>35</v>
      </c>
      <c r="E233" s="209">
        <v>1391000</v>
      </c>
      <c r="F233" s="212">
        <f t="shared" si="6"/>
        <v>1349270</v>
      </c>
      <c r="G233" s="206">
        <f t="shared" si="7"/>
        <v>1307540</v>
      </c>
      <c r="H233" s="61">
        <v>379.75</v>
      </c>
      <c r="I233" s="61">
        <v>293.20999999999998</v>
      </c>
      <c r="J233" s="61">
        <v>86.54</v>
      </c>
      <c r="K233" s="61" t="s">
        <v>4248</v>
      </c>
    </row>
    <row r="234" spans="1:11">
      <c r="A234" s="61">
        <v>231</v>
      </c>
      <c r="B234" s="203" t="s">
        <v>3952</v>
      </c>
      <c r="C234" s="61" t="s">
        <v>33</v>
      </c>
      <c r="D234" s="61" t="s">
        <v>35</v>
      </c>
      <c r="E234" s="209">
        <v>1391000</v>
      </c>
      <c r="F234" s="212">
        <f t="shared" si="6"/>
        <v>1349270</v>
      </c>
      <c r="G234" s="206">
        <f t="shared" si="7"/>
        <v>1307540</v>
      </c>
      <c r="H234" s="61">
        <v>379.75</v>
      </c>
      <c r="I234" s="61">
        <v>293.20999999999998</v>
      </c>
      <c r="J234" s="61">
        <v>86.54</v>
      </c>
      <c r="K234" s="61" t="s">
        <v>4248</v>
      </c>
    </row>
    <row r="235" spans="1:11">
      <c r="A235" s="61">
        <v>232</v>
      </c>
      <c r="B235" s="203" t="s">
        <v>3953</v>
      </c>
      <c r="C235" s="61" t="s">
        <v>34</v>
      </c>
      <c r="D235" s="61" t="s">
        <v>35</v>
      </c>
      <c r="E235" s="209">
        <v>1393000</v>
      </c>
      <c r="F235" s="212">
        <f t="shared" si="6"/>
        <v>1351210</v>
      </c>
      <c r="G235" s="206">
        <f t="shared" si="7"/>
        <v>1309420</v>
      </c>
      <c r="H235" s="61">
        <v>389.55</v>
      </c>
      <c r="I235" s="61">
        <v>293.20999999999998</v>
      </c>
      <c r="J235" s="61">
        <v>96.34</v>
      </c>
      <c r="K235" s="61" t="s">
        <v>3759</v>
      </c>
    </row>
    <row r="236" spans="1:11">
      <c r="A236" s="61">
        <v>233</v>
      </c>
      <c r="B236" s="203" t="s">
        <v>3954</v>
      </c>
      <c r="C236" s="61" t="s">
        <v>34</v>
      </c>
      <c r="D236" s="61" t="s">
        <v>35</v>
      </c>
      <c r="E236" s="209">
        <v>1393000</v>
      </c>
      <c r="F236" s="212">
        <f t="shared" si="6"/>
        <v>1351210</v>
      </c>
      <c r="G236" s="206">
        <f t="shared" si="7"/>
        <v>1309420</v>
      </c>
      <c r="H236" s="61">
        <v>389.65</v>
      </c>
      <c r="I236" s="61">
        <v>293.20999999999998</v>
      </c>
      <c r="J236" s="61">
        <v>96.44</v>
      </c>
      <c r="K236" s="61" t="s">
        <v>3759</v>
      </c>
    </row>
    <row r="237" spans="1:11">
      <c r="A237" s="61">
        <v>234</v>
      </c>
      <c r="B237" s="203" t="s">
        <v>3955</v>
      </c>
      <c r="C237" s="61" t="s">
        <v>33</v>
      </c>
      <c r="D237" s="61" t="s">
        <v>35</v>
      </c>
      <c r="E237" s="209">
        <v>1390000</v>
      </c>
      <c r="F237" s="212">
        <f t="shared" si="6"/>
        <v>1348300</v>
      </c>
      <c r="G237" s="206">
        <f t="shared" si="7"/>
        <v>1306600</v>
      </c>
      <c r="H237" s="61">
        <v>385.03</v>
      </c>
      <c r="I237" s="61">
        <v>293.20999999999998</v>
      </c>
      <c r="J237" s="61">
        <v>91.82</v>
      </c>
      <c r="K237" s="61" t="s">
        <v>4248</v>
      </c>
    </row>
    <row r="238" spans="1:11">
      <c r="A238" s="61">
        <v>235</v>
      </c>
      <c r="B238" s="203" t="s">
        <v>3956</v>
      </c>
      <c r="C238" s="61" t="s">
        <v>33</v>
      </c>
      <c r="D238" s="61" t="s">
        <v>35</v>
      </c>
      <c r="E238" s="209">
        <v>1390000</v>
      </c>
      <c r="F238" s="212">
        <f t="shared" si="6"/>
        <v>1348300</v>
      </c>
      <c r="G238" s="206">
        <f t="shared" si="7"/>
        <v>1306600</v>
      </c>
      <c r="H238" s="61">
        <v>402.35</v>
      </c>
      <c r="I238" s="61">
        <v>293.20999999999998</v>
      </c>
      <c r="J238" s="61">
        <v>109.15</v>
      </c>
      <c r="K238" s="61" t="s">
        <v>4248</v>
      </c>
    </row>
    <row r="239" spans="1:11">
      <c r="A239" s="61">
        <v>236</v>
      </c>
      <c r="B239" s="203" t="s">
        <v>3957</v>
      </c>
      <c r="C239" s="61" t="s">
        <v>33</v>
      </c>
      <c r="D239" s="61" t="s">
        <v>35</v>
      </c>
      <c r="E239" s="209">
        <v>1390000</v>
      </c>
      <c r="F239" s="212">
        <f t="shared" si="6"/>
        <v>1348300</v>
      </c>
      <c r="G239" s="206">
        <f t="shared" si="7"/>
        <v>1306600</v>
      </c>
      <c r="H239" s="61">
        <v>402.35</v>
      </c>
      <c r="I239" s="61">
        <v>293.20999999999998</v>
      </c>
      <c r="J239" s="61">
        <v>109.15</v>
      </c>
      <c r="K239" s="61" t="s">
        <v>4248</v>
      </c>
    </row>
    <row r="240" spans="1:11">
      <c r="A240" s="61">
        <v>237</v>
      </c>
      <c r="B240" s="203" t="s">
        <v>3958</v>
      </c>
      <c r="C240" s="61" t="s">
        <v>33</v>
      </c>
      <c r="D240" s="61" t="s">
        <v>35</v>
      </c>
      <c r="E240" s="209">
        <v>1390000</v>
      </c>
      <c r="F240" s="212">
        <f t="shared" si="6"/>
        <v>1348300</v>
      </c>
      <c r="G240" s="206">
        <f t="shared" si="7"/>
        <v>1306600</v>
      </c>
      <c r="H240" s="61">
        <v>385.13</v>
      </c>
      <c r="I240" s="61">
        <v>293.20999999999998</v>
      </c>
      <c r="J240" s="61">
        <v>91.92</v>
      </c>
      <c r="K240" s="61" t="s">
        <v>4248</v>
      </c>
    </row>
    <row r="241" spans="1:11">
      <c r="A241" s="61">
        <v>238</v>
      </c>
      <c r="B241" s="203" t="s">
        <v>3959</v>
      </c>
      <c r="C241" s="61" t="s">
        <v>34</v>
      </c>
      <c r="D241" s="61" t="s">
        <v>35</v>
      </c>
      <c r="E241" s="209">
        <v>1393000</v>
      </c>
      <c r="F241" s="212">
        <f t="shared" si="6"/>
        <v>1351210</v>
      </c>
      <c r="G241" s="206">
        <f t="shared" si="7"/>
        <v>1309420</v>
      </c>
      <c r="H241" s="61">
        <v>389.33</v>
      </c>
      <c r="I241" s="61">
        <v>293.20999999999998</v>
      </c>
      <c r="J241" s="61">
        <v>96.12</v>
      </c>
      <c r="K241" s="61" t="s">
        <v>3759</v>
      </c>
    </row>
    <row r="242" spans="1:11">
      <c r="A242" s="61">
        <v>239</v>
      </c>
      <c r="B242" s="203" t="s">
        <v>3960</v>
      </c>
      <c r="C242" s="61" t="s">
        <v>34</v>
      </c>
      <c r="D242" s="61" t="s">
        <v>35</v>
      </c>
      <c r="E242" s="209">
        <v>1393000</v>
      </c>
      <c r="F242" s="212">
        <f t="shared" si="6"/>
        <v>1351210</v>
      </c>
      <c r="G242" s="206">
        <f t="shared" si="7"/>
        <v>1309420</v>
      </c>
      <c r="H242" s="61">
        <v>389.33</v>
      </c>
      <c r="I242" s="61">
        <v>293.20999999999998</v>
      </c>
      <c r="J242" s="61">
        <v>96.12</v>
      </c>
      <c r="K242" s="61" t="s">
        <v>3759</v>
      </c>
    </row>
    <row r="243" spans="1:11">
      <c r="A243" s="61">
        <v>240</v>
      </c>
      <c r="B243" s="203" t="s">
        <v>3961</v>
      </c>
      <c r="C243" s="61" t="s">
        <v>34</v>
      </c>
      <c r="D243" s="61" t="s">
        <v>35</v>
      </c>
      <c r="E243" s="209">
        <v>1392000</v>
      </c>
      <c r="F243" s="212">
        <f t="shared" si="6"/>
        <v>1350240</v>
      </c>
      <c r="G243" s="206">
        <f t="shared" si="7"/>
        <v>1308480</v>
      </c>
      <c r="H243" s="61">
        <v>362.31</v>
      </c>
      <c r="I243" s="61">
        <v>293.20999999999998</v>
      </c>
      <c r="J243" s="61">
        <v>69.099999999999994</v>
      </c>
      <c r="K243" s="61" t="s">
        <v>4248</v>
      </c>
    </row>
    <row r="244" spans="1:11">
      <c r="A244" s="61">
        <v>241</v>
      </c>
      <c r="B244" s="203" t="s">
        <v>3962</v>
      </c>
      <c r="C244" s="61" t="s">
        <v>34</v>
      </c>
      <c r="D244" s="61" t="s">
        <v>35</v>
      </c>
      <c r="E244" s="209">
        <v>1392000</v>
      </c>
      <c r="F244" s="212">
        <f t="shared" si="6"/>
        <v>1350240</v>
      </c>
      <c r="G244" s="206">
        <f t="shared" si="7"/>
        <v>1308480</v>
      </c>
      <c r="H244" s="61">
        <v>362.31</v>
      </c>
      <c r="I244" s="61">
        <v>293.20999999999998</v>
      </c>
      <c r="J244" s="61">
        <v>69.099999999999994</v>
      </c>
      <c r="K244" s="61" t="s">
        <v>4248</v>
      </c>
    </row>
    <row r="245" spans="1:11">
      <c r="A245" s="61">
        <v>242</v>
      </c>
      <c r="B245" s="203" t="s">
        <v>3963</v>
      </c>
      <c r="C245" s="61" t="s">
        <v>33</v>
      </c>
      <c r="D245" s="61" t="s">
        <v>35</v>
      </c>
      <c r="E245" s="209">
        <v>1389000</v>
      </c>
      <c r="F245" s="212">
        <f t="shared" si="6"/>
        <v>1347330</v>
      </c>
      <c r="G245" s="206">
        <f t="shared" si="7"/>
        <v>1305660</v>
      </c>
      <c r="H245" s="61">
        <v>389.33</v>
      </c>
      <c r="I245" s="61">
        <v>293.20999999999998</v>
      </c>
      <c r="J245" s="61">
        <v>96.12</v>
      </c>
      <c r="K245" s="61" t="s">
        <v>4248</v>
      </c>
    </row>
    <row r="246" spans="1:11">
      <c r="A246" s="61">
        <v>243</v>
      </c>
      <c r="B246" s="203" t="s">
        <v>3964</v>
      </c>
      <c r="C246" s="61" t="s">
        <v>33</v>
      </c>
      <c r="D246" s="61" t="s">
        <v>35</v>
      </c>
      <c r="E246" s="209">
        <v>1389000</v>
      </c>
      <c r="F246" s="212">
        <f t="shared" si="6"/>
        <v>1347330</v>
      </c>
      <c r="G246" s="206">
        <f t="shared" si="7"/>
        <v>1305660</v>
      </c>
      <c r="H246" s="61">
        <v>389.65</v>
      </c>
      <c r="I246" s="61">
        <v>293.20999999999998</v>
      </c>
      <c r="J246" s="61">
        <v>96.44</v>
      </c>
      <c r="K246" s="61" t="s">
        <v>4248</v>
      </c>
    </row>
    <row r="247" spans="1:11">
      <c r="A247" s="61">
        <v>244</v>
      </c>
      <c r="B247" s="203" t="s">
        <v>3965</v>
      </c>
      <c r="C247" s="61" t="s">
        <v>33</v>
      </c>
      <c r="D247" s="61" t="s">
        <v>35</v>
      </c>
      <c r="E247" s="209">
        <v>1389000</v>
      </c>
      <c r="F247" s="212">
        <f t="shared" si="6"/>
        <v>1347330</v>
      </c>
      <c r="G247" s="206">
        <f t="shared" si="7"/>
        <v>1305660</v>
      </c>
      <c r="H247" s="61">
        <v>389.55</v>
      </c>
      <c r="I247" s="61">
        <v>293.20999999999998</v>
      </c>
      <c r="J247" s="61">
        <v>96.34</v>
      </c>
      <c r="K247" s="61" t="s">
        <v>4248</v>
      </c>
    </row>
    <row r="248" spans="1:11">
      <c r="A248" s="61">
        <v>245</v>
      </c>
      <c r="B248" s="203" t="s">
        <v>3966</v>
      </c>
      <c r="C248" s="61" t="s">
        <v>33</v>
      </c>
      <c r="D248" s="61" t="s">
        <v>35</v>
      </c>
      <c r="E248" s="209">
        <v>1389000</v>
      </c>
      <c r="F248" s="212">
        <f t="shared" si="6"/>
        <v>1347330</v>
      </c>
      <c r="G248" s="206">
        <f t="shared" si="7"/>
        <v>1305660</v>
      </c>
      <c r="H248" s="61">
        <v>389.33</v>
      </c>
      <c r="I248" s="61">
        <v>293.20999999999998</v>
      </c>
      <c r="J248" s="61">
        <v>96.12</v>
      </c>
      <c r="K248" s="61" t="s">
        <v>4248</v>
      </c>
    </row>
    <row r="249" spans="1:11">
      <c r="A249" s="61">
        <v>246</v>
      </c>
      <c r="B249" s="203" t="s">
        <v>3967</v>
      </c>
      <c r="C249" s="61" t="s">
        <v>33</v>
      </c>
      <c r="D249" s="61" t="s">
        <v>35</v>
      </c>
      <c r="E249" s="209">
        <v>1389000</v>
      </c>
      <c r="F249" s="212">
        <f t="shared" si="6"/>
        <v>1347330</v>
      </c>
      <c r="G249" s="206">
        <f t="shared" si="7"/>
        <v>1305660</v>
      </c>
      <c r="H249" s="61">
        <v>394.5</v>
      </c>
      <c r="I249" s="61">
        <v>293.20999999999998</v>
      </c>
      <c r="J249" s="61">
        <v>101.29</v>
      </c>
      <c r="K249" s="61" t="s">
        <v>4248</v>
      </c>
    </row>
    <row r="250" spans="1:11">
      <c r="A250" s="61">
        <v>247</v>
      </c>
      <c r="B250" s="203" t="s">
        <v>3968</v>
      </c>
      <c r="C250" s="61" t="s">
        <v>33</v>
      </c>
      <c r="D250" s="61" t="s">
        <v>35</v>
      </c>
      <c r="E250" s="209">
        <v>1389000</v>
      </c>
      <c r="F250" s="212">
        <f t="shared" si="6"/>
        <v>1347330</v>
      </c>
      <c r="G250" s="206">
        <f t="shared" si="7"/>
        <v>1305660</v>
      </c>
      <c r="H250" s="61">
        <v>394.6</v>
      </c>
      <c r="I250" s="61">
        <v>293.20999999999998</v>
      </c>
      <c r="J250" s="61">
        <v>101.4</v>
      </c>
      <c r="K250" s="61" t="s">
        <v>4248</v>
      </c>
    </row>
    <row r="251" spans="1:11">
      <c r="A251" s="61">
        <v>248</v>
      </c>
      <c r="B251" s="203" t="s">
        <v>3969</v>
      </c>
      <c r="C251" s="61" t="s">
        <v>33</v>
      </c>
      <c r="D251" s="61" t="s">
        <v>35</v>
      </c>
      <c r="E251" s="209">
        <v>1388000</v>
      </c>
      <c r="F251" s="212">
        <f t="shared" si="6"/>
        <v>1346360</v>
      </c>
      <c r="G251" s="206">
        <f t="shared" si="7"/>
        <v>1304720</v>
      </c>
      <c r="H251" s="61">
        <v>400.53</v>
      </c>
      <c r="I251" s="61">
        <v>291.27</v>
      </c>
      <c r="J251" s="61">
        <v>109.25</v>
      </c>
      <c r="K251" s="61" t="s">
        <v>3759</v>
      </c>
    </row>
    <row r="252" spans="1:11">
      <c r="A252" s="61">
        <v>249</v>
      </c>
      <c r="B252" s="203" t="s">
        <v>4623</v>
      </c>
      <c r="C252" s="61" t="s">
        <v>32</v>
      </c>
      <c r="D252" s="61" t="s">
        <v>35</v>
      </c>
      <c r="E252" s="209">
        <v>1402000</v>
      </c>
      <c r="F252" s="212">
        <f t="shared" si="6"/>
        <v>1359940</v>
      </c>
      <c r="G252" s="206">
        <f t="shared" si="7"/>
        <v>1317880</v>
      </c>
      <c r="H252" s="61">
        <v>408.28</v>
      </c>
      <c r="I252" s="61">
        <v>297.62</v>
      </c>
      <c r="J252" s="61">
        <v>110.65</v>
      </c>
      <c r="K252" s="61" t="s">
        <v>3759</v>
      </c>
    </row>
    <row r="253" spans="1:11">
      <c r="A253" s="61">
        <v>250</v>
      </c>
      <c r="B253" s="203" t="s">
        <v>3970</v>
      </c>
      <c r="C253" s="61" t="s">
        <v>32</v>
      </c>
      <c r="D253" s="61" t="s">
        <v>35</v>
      </c>
      <c r="E253" s="209">
        <v>1402000</v>
      </c>
      <c r="F253" s="212">
        <f t="shared" si="6"/>
        <v>1359940</v>
      </c>
      <c r="G253" s="206">
        <f t="shared" si="7"/>
        <v>1317880</v>
      </c>
      <c r="H253" s="61">
        <v>408.28</v>
      </c>
      <c r="I253" s="61">
        <v>297.62</v>
      </c>
      <c r="J253" s="61">
        <v>110.65</v>
      </c>
      <c r="K253" s="61" t="s">
        <v>3759</v>
      </c>
    </row>
    <row r="254" spans="1:11">
      <c r="A254" s="61">
        <v>251</v>
      </c>
      <c r="B254" s="203" t="s">
        <v>3971</v>
      </c>
      <c r="C254" s="61" t="s">
        <v>34</v>
      </c>
      <c r="D254" s="61" t="s">
        <v>35</v>
      </c>
      <c r="E254" s="209">
        <v>1388000</v>
      </c>
      <c r="F254" s="212">
        <f t="shared" si="6"/>
        <v>1346360</v>
      </c>
      <c r="G254" s="206">
        <f t="shared" si="7"/>
        <v>1304720</v>
      </c>
      <c r="H254" s="61">
        <v>379.75</v>
      </c>
      <c r="I254" s="61">
        <v>293.20999999999998</v>
      </c>
      <c r="J254" s="61">
        <v>86.54</v>
      </c>
      <c r="K254" s="61" t="s">
        <v>4248</v>
      </c>
    </row>
    <row r="255" spans="1:11">
      <c r="A255" s="61">
        <v>252</v>
      </c>
      <c r="B255" s="203" t="s">
        <v>3972</v>
      </c>
      <c r="C255" s="61" t="s">
        <v>34</v>
      </c>
      <c r="D255" s="61" t="s">
        <v>35</v>
      </c>
      <c r="E255" s="209">
        <v>1388000</v>
      </c>
      <c r="F255" s="212">
        <f t="shared" si="6"/>
        <v>1346360</v>
      </c>
      <c r="G255" s="206">
        <f t="shared" si="7"/>
        <v>1304720</v>
      </c>
      <c r="H255" s="61">
        <v>385.13</v>
      </c>
      <c r="I255" s="61">
        <v>293.20999999999998</v>
      </c>
      <c r="J255" s="61">
        <v>91.92</v>
      </c>
      <c r="K255" s="61" t="s">
        <v>4248</v>
      </c>
    </row>
    <row r="256" spans="1:11">
      <c r="A256" s="61">
        <v>253</v>
      </c>
      <c r="B256" s="203" t="s">
        <v>3973</v>
      </c>
      <c r="C256" s="61" t="s">
        <v>34</v>
      </c>
      <c r="D256" s="61" t="s">
        <v>35</v>
      </c>
      <c r="E256" s="209">
        <v>1388000</v>
      </c>
      <c r="F256" s="212">
        <f t="shared" si="6"/>
        <v>1346360</v>
      </c>
      <c r="G256" s="206">
        <f t="shared" si="7"/>
        <v>1304720</v>
      </c>
      <c r="H256" s="61">
        <v>379.75</v>
      </c>
      <c r="I256" s="61">
        <v>293.20999999999998</v>
      </c>
      <c r="J256" s="61">
        <v>86.54</v>
      </c>
      <c r="K256" s="61" t="s">
        <v>4248</v>
      </c>
    </row>
    <row r="257" spans="1:11">
      <c r="A257" s="61">
        <v>254</v>
      </c>
      <c r="B257" s="203" t="s">
        <v>3974</v>
      </c>
      <c r="C257" s="61" t="s">
        <v>4461</v>
      </c>
      <c r="D257" s="61" t="s">
        <v>35</v>
      </c>
      <c r="E257" s="209">
        <v>1391000</v>
      </c>
      <c r="F257" s="212">
        <f t="shared" si="6"/>
        <v>1349270</v>
      </c>
      <c r="G257" s="206">
        <f t="shared" si="7"/>
        <v>1307540</v>
      </c>
      <c r="H257" s="61">
        <v>389.33</v>
      </c>
      <c r="I257" s="61">
        <v>293.20999999999998</v>
      </c>
      <c r="J257" s="61">
        <v>96.12</v>
      </c>
      <c r="K257" s="61" t="s">
        <v>3759</v>
      </c>
    </row>
    <row r="258" spans="1:11">
      <c r="A258" s="61">
        <v>255</v>
      </c>
      <c r="B258" s="203" t="s">
        <v>3975</v>
      </c>
      <c r="C258" s="61" t="s">
        <v>34</v>
      </c>
      <c r="D258" s="61" t="s">
        <v>35</v>
      </c>
      <c r="E258" s="209">
        <v>1388000</v>
      </c>
      <c r="F258" s="212">
        <f t="shared" si="6"/>
        <v>1346360</v>
      </c>
      <c r="G258" s="206">
        <f t="shared" si="7"/>
        <v>1304720</v>
      </c>
      <c r="H258" s="61">
        <v>402.35</v>
      </c>
      <c r="I258" s="61">
        <v>293.20999999999998</v>
      </c>
      <c r="J258" s="61">
        <v>109.15</v>
      </c>
      <c r="K258" s="61" t="s">
        <v>4248</v>
      </c>
    </row>
    <row r="259" spans="1:11">
      <c r="A259" s="61">
        <v>256</v>
      </c>
      <c r="B259" s="203" t="s">
        <v>3976</v>
      </c>
      <c r="C259" s="61" t="s">
        <v>34</v>
      </c>
      <c r="D259" s="61" t="s">
        <v>35</v>
      </c>
      <c r="E259" s="209">
        <v>1387000</v>
      </c>
      <c r="F259" s="212">
        <f t="shared" si="6"/>
        <v>1345390</v>
      </c>
      <c r="G259" s="206">
        <f t="shared" si="7"/>
        <v>1303780</v>
      </c>
      <c r="H259" s="61">
        <v>389.55</v>
      </c>
      <c r="I259" s="61">
        <v>293.20999999999998</v>
      </c>
      <c r="J259" s="61">
        <v>96.34</v>
      </c>
      <c r="K259" s="61" t="s">
        <v>4248</v>
      </c>
    </row>
    <row r="260" spans="1:11">
      <c r="A260" s="61">
        <v>257</v>
      </c>
      <c r="B260" s="203" t="s">
        <v>3977</v>
      </c>
      <c r="C260" s="61" t="s">
        <v>34</v>
      </c>
      <c r="D260" s="61" t="s">
        <v>35</v>
      </c>
      <c r="E260" s="209">
        <v>1386000</v>
      </c>
      <c r="F260" s="212">
        <f t="shared" si="6"/>
        <v>1344420</v>
      </c>
      <c r="G260" s="206">
        <f t="shared" si="7"/>
        <v>1302840</v>
      </c>
      <c r="H260" s="61">
        <v>394.6</v>
      </c>
      <c r="I260" s="61">
        <v>293.20999999999998</v>
      </c>
      <c r="J260" s="61">
        <v>101.4</v>
      </c>
      <c r="K260" s="61" t="s">
        <v>4248</v>
      </c>
    </row>
    <row r="261" spans="1:11">
      <c r="A261" s="61">
        <v>258</v>
      </c>
      <c r="B261" s="203" t="s">
        <v>3978</v>
      </c>
      <c r="C261" s="61" t="s">
        <v>4460</v>
      </c>
      <c r="D261" s="61" t="s">
        <v>35</v>
      </c>
      <c r="E261" s="209">
        <v>1390000</v>
      </c>
      <c r="F261" s="212">
        <f t="shared" ref="F261:F324" si="8">E261*0.97</f>
        <v>1348300</v>
      </c>
      <c r="G261" s="206">
        <f t="shared" ref="G261:G324" si="9">E261*0.94</f>
        <v>1306600</v>
      </c>
      <c r="H261" s="61">
        <v>394.93</v>
      </c>
      <c r="I261" s="61">
        <v>293.75</v>
      </c>
      <c r="J261" s="61">
        <v>101.18</v>
      </c>
      <c r="K261" s="61" t="s">
        <v>3759</v>
      </c>
    </row>
    <row r="262" spans="1:11">
      <c r="A262" s="61">
        <v>259</v>
      </c>
      <c r="B262" s="203" t="s">
        <v>3979</v>
      </c>
      <c r="C262" s="61" t="s">
        <v>4460</v>
      </c>
      <c r="D262" s="61" t="s">
        <v>35</v>
      </c>
      <c r="E262" s="209">
        <v>1390000</v>
      </c>
      <c r="F262" s="212">
        <f t="shared" si="8"/>
        <v>1348300</v>
      </c>
      <c r="G262" s="206">
        <f t="shared" si="9"/>
        <v>1306600</v>
      </c>
      <c r="H262" s="61">
        <v>394.93</v>
      </c>
      <c r="I262" s="61">
        <v>293.75</v>
      </c>
      <c r="J262" s="61">
        <v>101.18</v>
      </c>
      <c r="K262" s="61" t="s">
        <v>3759</v>
      </c>
    </row>
    <row r="263" spans="1:11">
      <c r="A263" s="61">
        <v>260</v>
      </c>
      <c r="B263" s="203" t="s">
        <v>3980</v>
      </c>
      <c r="C263" s="61" t="s">
        <v>4461</v>
      </c>
      <c r="D263" s="61" t="s">
        <v>35</v>
      </c>
      <c r="E263" s="209">
        <v>1386000</v>
      </c>
      <c r="F263" s="212">
        <f t="shared" si="8"/>
        <v>1344420</v>
      </c>
      <c r="G263" s="206">
        <f t="shared" si="9"/>
        <v>1302840</v>
      </c>
      <c r="H263" s="61">
        <v>403.65</v>
      </c>
      <c r="I263" s="61">
        <v>293.20999999999998</v>
      </c>
      <c r="J263" s="61">
        <v>110.44</v>
      </c>
      <c r="K263" s="61" t="s">
        <v>4248</v>
      </c>
    </row>
    <row r="264" spans="1:11">
      <c r="A264" s="61">
        <v>261</v>
      </c>
      <c r="B264" s="203" t="s">
        <v>3981</v>
      </c>
      <c r="C264" s="61" t="s">
        <v>4461</v>
      </c>
      <c r="D264" s="61" t="s">
        <v>35</v>
      </c>
      <c r="E264" s="209">
        <v>1386000</v>
      </c>
      <c r="F264" s="212">
        <f t="shared" si="8"/>
        <v>1344420</v>
      </c>
      <c r="G264" s="206">
        <f t="shared" si="9"/>
        <v>1302840</v>
      </c>
      <c r="H264" s="61">
        <v>403.65</v>
      </c>
      <c r="I264" s="61">
        <v>293.20999999999998</v>
      </c>
      <c r="J264" s="61">
        <v>110.44</v>
      </c>
      <c r="K264" s="61" t="s">
        <v>4248</v>
      </c>
    </row>
    <row r="265" spans="1:11">
      <c r="A265" s="61">
        <v>262</v>
      </c>
      <c r="B265" s="203" t="s">
        <v>3982</v>
      </c>
      <c r="C265" s="61" t="s">
        <v>4459</v>
      </c>
      <c r="D265" s="61" t="s">
        <v>35</v>
      </c>
      <c r="E265" s="209">
        <v>1399000</v>
      </c>
      <c r="F265" s="212">
        <f t="shared" si="8"/>
        <v>1357030</v>
      </c>
      <c r="G265" s="206">
        <f t="shared" si="9"/>
        <v>1315060</v>
      </c>
      <c r="H265" s="61">
        <v>408.28</v>
      </c>
      <c r="I265" s="61">
        <v>297.62</v>
      </c>
      <c r="J265" s="61">
        <v>110.65</v>
      </c>
      <c r="K265" s="61" t="s">
        <v>3759</v>
      </c>
    </row>
    <row r="266" spans="1:11">
      <c r="A266" s="61">
        <v>263</v>
      </c>
      <c r="B266" s="203" t="s">
        <v>3983</v>
      </c>
      <c r="C266" s="61" t="s">
        <v>4459</v>
      </c>
      <c r="D266" s="61" t="s">
        <v>35</v>
      </c>
      <c r="E266" s="209">
        <v>1399000</v>
      </c>
      <c r="F266" s="212">
        <f t="shared" si="8"/>
        <v>1357030</v>
      </c>
      <c r="G266" s="206">
        <f t="shared" si="9"/>
        <v>1315060</v>
      </c>
      <c r="H266" s="61">
        <v>408.28</v>
      </c>
      <c r="I266" s="61">
        <v>297.62</v>
      </c>
      <c r="J266" s="61">
        <v>110.65</v>
      </c>
      <c r="K266" s="61" t="s">
        <v>3759</v>
      </c>
    </row>
    <row r="267" spans="1:11">
      <c r="A267" s="61">
        <v>264</v>
      </c>
      <c r="B267" s="203" t="s">
        <v>3984</v>
      </c>
      <c r="C267" s="61" t="s">
        <v>4461</v>
      </c>
      <c r="D267" s="61" t="s">
        <v>35</v>
      </c>
      <c r="E267" s="209">
        <v>1385000</v>
      </c>
      <c r="F267" s="212">
        <f t="shared" si="8"/>
        <v>1343450</v>
      </c>
      <c r="G267" s="206">
        <f t="shared" si="9"/>
        <v>1301900</v>
      </c>
      <c r="H267" s="61">
        <v>379.75</v>
      </c>
      <c r="I267" s="61">
        <v>293.20999999999998</v>
      </c>
      <c r="J267" s="61">
        <v>86.54</v>
      </c>
      <c r="K267" s="61" t="s">
        <v>4248</v>
      </c>
    </row>
    <row r="268" spans="1:11">
      <c r="A268" s="61">
        <v>265</v>
      </c>
      <c r="B268" s="203" t="s">
        <v>3985</v>
      </c>
      <c r="C268" s="61" t="s">
        <v>4461</v>
      </c>
      <c r="D268" s="61" t="s">
        <v>35</v>
      </c>
      <c r="E268" s="209">
        <v>1385000</v>
      </c>
      <c r="F268" s="212">
        <f t="shared" si="8"/>
        <v>1343450</v>
      </c>
      <c r="G268" s="206">
        <f t="shared" si="9"/>
        <v>1301900</v>
      </c>
      <c r="H268" s="61">
        <v>385.03</v>
      </c>
      <c r="I268" s="61">
        <v>293.20999999999998</v>
      </c>
      <c r="J268" s="61">
        <v>91.82</v>
      </c>
      <c r="K268" s="61" t="s">
        <v>4248</v>
      </c>
    </row>
    <row r="269" spans="1:11">
      <c r="A269" s="61">
        <v>266</v>
      </c>
      <c r="B269" s="203" t="s">
        <v>3986</v>
      </c>
      <c r="C269" s="61" t="s">
        <v>4461</v>
      </c>
      <c r="D269" s="61" t="s">
        <v>35</v>
      </c>
      <c r="E269" s="209">
        <v>1385000</v>
      </c>
      <c r="F269" s="212">
        <f t="shared" si="8"/>
        <v>1343450</v>
      </c>
      <c r="G269" s="206">
        <f t="shared" si="9"/>
        <v>1301900</v>
      </c>
      <c r="H269" s="61">
        <v>402.35</v>
      </c>
      <c r="I269" s="61">
        <v>293.20999999999998</v>
      </c>
      <c r="J269" s="61">
        <v>109.15</v>
      </c>
      <c r="K269" s="61" t="s">
        <v>4248</v>
      </c>
    </row>
    <row r="270" spans="1:11">
      <c r="A270" s="61">
        <v>267</v>
      </c>
      <c r="B270" s="203" t="s">
        <v>3987</v>
      </c>
      <c r="C270" s="61" t="s">
        <v>4461</v>
      </c>
      <c r="D270" s="61" t="s">
        <v>35</v>
      </c>
      <c r="E270" s="209">
        <v>1385000</v>
      </c>
      <c r="F270" s="212">
        <f t="shared" si="8"/>
        <v>1343450</v>
      </c>
      <c r="G270" s="206">
        <f t="shared" si="9"/>
        <v>1301900</v>
      </c>
      <c r="H270" s="61">
        <v>385.13</v>
      </c>
      <c r="I270" s="61">
        <v>293.20999999999998</v>
      </c>
      <c r="J270" s="61">
        <v>91.92</v>
      </c>
      <c r="K270" s="61" t="s">
        <v>4248</v>
      </c>
    </row>
    <row r="271" spans="1:11">
      <c r="A271" s="61">
        <v>268</v>
      </c>
      <c r="B271" s="203" t="s">
        <v>3988</v>
      </c>
      <c r="C271" s="61" t="s">
        <v>5</v>
      </c>
      <c r="D271" s="61" t="s">
        <v>35</v>
      </c>
      <c r="E271" s="209">
        <v>1396000</v>
      </c>
      <c r="F271" s="212">
        <f t="shared" si="8"/>
        <v>1354120</v>
      </c>
      <c r="G271" s="206">
        <f t="shared" si="9"/>
        <v>1312240</v>
      </c>
      <c r="H271" s="61">
        <v>408.28</v>
      </c>
      <c r="I271" s="61">
        <v>297.62</v>
      </c>
      <c r="J271" s="61">
        <v>110.65</v>
      </c>
      <c r="K271" s="61" t="s">
        <v>3759</v>
      </c>
    </row>
    <row r="272" spans="1:11">
      <c r="A272" s="61">
        <v>269</v>
      </c>
      <c r="B272" s="203" t="s">
        <v>3989</v>
      </c>
      <c r="C272" s="61" t="s">
        <v>5</v>
      </c>
      <c r="D272" s="61" t="s">
        <v>35</v>
      </c>
      <c r="E272" s="209">
        <v>1396000</v>
      </c>
      <c r="F272" s="212">
        <f t="shared" si="8"/>
        <v>1354120</v>
      </c>
      <c r="G272" s="206">
        <f t="shared" si="9"/>
        <v>1312240</v>
      </c>
      <c r="H272" s="61">
        <v>408.28</v>
      </c>
      <c r="I272" s="61">
        <v>297.62</v>
      </c>
      <c r="J272" s="61">
        <v>110.65</v>
      </c>
      <c r="K272" s="61" t="s">
        <v>3759</v>
      </c>
    </row>
    <row r="273" spans="1:11">
      <c r="A273" s="61">
        <v>270</v>
      </c>
      <c r="B273" s="203" t="s">
        <v>3990</v>
      </c>
      <c r="C273" s="61" t="s">
        <v>4460</v>
      </c>
      <c r="D273" s="61" t="s">
        <v>35</v>
      </c>
      <c r="E273" s="209">
        <v>1382000</v>
      </c>
      <c r="F273" s="212">
        <f t="shared" si="8"/>
        <v>1340540</v>
      </c>
      <c r="G273" s="206">
        <f t="shared" si="9"/>
        <v>1299080</v>
      </c>
      <c r="H273" s="61">
        <v>389.65</v>
      </c>
      <c r="I273" s="61">
        <v>293.20999999999998</v>
      </c>
      <c r="J273" s="61">
        <v>96.44</v>
      </c>
      <c r="K273" s="61" t="s">
        <v>4248</v>
      </c>
    </row>
    <row r="274" spans="1:11">
      <c r="A274" s="61">
        <v>271</v>
      </c>
      <c r="B274" s="203" t="s">
        <v>3991</v>
      </c>
      <c r="C274" s="61" t="s">
        <v>4460</v>
      </c>
      <c r="D274" s="61" t="s">
        <v>35</v>
      </c>
      <c r="E274" s="209">
        <v>1381000</v>
      </c>
      <c r="F274" s="212">
        <f t="shared" si="8"/>
        <v>1339570</v>
      </c>
      <c r="G274" s="206">
        <f t="shared" si="9"/>
        <v>1298140</v>
      </c>
      <c r="H274" s="61">
        <v>389.33</v>
      </c>
      <c r="I274" s="61">
        <v>293.20999999999998</v>
      </c>
      <c r="J274" s="61">
        <v>96.12</v>
      </c>
      <c r="K274" s="61" t="s">
        <v>4248</v>
      </c>
    </row>
    <row r="275" spans="1:11">
      <c r="A275" s="61">
        <v>272</v>
      </c>
      <c r="B275" s="203" t="s">
        <v>3992</v>
      </c>
      <c r="C275" s="61" t="s">
        <v>12</v>
      </c>
      <c r="D275" s="61" t="s">
        <v>35</v>
      </c>
      <c r="E275" s="209">
        <v>1384000</v>
      </c>
      <c r="F275" s="212">
        <f t="shared" si="8"/>
        <v>1342480</v>
      </c>
      <c r="G275" s="206">
        <f t="shared" si="9"/>
        <v>1300960</v>
      </c>
      <c r="H275" s="61">
        <v>394.93</v>
      </c>
      <c r="I275" s="61">
        <v>293.75</v>
      </c>
      <c r="J275" s="61">
        <v>101.18</v>
      </c>
      <c r="K275" s="61" t="s">
        <v>3759</v>
      </c>
    </row>
    <row r="276" spans="1:11">
      <c r="A276" s="61">
        <v>273</v>
      </c>
      <c r="B276" s="203" t="s">
        <v>3993</v>
      </c>
      <c r="C276" s="61" t="s">
        <v>4</v>
      </c>
      <c r="D276" s="61" t="s">
        <v>35</v>
      </c>
      <c r="E276" s="209">
        <v>1394000</v>
      </c>
      <c r="F276" s="212">
        <f t="shared" si="8"/>
        <v>1352180</v>
      </c>
      <c r="G276" s="206">
        <f t="shared" si="9"/>
        <v>1310360</v>
      </c>
      <c r="H276" s="61">
        <v>408.28</v>
      </c>
      <c r="I276" s="61">
        <v>297.62</v>
      </c>
      <c r="J276" s="61">
        <v>110.65</v>
      </c>
      <c r="K276" s="61" t="s">
        <v>3759</v>
      </c>
    </row>
    <row r="277" spans="1:11">
      <c r="A277" s="61">
        <v>274</v>
      </c>
      <c r="B277" s="203" t="s">
        <v>3994</v>
      </c>
      <c r="C277" s="61" t="s">
        <v>4</v>
      </c>
      <c r="D277" s="61" t="s">
        <v>35</v>
      </c>
      <c r="E277" s="209">
        <v>1394000</v>
      </c>
      <c r="F277" s="212">
        <f t="shared" si="8"/>
        <v>1352180</v>
      </c>
      <c r="G277" s="206">
        <f t="shared" si="9"/>
        <v>1310360</v>
      </c>
      <c r="H277" s="61">
        <v>408.28</v>
      </c>
      <c r="I277" s="61">
        <v>297.62</v>
      </c>
      <c r="J277" s="61">
        <v>110.65</v>
      </c>
      <c r="K277" s="61" t="s">
        <v>3759</v>
      </c>
    </row>
    <row r="278" spans="1:11">
      <c r="A278" s="61">
        <v>275</v>
      </c>
      <c r="B278" s="203" t="s">
        <v>3995</v>
      </c>
      <c r="C278" s="61" t="s">
        <v>12</v>
      </c>
      <c r="D278" s="61" t="s">
        <v>35</v>
      </c>
      <c r="E278" s="209">
        <v>1381000</v>
      </c>
      <c r="F278" s="212">
        <f t="shared" si="8"/>
        <v>1339570</v>
      </c>
      <c r="G278" s="206">
        <f t="shared" si="9"/>
        <v>1298140</v>
      </c>
      <c r="H278" s="61">
        <v>362.31</v>
      </c>
      <c r="I278" s="61">
        <v>293.20999999999998</v>
      </c>
      <c r="J278" s="61">
        <v>69.099999999999994</v>
      </c>
      <c r="K278" s="61" t="s">
        <v>4248</v>
      </c>
    </row>
    <row r="279" spans="1:11">
      <c r="A279" s="61">
        <v>276</v>
      </c>
      <c r="B279" s="203" t="s">
        <v>3996</v>
      </c>
      <c r="C279" s="61" t="s">
        <v>12</v>
      </c>
      <c r="D279" s="61" t="s">
        <v>35</v>
      </c>
      <c r="E279" s="209">
        <v>1381000</v>
      </c>
      <c r="F279" s="212">
        <f t="shared" si="8"/>
        <v>1339570</v>
      </c>
      <c r="G279" s="206">
        <f t="shared" si="9"/>
        <v>1298140</v>
      </c>
      <c r="H279" s="61">
        <v>362.31</v>
      </c>
      <c r="I279" s="61">
        <v>293.20999999999998</v>
      </c>
      <c r="J279" s="61">
        <v>69.099999999999994</v>
      </c>
      <c r="K279" s="61" t="s">
        <v>4248</v>
      </c>
    </row>
    <row r="280" spans="1:11">
      <c r="A280" s="61">
        <v>277</v>
      </c>
      <c r="B280" s="203" t="s">
        <v>3997</v>
      </c>
      <c r="C280" s="61" t="s">
        <v>32</v>
      </c>
      <c r="D280" s="61" t="s">
        <v>35</v>
      </c>
      <c r="E280" s="209">
        <v>1381000</v>
      </c>
      <c r="F280" s="212">
        <f t="shared" si="8"/>
        <v>1339570</v>
      </c>
      <c r="G280" s="206">
        <f t="shared" si="9"/>
        <v>1298140</v>
      </c>
      <c r="H280" s="61">
        <v>379.75</v>
      </c>
      <c r="I280" s="61">
        <v>293.20999999999998</v>
      </c>
      <c r="J280" s="61">
        <v>86.54</v>
      </c>
      <c r="K280" s="61" t="s">
        <v>3759</v>
      </c>
    </row>
    <row r="281" spans="1:11">
      <c r="A281" s="61">
        <v>278</v>
      </c>
      <c r="B281" s="203" t="s">
        <v>3998</v>
      </c>
      <c r="C281" s="61" t="s">
        <v>32</v>
      </c>
      <c r="D281" s="61" t="s">
        <v>35</v>
      </c>
      <c r="E281" s="209">
        <v>1382000</v>
      </c>
      <c r="F281" s="212">
        <f t="shared" si="8"/>
        <v>1340540</v>
      </c>
      <c r="G281" s="206">
        <f t="shared" si="9"/>
        <v>1299080</v>
      </c>
      <c r="H281" s="61">
        <v>394.93</v>
      </c>
      <c r="I281" s="61">
        <v>293.75</v>
      </c>
      <c r="J281" s="61">
        <v>101.18</v>
      </c>
      <c r="K281" s="61" t="s">
        <v>3759</v>
      </c>
    </row>
    <row r="282" spans="1:11">
      <c r="A282" s="61">
        <v>279</v>
      </c>
      <c r="B282" s="203" t="s">
        <v>3999</v>
      </c>
      <c r="C282" s="61" t="s">
        <v>32</v>
      </c>
      <c r="D282" s="61" t="s">
        <v>35</v>
      </c>
      <c r="E282" s="209">
        <v>1382000</v>
      </c>
      <c r="F282" s="212">
        <f t="shared" si="8"/>
        <v>1340540</v>
      </c>
      <c r="G282" s="206">
        <f t="shared" si="9"/>
        <v>1299080</v>
      </c>
      <c r="H282" s="61">
        <v>394.93</v>
      </c>
      <c r="I282" s="61">
        <v>293.75</v>
      </c>
      <c r="J282" s="61">
        <v>101.18</v>
      </c>
      <c r="K282" s="61" t="s">
        <v>3759</v>
      </c>
    </row>
    <row r="283" spans="1:11">
      <c r="A283" s="61">
        <v>280</v>
      </c>
      <c r="B283" s="203" t="s">
        <v>4000</v>
      </c>
      <c r="C283" s="61" t="s">
        <v>12</v>
      </c>
      <c r="D283" s="61" t="s">
        <v>35</v>
      </c>
      <c r="E283" s="209">
        <v>1378000</v>
      </c>
      <c r="F283" s="212">
        <f t="shared" si="8"/>
        <v>1336660</v>
      </c>
      <c r="G283" s="206">
        <f t="shared" si="9"/>
        <v>1295320</v>
      </c>
      <c r="H283" s="61">
        <v>403.65</v>
      </c>
      <c r="I283" s="61">
        <v>293.20999999999998</v>
      </c>
      <c r="J283" s="61">
        <v>110.44</v>
      </c>
      <c r="K283" s="61" t="s">
        <v>4248</v>
      </c>
    </row>
    <row r="284" spans="1:11">
      <c r="A284" s="61">
        <v>281</v>
      </c>
      <c r="B284" s="203" t="s">
        <v>4001</v>
      </c>
      <c r="C284" s="61" t="s">
        <v>12</v>
      </c>
      <c r="D284" s="61" t="s">
        <v>35</v>
      </c>
      <c r="E284" s="209">
        <v>1378000</v>
      </c>
      <c r="F284" s="212">
        <f t="shared" si="8"/>
        <v>1336660</v>
      </c>
      <c r="G284" s="206">
        <f t="shared" si="9"/>
        <v>1295320</v>
      </c>
      <c r="H284" s="61">
        <v>403.65</v>
      </c>
      <c r="I284" s="61">
        <v>293.20999999999998</v>
      </c>
      <c r="J284" s="61">
        <v>110.44</v>
      </c>
      <c r="K284" s="61" t="s">
        <v>4248</v>
      </c>
    </row>
    <row r="285" spans="1:11">
      <c r="A285" s="61">
        <v>282</v>
      </c>
      <c r="B285" s="203" t="s">
        <v>4002</v>
      </c>
      <c r="C285" s="61" t="s">
        <v>4458</v>
      </c>
      <c r="D285" s="61" t="s">
        <v>35</v>
      </c>
      <c r="E285" s="209">
        <v>1391000</v>
      </c>
      <c r="F285" s="212">
        <f t="shared" si="8"/>
        <v>1349270</v>
      </c>
      <c r="G285" s="206">
        <f t="shared" si="9"/>
        <v>1307540</v>
      </c>
      <c r="H285" s="61">
        <v>408.28</v>
      </c>
      <c r="I285" s="61">
        <v>297.62</v>
      </c>
      <c r="J285" s="61">
        <v>110.65</v>
      </c>
      <c r="K285" s="61" t="s">
        <v>3759</v>
      </c>
    </row>
    <row r="286" spans="1:11">
      <c r="A286" s="61">
        <v>283</v>
      </c>
      <c r="B286" s="203" t="s">
        <v>4003</v>
      </c>
      <c r="C286" s="61" t="s">
        <v>4458</v>
      </c>
      <c r="D286" s="61" t="s">
        <v>35</v>
      </c>
      <c r="E286" s="209">
        <v>1391000</v>
      </c>
      <c r="F286" s="212">
        <f t="shared" si="8"/>
        <v>1349270</v>
      </c>
      <c r="G286" s="206">
        <f t="shared" si="9"/>
        <v>1307540</v>
      </c>
      <c r="H286" s="61">
        <v>408.28</v>
      </c>
      <c r="I286" s="61">
        <v>297.62</v>
      </c>
      <c r="J286" s="61">
        <v>110.65</v>
      </c>
      <c r="K286" s="61" t="s">
        <v>3759</v>
      </c>
    </row>
    <row r="287" spans="1:11">
      <c r="A287" s="61">
        <v>284</v>
      </c>
      <c r="B287" s="203" t="s">
        <v>4004</v>
      </c>
      <c r="C287" s="61" t="s">
        <v>12</v>
      </c>
      <c r="D287" s="61" t="s">
        <v>35</v>
      </c>
      <c r="E287" s="209">
        <v>1377000</v>
      </c>
      <c r="F287" s="212">
        <f t="shared" si="8"/>
        <v>1335690</v>
      </c>
      <c r="G287" s="206">
        <f t="shared" si="9"/>
        <v>1294380</v>
      </c>
      <c r="H287" s="61">
        <v>379.75</v>
      </c>
      <c r="I287" s="61">
        <v>293.20999999999998</v>
      </c>
      <c r="J287" s="61">
        <v>86.54</v>
      </c>
      <c r="K287" s="61" t="s">
        <v>4248</v>
      </c>
    </row>
    <row r="288" spans="1:11">
      <c r="A288" s="61">
        <v>285</v>
      </c>
      <c r="B288" s="203" t="s">
        <v>4005</v>
      </c>
      <c r="C288" s="61" t="s">
        <v>4459</v>
      </c>
      <c r="D288" s="61" t="s">
        <v>35</v>
      </c>
      <c r="E288" s="209">
        <v>1379000</v>
      </c>
      <c r="F288" s="212">
        <f t="shared" si="8"/>
        <v>1337630</v>
      </c>
      <c r="G288" s="206">
        <f t="shared" si="9"/>
        <v>1296260</v>
      </c>
      <c r="H288" s="61">
        <v>394.93</v>
      </c>
      <c r="I288" s="61">
        <v>293.75</v>
      </c>
      <c r="J288" s="61">
        <v>101.18</v>
      </c>
      <c r="K288" s="61" t="s">
        <v>3759</v>
      </c>
    </row>
    <row r="289" spans="1:11">
      <c r="A289" s="61">
        <v>286</v>
      </c>
      <c r="B289" s="203" t="s">
        <v>4006</v>
      </c>
      <c r="C289" s="61" t="s">
        <v>5</v>
      </c>
      <c r="D289" s="61" t="s">
        <v>35</v>
      </c>
      <c r="E289" s="209">
        <v>1380000</v>
      </c>
      <c r="F289" s="212">
        <f t="shared" si="8"/>
        <v>1338600</v>
      </c>
      <c r="G289" s="206">
        <f t="shared" si="9"/>
        <v>1297200</v>
      </c>
      <c r="H289" s="61">
        <v>362.31</v>
      </c>
      <c r="I289" s="61">
        <v>293.20999999999998</v>
      </c>
      <c r="J289" s="61">
        <v>69.099999999999994</v>
      </c>
      <c r="K289" s="61" t="s">
        <v>3759</v>
      </c>
    </row>
    <row r="290" spans="1:11">
      <c r="A290" s="61">
        <v>287</v>
      </c>
      <c r="B290" s="203" t="s">
        <v>4007</v>
      </c>
      <c r="C290" s="61" t="s">
        <v>6</v>
      </c>
      <c r="D290" s="61" t="s">
        <v>35</v>
      </c>
      <c r="E290" s="209">
        <v>1388000</v>
      </c>
      <c r="F290" s="212">
        <f t="shared" si="8"/>
        <v>1346360</v>
      </c>
      <c r="G290" s="206">
        <f t="shared" si="9"/>
        <v>1304720</v>
      </c>
      <c r="H290" s="61">
        <v>408.28</v>
      </c>
      <c r="I290" s="61">
        <v>297.62</v>
      </c>
      <c r="J290" s="61">
        <v>110.65</v>
      </c>
      <c r="K290" s="61" t="s">
        <v>3759</v>
      </c>
    </row>
    <row r="291" spans="1:11">
      <c r="A291" s="61">
        <v>288</v>
      </c>
      <c r="B291" s="203" t="s">
        <v>4008</v>
      </c>
      <c r="C291" s="61" t="s">
        <v>6</v>
      </c>
      <c r="D291" s="61" t="s">
        <v>35</v>
      </c>
      <c r="E291" s="209">
        <v>1388000</v>
      </c>
      <c r="F291" s="212">
        <f t="shared" si="8"/>
        <v>1346360</v>
      </c>
      <c r="G291" s="206">
        <f t="shared" si="9"/>
        <v>1304720</v>
      </c>
      <c r="H291" s="61">
        <v>408.28</v>
      </c>
      <c r="I291" s="61">
        <v>297.62</v>
      </c>
      <c r="J291" s="61">
        <v>110.65</v>
      </c>
      <c r="K291" s="61" t="s">
        <v>3759</v>
      </c>
    </row>
    <row r="292" spans="1:11">
      <c r="A292" s="61">
        <v>289</v>
      </c>
      <c r="B292" s="203" t="s">
        <v>4009</v>
      </c>
      <c r="C292" s="61" t="s">
        <v>4459</v>
      </c>
      <c r="D292" s="61" t="s">
        <v>35</v>
      </c>
      <c r="E292" s="209">
        <v>1378000</v>
      </c>
      <c r="F292" s="212">
        <f t="shared" si="8"/>
        <v>1336660</v>
      </c>
      <c r="G292" s="206">
        <f t="shared" si="9"/>
        <v>1295320</v>
      </c>
      <c r="H292" s="61">
        <v>389.65</v>
      </c>
      <c r="I292" s="61">
        <v>293.20999999999998</v>
      </c>
      <c r="J292" s="61">
        <v>96.44</v>
      </c>
      <c r="K292" s="61" t="s">
        <v>3759</v>
      </c>
    </row>
    <row r="293" spans="1:11">
      <c r="A293" s="61">
        <v>290</v>
      </c>
      <c r="B293" s="203" t="s">
        <v>4010</v>
      </c>
      <c r="C293" s="61" t="s">
        <v>4459</v>
      </c>
      <c r="D293" s="61" t="s">
        <v>35</v>
      </c>
      <c r="E293" s="209">
        <v>1377000</v>
      </c>
      <c r="F293" s="212">
        <f t="shared" si="8"/>
        <v>1335690</v>
      </c>
      <c r="G293" s="206">
        <f t="shared" si="9"/>
        <v>1294380</v>
      </c>
      <c r="H293" s="61">
        <v>389.33</v>
      </c>
      <c r="I293" s="61">
        <v>293.20999999999998</v>
      </c>
      <c r="J293" s="61">
        <v>96.12</v>
      </c>
      <c r="K293" s="61" t="s">
        <v>3759</v>
      </c>
    </row>
    <row r="294" spans="1:11">
      <c r="A294" s="61">
        <v>291</v>
      </c>
      <c r="B294" s="203" t="s">
        <v>4011</v>
      </c>
      <c r="C294" s="61" t="s">
        <v>4459</v>
      </c>
      <c r="D294" s="61" t="s">
        <v>35</v>
      </c>
      <c r="E294" s="209">
        <v>1376000</v>
      </c>
      <c r="F294" s="212">
        <f t="shared" si="8"/>
        <v>1334720</v>
      </c>
      <c r="G294" s="206">
        <f t="shared" si="9"/>
        <v>1293440</v>
      </c>
      <c r="H294" s="61">
        <v>362.31</v>
      </c>
      <c r="I294" s="61">
        <v>293.20999999999998</v>
      </c>
      <c r="J294" s="61">
        <v>69.099999999999994</v>
      </c>
      <c r="K294" s="61" t="s">
        <v>4248</v>
      </c>
    </row>
    <row r="295" spans="1:11">
      <c r="A295" s="61">
        <v>292</v>
      </c>
      <c r="B295" s="203" t="s">
        <v>4012</v>
      </c>
      <c r="C295" s="61" t="s">
        <v>5</v>
      </c>
      <c r="D295" s="61" t="s">
        <v>35</v>
      </c>
      <c r="E295" s="209">
        <v>1376000</v>
      </c>
      <c r="F295" s="212">
        <f t="shared" si="8"/>
        <v>1334720</v>
      </c>
      <c r="G295" s="206">
        <f t="shared" si="9"/>
        <v>1293440</v>
      </c>
      <c r="H295" s="61">
        <v>379.75</v>
      </c>
      <c r="I295" s="61">
        <v>293.20999999999998</v>
      </c>
      <c r="J295" s="61">
        <v>86.54</v>
      </c>
      <c r="K295" s="61" t="s">
        <v>3759</v>
      </c>
    </row>
    <row r="296" spans="1:11">
      <c r="A296" s="61">
        <v>293</v>
      </c>
      <c r="B296" s="203" t="s">
        <v>4013</v>
      </c>
      <c r="C296" s="61" t="s">
        <v>5</v>
      </c>
      <c r="D296" s="61" t="s">
        <v>35</v>
      </c>
      <c r="E296" s="209">
        <v>1376000</v>
      </c>
      <c r="F296" s="212">
        <f t="shared" si="8"/>
        <v>1334720</v>
      </c>
      <c r="G296" s="206">
        <f t="shared" si="9"/>
        <v>1293440</v>
      </c>
      <c r="H296" s="61">
        <v>385.13</v>
      </c>
      <c r="I296" s="61">
        <v>293.20999999999998</v>
      </c>
      <c r="J296" s="61">
        <v>91.92</v>
      </c>
      <c r="K296" s="61" t="s">
        <v>3759</v>
      </c>
    </row>
    <row r="297" spans="1:11">
      <c r="A297" s="61">
        <v>294</v>
      </c>
      <c r="B297" s="203" t="s">
        <v>4014</v>
      </c>
      <c r="C297" s="61" t="s">
        <v>5</v>
      </c>
      <c r="D297" s="61" t="s">
        <v>35</v>
      </c>
      <c r="E297" s="209">
        <v>1377000</v>
      </c>
      <c r="F297" s="212">
        <f t="shared" si="8"/>
        <v>1335690</v>
      </c>
      <c r="G297" s="206">
        <f t="shared" si="9"/>
        <v>1294380</v>
      </c>
      <c r="H297" s="61">
        <v>394.93</v>
      </c>
      <c r="I297" s="61">
        <v>293.75</v>
      </c>
      <c r="J297" s="61">
        <v>101.18</v>
      </c>
      <c r="K297" s="61" t="s">
        <v>3759</v>
      </c>
    </row>
    <row r="298" spans="1:11">
      <c r="A298" s="61">
        <v>295</v>
      </c>
      <c r="B298" s="203" t="s">
        <v>4015</v>
      </c>
      <c r="C298" s="61" t="s">
        <v>5</v>
      </c>
      <c r="D298" s="61" t="s">
        <v>35</v>
      </c>
      <c r="E298" s="209">
        <v>1377000</v>
      </c>
      <c r="F298" s="212">
        <f t="shared" si="8"/>
        <v>1335690</v>
      </c>
      <c r="G298" s="206">
        <f t="shared" si="9"/>
        <v>1294380</v>
      </c>
      <c r="H298" s="61">
        <v>394.93</v>
      </c>
      <c r="I298" s="61">
        <v>293.75</v>
      </c>
      <c r="J298" s="61">
        <v>101.18</v>
      </c>
      <c r="K298" s="61" t="s">
        <v>3759</v>
      </c>
    </row>
    <row r="299" spans="1:11">
      <c r="A299" s="61">
        <v>296</v>
      </c>
      <c r="B299" s="203" t="s">
        <v>4016</v>
      </c>
      <c r="C299" s="61" t="s">
        <v>5</v>
      </c>
      <c r="D299" s="61" t="s">
        <v>35</v>
      </c>
      <c r="E299" s="209">
        <v>1376000</v>
      </c>
      <c r="F299" s="212">
        <f t="shared" si="8"/>
        <v>1334720</v>
      </c>
      <c r="G299" s="206">
        <f t="shared" si="9"/>
        <v>1293440</v>
      </c>
      <c r="H299" s="61">
        <v>385.03</v>
      </c>
      <c r="I299" s="61">
        <v>293.20999999999998</v>
      </c>
      <c r="J299" s="61">
        <v>91.82</v>
      </c>
      <c r="K299" s="61" t="s">
        <v>3759</v>
      </c>
    </row>
    <row r="300" spans="1:11">
      <c r="A300" s="61">
        <v>297</v>
      </c>
      <c r="B300" s="203" t="s">
        <v>4017</v>
      </c>
      <c r="C300" s="61" t="s">
        <v>5</v>
      </c>
      <c r="D300" s="61" t="s">
        <v>35</v>
      </c>
      <c r="E300" s="209">
        <v>1376000</v>
      </c>
      <c r="F300" s="212">
        <f t="shared" si="8"/>
        <v>1334720</v>
      </c>
      <c r="G300" s="206">
        <f t="shared" si="9"/>
        <v>1293440</v>
      </c>
      <c r="H300" s="61">
        <v>379.75</v>
      </c>
      <c r="I300" s="61">
        <v>293.20999999999998</v>
      </c>
      <c r="J300" s="61">
        <v>86.54</v>
      </c>
      <c r="K300" s="61" t="s">
        <v>3759</v>
      </c>
    </row>
    <row r="301" spans="1:11">
      <c r="A301" s="61">
        <v>298</v>
      </c>
      <c r="B301" s="203" t="s">
        <v>4018</v>
      </c>
      <c r="C301" s="61" t="s">
        <v>5</v>
      </c>
      <c r="D301" s="61" t="s">
        <v>35</v>
      </c>
      <c r="E301" s="209">
        <v>1375000</v>
      </c>
      <c r="F301" s="212">
        <f t="shared" si="8"/>
        <v>1333750</v>
      </c>
      <c r="G301" s="206">
        <f t="shared" si="9"/>
        <v>1292500</v>
      </c>
      <c r="H301" s="61">
        <v>389.33</v>
      </c>
      <c r="I301" s="61">
        <v>293.20999999999998</v>
      </c>
      <c r="J301" s="61">
        <v>96.12</v>
      </c>
      <c r="K301" s="61" t="s">
        <v>3759</v>
      </c>
    </row>
    <row r="302" spans="1:11">
      <c r="A302" s="61">
        <v>299</v>
      </c>
      <c r="B302" s="203" t="s">
        <v>4019</v>
      </c>
      <c r="C302" s="61" t="s">
        <v>5</v>
      </c>
      <c r="D302" s="61" t="s">
        <v>35</v>
      </c>
      <c r="E302" s="209">
        <v>1375000</v>
      </c>
      <c r="F302" s="212">
        <f t="shared" si="8"/>
        <v>1333750</v>
      </c>
      <c r="G302" s="206">
        <f t="shared" si="9"/>
        <v>1292500</v>
      </c>
      <c r="H302" s="61">
        <v>389.55</v>
      </c>
      <c r="I302" s="61">
        <v>293.20999999999998</v>
      </c>
      <c r="J302" s="61">
        <v>96.34</v>
      </c>
      <c r="K302" s="61" t="s">
        <v>3759</v>
      </c>
    </row>
    <row r="303" spans="1:11">
      <c r="A303" s="61">
        <v>300</v>
      </c>
      <c r="B303" s="203" t="s">
        <v>4020</v>
      </c>
      <c r="C303" s="61" t="s">
        <v>5</v>
      </c>
      <c r="D303" s="61" t="s">
        <v>35</v>
      </c>
      <c r="E303" s="209">
        <v>1375000</v>
      </c>
      <c r="F303" s="212">
        <f t="shared" si="8"/>
        <v>1333750</v>
      </c>
      <c r="G303" s="206">
        <f t="shared" si="9"/>
        <v>1292500</v>
      </c>
      <c r="H303" s="61">
        <v>389.65</v>
      </c>
      <c r="I303" s="61">
        <v>293.20999999999998</v>
      </c>
      <c r="J303" s="61">
        <v>96.44</v>
      </c>
      <c r="K303" s="61" t="s">
        <v>3759</v>
      </c>
    </row>
    <row r="304" spans="1:11">
      <c r="A304" s="61">
        <v>301</v>
      </c>
      <c r="B304" s="203" t="s">
        <v>4021</v>
      </c>
      <c r="C304" s="61" t="s">
        <v>5</v>
      </c>
      <c r="D304" s="61" t="s">
        <v>35</v>
      </c>
      <c r="E304" s="209">
        <v>1375000</v>
      </c>
      <c r="F304" s="212">
        <f t="shared" si="8"/>
        <v>1333750</v>
      </c>
      <c r="G304" s="206">
        <f t="shared" si="9"/>
        <v>1292500</v>
      </c>
      <c r="H304" s="61">
        <v>389.33</v>
      </c>
      <c r="I304" s="61">
        <v>293.20999999999998</v>
      </c>
      <c r="J304" s="61">
        <v>96.12</v>
      </c>
      <c r="K304" s="61" t="s">
        <v>3759</v>
      </c>
    </row>
    <row r="305" spans="1:11">
      <c r="A305" s="61">
        <v>302</v>
      </c>
      <c r="B305" s="203" t="s">
        <v>4022</v>
      </c>
      <c r="C305" s="61" t="s">
        <v>4</v>
      </c>
      <c r="D305" s="61" t="s">
        <v>35</v>
      </c>
      <c r="E305" s="209">
        <v>1377000</v>
      </c>
      <c r="F305" s="212">
        <f t="shared" si="8"/>
        <v>1335690</v>
      </c>
      <c r="G305" s="206">
        <f t="shared" si="9"/>
        <v>1294380</v>
      </c>
      <c r="H305" s="61">
        <v>362.31</v>
      </c>
      <c r="I305" s="61">
        <v>293.20999999999998</v>
      </c>
      <c r="J305" s="61">
        <v>69.099999999999994</v>
      </c>
      <c r="K305" s="61" t="s">
        <v>3759</v>
      </c>
    </row>
    <row r="306" spans="1:11">
      <c r="A306" s="61">
        <v>303</v>
      </c>
      <c r="B306" s="203" t="s">
        <v>4023</v>
      </c>
      <c r="C306" s="61" t="s">
        <v>7</v>
      </c>
      <c r="D306" s="61" t="s">
        <v>35</v>
      </c>
      <c r="E306" s="209">
        <v>1386000</v>
      </c>
      <c r="F306" s="212">
        <f t="shared" si="8"/>
        <v>1344420</v>
      </c>
      <c r="G306" s="206">
        <f t="shared" si="9"/>
        <v>1302840</v>
      </c>
      <c r="H306" s="61">
        <v>408.28</v>
      </c>
      <c r="I306" s="61">
        <v>297.62</v>
      </c>
      <c r="J306" s="61">
        <v>110.65</v>
      </c>
      <c r="K306" s="61" t="s">
        <v>3759</v>
      </c>
    </row>
    <row r="307" spans="1:11">
      <c r="A307" s="61">
        <v>304</v>
      </c>
      <c r="B307" s="203" t="s">
        <v>4024</v>
      </c>
      <c r="C307" s="61" t="s">
        <v>7</v>
      </c>
      <c r="D307" s="61" t="s">
        <v>35</v>
      </c>
      <c r="E307" s="209">
        <v>1386000</v>
      </c>
      <c r="F307" s="212">
        <f t="shared" si="8"/>
        <v>1344420</v>
      </c>
      <c r="G307" s="206">
        <f t="shared" si="9"/>
        <v>1302840</v>
      </c>
      <c r="H307" s="61">
        <v>408.28</v>
      </c>
      <c r="I307" s="61">
        <v>297.62</v>
      </c>
      <c r="J307" s="61">
        <v>110.65</v>
      </c>
      <c r="K307" s="61" t="s">
        <v>3759</v>
      </c>
    </row>
    <row r="308" spans="1:11">
      <c r="A308" s="61">
        <v>305</v>
      </c>
      <c r="B308" s="203" t="s">
        <v>4025</v>
      </c>
      <c r="C308" s="61" t="s">
        <v>5</v>
      </c>
      <c r="D308" s="61" t="s">
        <v>35</v>
      </c>
      <c r="E308" s="209">
        <v>1373000</v>
      </c>
      <c r="F308" s="212">
        <f t="shared" si="8"/>
        <v>1331810</v>
      </c>
      <c r="G308" s="206">
        <f t="shared" si="9"/>
        <v>1290620</v>
      </c>
      <c r="H308" s="61">
        <v>362.31</v>
      </c>
      <c r="I308" s="61">
        <v>293.20999999999998</v>
      </c>
      <c r="J308" s="61">
        <v>69.099999999999994</v>
      </c>
      <c r="K308" s="61" t="s">
        <v>4248</v>
      </c>
    </row>
    <row r="309" spans="1:11">
      <c r="A309" s="61">
        <v>306</v>
      </c>
      <c r="B309" s="203" t="s">
        <v>4026</v>
      </c>
      <c r="C309" s="61" t="s">
        <v>5</v>
      </c>
      <c r="D309" s="61" t="s">
        <v>35</v>
      </c>
      <c r="E309" s="209">
        <v>1373000</v>
      </c>
      <c r="F309" s="212">
        <f t="shared" si="8"/>
        <v>1331810</v>
      </c>
      <c r="G309" s="206">
        <f t="shared" si="9"/>
        <v>1290620</v>
      </c>
      <c r="H309" s="61">
        <v>362.31</v>
      </c>
      <c r="I309" s="61">
        <v>293.20999999999998</v>
      </c>
      <c r="J309" s="61">
        <v>69.099999999999994</v>
      </c>
      <c r="K309" s="61" t="s">
        <v>4248</v>
      </c>
    </row>
    <row r="310" spans="1:11">
      <c r="A310" s="61">
        <v>307</v>
      </c>
      <c r="B310" s="203" t="s">
        <v>4027</v>
      </c>
      <c r="C310" s="61" t="s">
        <v>4</v>
      </c>
      <c r="D310" s="61" t="s">
        <v>35</v>
      </c>
      <c r="E310" s="209">
        <v>1373000</v>
      </c>
      <c r="F310" s="212">
        <f t="shared" si="8"/>
        <v>1331810</v>
      </c>
      <c r="G310" s="206">
        <f t="shared" si="9"/>
        <v>1290620</v>
      </c>
      <c r="H310" s="61">
        <v>379.75</v>
      </c>
      <c r="I310" s="61">
        <v>293.20999999999998</v>
      </c>
      <c r="J310" s="61">
        <v>86.54</v>
      </c>
      <c r="K310" s="61" t="s">
        <v>3759</v>
      </c>
    </row>
    <row r="311" spans="1:11">
      <c r="A311" s="61">
        <v>308</v>
      </c>
      <c r="B311" s="203" t="s">
        <v>4028</v>
      </c>
      <c r="C311" s="61" t="s">
        <v>4</v>
      </c>
      <c r="D311" s="61" t="s">
        <v>35</v>
      </c>
      <c r="E311" s="209">
        <v>1374000</v>
      </c>
      <c r="F311" s="212">
        <f t="shared" si="8"/>
        <v>1332780</v>
      </c>
      <c r="G311" s="206">
        <f t="shared" si="9"/>
        <v>1291560</v>
      </c>
      <c r="H311" s="61">
        <v>394.93</v>
      </c>
      <c r="I311" s="61">
        <v>293.75</v>
      </c>
      <c r="J311" s="61">
        <v>101.18</v>
      </c>
      <c r="K311" s="61" t="s">
        <v>3759</v>
      </c>
    </row>
    <row r="312" spans="1:11">
      <c r="A312" s="61">
        <v>309</v>
      </c>
      <c r="B312" s="203" t="s">
        <v>4029</v>
      </c>
      <c r="C312" s="61" t="s">
        <v>4</v>
      </c>
      <c r="D312" s="61" t="s">
        <v>35</v>
      </c>
      <c r="E312" s="209">
        <v>1374000</v>
      </c>
      <c r="F312" s="212">
        <f t="shared" si="8"/>
        <v>1332780</v>
      </c>
      <c r="G312" s="206">
        <f t="shared" si="9"/>
        <v>1291560</v>
      </c>
      <c r="H312" s="61">
        <v>394.93</v>
      </c>
      <c r="I312" s="61">
        <v>293.75</v>
      </c>
      <c r="J312" s="61">
        <v>101.18</v>
      </c>
      <c r="K312" s="61" t="s">
        <v>3759</v>
      </c>
    </row>
    <row r="313" spans="1:11">
      <c r="A313" s="61">
        <v>310</v>
      </c>
      <c r="B313" s="203" t="s">
        <v>4030</v>
      </c>
      <c r="C313" s="61" t="s">
        <v>4</v>
      </c>
      <c r="D313" s="61" t="s">
        <v>35</v>
      </c>
      <c r="E313" s="209">
        <v>1373000</v>
      </c>
      <c r="F313" s="212">
        <f t="shared" si="8"/>
        <v>1331810</v>
      </c>
      <c r="G313" s="206">
        <f t="shared" si="9"/>
        <v>1290620</v>
      </c>
      <c r="H313" s="61">
        <v>379.75</v>
      </c>
      <c r="I313" s="61">
        <v>293.20999999999998</v>
      </c>
      <c r="J313" s="61">
        <v>86.54</v>
      </c>
      <c r="K313" s="61" t="s">
        <v>3759</v>
      </c>
    </row>
    <row r="314" spans="1:11">
      <c r="A314" s="61">
        <v>311</v>
      </c>
      <c r="B314" s="203" t="s">
        <v>4031</v>
      </c>
      <c r="C314" s="61" t="s">
        <v>4</v>
      </c>
      <c r="D314" s="61" t="s">
        <v>35</v>
      </c>
      <c r="E314" s="209">
        <v>1373000</v>
      </c>
      <c r="F314" s="212">
        <f t="shared" si="8"/>
        <v>1331810</v>
      </c>
      <c r="G314" s="206">
        <f t="shared" si="9"/>
        <v>1290620</v>
      </c>
      <c r="H314" s="61">
        <v>385.13</v>
      </c>
      <c r="I314" s="61">
        <v>293.20999999999998</v>
      </c>
      <c r="J314" s="61">
        <v>91.92</v>
      </c>
      <c r="K314" s="61" t="s">
        <v>3759</v>
      </c>
    </row>
    <row r="315" spans="1:11">
      <c r="A315" s="61">
        <v>312</v>
      </c>
      <c r="B315" s="203" t="s">
        <v>4032</v>
      </c>
      <c r="C315" s="61" t="s">
        <v>4</v>
      </c>
      <c r="D315" s="61" t="s">
        <v>35</v>
      </c>
      <c r="E315" s="209">
        <v>1373000</v>
      </c>
      <c r="F315" s="212">
        <f t="shared" si="8"/>
        <v>1331810</v>
      </c>
      <c r="G315" s="206">
        <f t="shared" si="9"/>
        <v>1290620</v>
      </c>
      <c r="H315" s="61">
        <v>385.03</v>
      </c>
      <c r="I315" s="61">
        <v>293.20999999999998</v>
      </c>
      <c r="J315" s="61">
        <v>91.82</v>
      </c>
      <c r="K315" s="61" t="s">
        <v>3759</v>
      </c>
    </row>
    <row r="316" spans="1:11">
      <c r="A316" s="61">
        <v>313</v>
      </c>
      <c r="B316" s="203" t="s">
        <v>4033</v>
      </c>
      <c r="C316" s="61" t="s">
        <v>5</v>
      </c>
      <c r="D316" s="61" t="s">
        <v>35</v>
      </c>
      <c r="E316" s="209">
        <v>1370000</v>
      </c>
      <c r="F316" s="212">
        <f t="shared" si="8"/>
        <v>1328900</v>
      </c>
      <c r="G316" s="206">
        <f t="shared" si="9"/>
        <v>1287800</v>
      </c>
      <c r="H316" s="61">
        <v>403.65</v>
      </c>
      <c r="I316" s="61">
        <v>293.20999999999998</v>
      </c>
      <c r="J316" s="61">
        <v>110.44</v>
      </c>
      <c r="K316" s="61" t="s">
        <v>4248</v>
      </c>
    </row>
    <row r="317" spans="1:11">
      <c r="A317" s="61">
        <v>314</v>
      </c>
      <c r="B317" s="203" t="s">
        <v>4034</v>
      </c>
      <c r="C317" s="61" t="s">
        <v>8</v>
      </c>
      <c r="D317" s="61" t="s">
        <v>35</v>
      </c>
      <c r="E317" s="209">
        <v>1383000</v>
      </c>
      <c r="F317" s="212">
        <f t="shared" si="8"/>
        <v>1341510</v>
      </c>
      <c r="G317" s="206">
        <f t="shared" si="9"/>
        <v>1300020</v>
      </c>
      <c r="H317" s="61">
        <v>408.28</v>
      </c>
      <c r="I317" s="61">
        <v>297.62</v>
      </c>
      <c r="J317" s="61">
        <v>110.65</v>
      </c>
      <c r="K317" s="61" t="s">
        <v>3759</v>
      </c>
    </row>
    <row r="318" spans="1:11">
      <c r="A318" s="61">
        <v>315</v>
      </c>
      <c r="B318" s="203" t="s">
        <v>4035</v>
      </c>
      <c r="C318" s="61" t="s">
        <v>8</v>
      </c>
      <c r="D318" s="61" t="s">
        <v>35</v>
      </c>
      <c r="E318" s="209">
        <v>1383000</v>
      </c>
      <c r="F318" s="212">
        <f t="shared" si="8"/>
        <v>1341510</v>
      </c>
      <c r="G318" s="206">
        <f t="shared" si="9"/>
        <v>1300020</v>
      </c>
      <c r="H318" s="61">
        <v>408.28</v>
      </c>
      <c r="I318" s="61">
        <v>297.62</v>
      </c>
      <c r="J318" s="61">
        <v>110.65</v>
      </c>
      <c r="K318" s="61" t="s">
        <v>3759</v>
      </c>
    </row>
    <row r="319" spans="1:11">
      <c r="A319" s="61">
        <v>316</v>
      </c>
      <c r="B319" s="203" t="s">
        <v>4036</v>
      </c>
      <c r="C319" s="61" t="s">
        <v>5</v>
      </c>
      <c r="D319" s="61" t="s">
        <v>35</v>
      </c>
      <c r="E319" s="209">
        <v>1369000</v>
      </c>
      <c r="F319" s="212">
        <f t="shared" si="8"/>
        <v>1327930</v>
      </c>
      <c r="G319" s="206">
        <f t="shared" si="9"/>
        <v>1286860</v>
      </c>
      <c r="H319" s="61">
        <v>379.75</v>
      </c>
      <c r="I319" s="61">
        <v>293.20999999999998</v>
      </c>
      <c r="J319" s="61">
        <v>86.54</v>
      </c>
      <c r="K319" s="61" t="s">
        <v>4248</v>
      </c>
    </row>
    <row r="320" spans="1:11">
      <c r="A320" s="61">
        <v>317</v>
      </c>
      <c r="B320" s="203" t="s">
        <v>4037</v>
      </c>
      <c r="C320" s="61" t="s">
        <v>4</v>
      </c>
      <c r="D320" s="61" t="s">
        <v>35</v>
      </c>
      <c r="E320" s="209">
        <v>1372000</v>
      </c>
      <c r="F320" s="212">
        <f t="shared" si="8"/>
        <v>1330840</v>
      </c>
      <c r="G320" s="206">
        <f t="shared" si="9"/>
        <v>1289680</v>
      </c>
      <c r="H320" s="61">
        <v>389.65</v>
      </c>
      <c r="I320" s="61">
        <v>293.20999999999998</v>
      </c>
      <c r="J320" s="61">
        <v>96.44</v>
      </c>
      <c r="K320" s="61" t="s">
        <v>3759</v>
      </c>
    </row>
    <row r="321" spans="1:11">
      <c r="A321" s="61">
        <v>318</v>
      </c>
      <c r="B321" s="203" t="s">
        <v>4038</v>
      </c>
      <c r="C321" s="61" t="s">
        <v>4458</v>
      </c>
      <c r="D321" s="61" t="s">
        <v>35</v>
      </c>
      <c r="E321" s="209">
        <v>1374000</v>
      </c>
      <c r="F321" s="212">
        <f t="shared" si="8"/>
        <v>1332780</v>
      </c>
      <c r="G321" s="206">
        <f t="shared" si="9"/>
        <v>1291560</v>
      </c>
      <c r="H321" s="61">
        <v>362.31</v>
      </c>
      <c r="I321" s="61">
        <v>293.20999999999998</v>
      </c>
      <c r="J321" s="61">
        <v>69.099999999999994</v>
      </c>
      <c r="K321" s="61" t="s">
        <v>3759</v>
      </c>
    </row>
    <row r="322" spans="1:11">
      <c r="A322" s="61">
        <v>319</v>
      </c>
      <c r="B322" s="203" t="s">
        <v>4039</v>
      </c>
      <c r="C322" s="61" t="s">
        <v>4</v>
      </c>
      <c r="D322" s="61" t="s">
        <v>35</v>
      </c>
      <c r="E322" s="209">
        <v>1372000</v>
      </c>
      <c r="F322" s="212">
        <f t="shared" si="8"/>
        <v>1330840</v>
      </c>
      <c r="G322" s="206">
        <f t="shared" si="9"/>
        <v>1289680</v>
      </c>
      <c r="H322" s="61">
        <v>389.33</v>
      </c>
      <c r="I322" s="61">
        <v>293.20999999999998</v>
      </c>
      <c r="J322" s="61">
        <v>96.12</v>
      </c>
      <c r="K322" s="61" t="s">
        <v>3759</v>
      </c>
    </row>
    <row r="323" spans="1:11">
      <c r="A323" s="61">
        <v>320</v>
      </c>
      <c r="B323" s="203" t="s">
        <v>4040</v>
      </c>
      <c r="C323" s="61" t="s">
        <v>4</v>
      </c>
      <c r="D323" s="61" t="s">
        <v>35</v>
      </c>
      <c r="E323" s="209">
        <v>1372000</v>
      </c>
      <c r="F323" s="212">
        <f t="shared" si="8"/>
        <v>1330840</v>
      </c>
      <c r="G323" s="206">
        <f t="shared" si="9"/>
        <v>1289680</v>
      </c>
      <c r="H323" s="61">
        <v>389.55</v>
      </c>
      <c r="I323" s="61">
        <v>293.20999999999998</v>
      </c>
      <c r="J323" s="61">
        <v>96.34</v>
      </c>
      <c r="K323" s="61" t="s">
        <v>3759</v>
      </c>
    </row>
    <row r="324" spans="1:11">
      <c r="A324" s="61">
        <v>321</v>
      </c>
      <c r="B324" s="203" t="s">
        <v>4041</v>
      </c>
      <c r="C324" s="61" t="s">
        <v>4</v>
      </c>
      <c r="D324" s="61" t="s">
        <v>35</v>
      </c>
      <c r="E324" s="209">
        <v>1372000</v>
      </c>
      <c r="F324" s="212">
        <f t="shared" si="8"/>
        <v>1330840</v>
      </c>
      <c r="G324" s="206">
        <f t="shared" si="9"/>
        <v>1289680</v>
      </c>
      <c r="H324" s="61">
        <v>389.33</v>
      </c>
      <c r="I324" s="61">
        <v>293.20999999999998</v>
      </c>
      <c r="J324" s="61">
        <v>96.12</v>
      </c>
      <c r="K324" s="61" t="s">
        <v>3759</v>
      </c>
    </row>
    <row r="325" spans="1:11">
      <c r="A325" s="61">
        <v>322</v>
      </c>
      <c r="B325" s="203" t="s">
        <v>4042</v>
      </c>
      <c r="C325" s="61" t="s">
        <v>5</v>
      </c>
      <c r="D325" s="61" t="s">
        <v>35</v>
      </c>
      <c r="E325" s="209">
        <v>1369000</v>
      </c>
      <c r="F325" s="212">
        <f t="shared" ref="F325:F388" si="10">E325*0.97</f>
        <v>1327930</v>
      </c>
      <c r="G325" s="206">
        <f t="shared" ref="G325:G388" si="11">E325*0.94</f>
        <v>1286860</v>
      </c>
      <c r="H325" s="61">
        <v>385.03</v>
      </c>
      <c r="I325" s="61">
        <v>293.20999999999998</v>
      </c>
      <c r="J325" s="61">
        <v>91.82</v>
      </c>
      <c r="K325" s="61" t="s">
        <v>4248</v>
      </c>
    </row>
    <row r="326" spans="1:11">
      <c r="A326" s="61">
        <v>323</v>
      </c>
      <c r="B326" s="203" t="s">
        <v>4043</v>
      </c>
      <c r="C326" s="61" t="s">
        <v>5</v>
      </c>
      <c r="D326" s="61" t="s">
        <v>35</v>
      </c>
      <c r="E326" s="209">
        <v>1369000</v>
      </c>
      <c r="F326" s="212">
        <f t="shared" si="10"/>
        <v>1327930</v>
      </c>
      <c r="G326" s="206">
        <f t="shared" si="11"/>
        <v>1286860</v>
      </c>
      <c r="H326" s="61">
        <v>402.35</v>
      </c>
      <c r="I326" s="61">
        <v>293.20999999999998</v>
      </c>
      <c r="J326" s="61">
        <v>109.15</v>
      </c>
      <c r="K326" s="61" t="s">
        <v>4248</v>
      </c>
    </row>
    <row r="327" spans="1:11">
      <c r="A327" s="61">
        <v>324</v>
      </c>
      <c r="B327" s="203" t="s">
        <v>4044</v>
      </c>
      <c r="C327" s="61" t="s">
        <v>5</v>
      </c>
      <c r="D327" s="61" t="s">
        <v>35</v>
      </c>
      <c r="E327" s="209">
        <v>1369000</v>
      </c>
      <c r="F327" s="212">
        <f t="shared" si="10"/>
        <v>1327930</v>
      </c>
      <c r="G327" s="206">
        <f t="shared" si="11"/>
        <v>1286860</v>
      </c>
      <c r="H327" s="61">
        <v>402.35</v>
      </c>
      <c r="I327" s="61">
        <v>293.20999999999998</v>
      </c>
      <c r="J327" s="61">
        <v>109.15</v>
      </c>
      <c r="K327" s="61" t="s">
        <v>4248</v>
      </c>
    </row>
    <row r="328" spans="1:11">
      <c r="A328" s="61">
        <v>325</v>
      </c>
      <c r="B328" s="203" t="s">
        <v>4045</v>
      </c>
      <c r="C328" s="61" t="s">
        <v>5</v>
      </c>
      <c r="D328" s="61" t="s">
        <v>35</v>
      </c>
      <c r="E328" s="209">
        <v>1368000</v>
      </c>
      <c r="F328" s="212">
        <f t="shared" si="10"/>
        <v>1326960</v>
      </c>
      <c r="G328" s="206">
        <f t="shared" si="11"/>
        <v>1285920</v>
      </c>
      <c r="H328" s="61">
        <v>389.65</v>
      </c>
      <c r="I328" s="61">
        <v>293.20999999999998</v>
      </c>
      <c r="J328" s="61">
        <v>96.44</v>
      </c>
      <c r="K328" s="61" t="s">
        <v>4248</v>
      </c>
    </row>
    <row r="329" spans="1:11">
      <c r="A329" s="61">
        <v>326</v>
      </c>
      <c r="B329" s="203" t="s">
        <v>4046</v>
      </c>
      <c r="C329" s="61" t="s">
        <v>4</v>
      </c>
      <c r="D329" s="61" t="s">
        <v>35</v>
      </c>
      <c r="E329" s="209">
        <v>1370000</v>
      </c>
      <c r="F329" s="212">
        <f t="shared" si="10"/>
        <v>1328900</v>
      </c>
      <c r="G329" s="206">
        <f t="shared" si="11"/>
        <v>1287800</v>
      </c>
      <c r="H329" s="61">
        <v>362.31</v>
      </c>
      <c r="I329" s="61">
        <v>293.20999999999998</v>
      </c>
      <c r="J329" s="61">
        <v>69.099999999999994</v>
      </c>
      <c r="K329" s="61" t="s">
        <v>4248</v>
      </c>
    </row>
    <row r="330" spans="1:11">
      <c r="A330" s="61">
        <v>327</v>
      </c>
      <c r="B330" s="203" t="s">
        <v>4047</v>
      </c>
      <c r="C330" s="61" t="s">
        <v>4</v>
      </c>
      <c r="D330" s="61" t="s">
        <v>35</v>
      </c>
      <c r="E330" s="209">
        <v>1370000</v>
      </c>
      <c r="F330" s="212">
        <f t="shared" si="10"/>
        <v>1328900</v>
      </c>
      <c r="G330" s="206">
        <f t="shared" si="11"/>
        <v>1287800</v>
      </c>
      <c r="H330" s="61">
        <v>362.31</v>
      </c>
      <c r="I330" s="61">
        <v>293.20999999999998</v>
      </c>
      <c r="J330" s="61">
        <v>69.099999999999994</v>
      </c>
      <c r="K330" s="61" t="s">
        <v>4248</v>
      </c>
    </row>
    <row r="331" spans="1:11">
      <c r="A331" s="61">
        <v>328</v>
      </c>
      <c r="B331" s="203" t="s">
        <v>4048</v>
      </c>
      <c r="C331" s="61" t="s">
        <v>5</v>
      </c>
      <c r="D331" s="61" t="s">
        <v>35</v>
      </c>
      <c r="E331" s="209">
        <v>1368000</v>
      </c>
      <c r="F331" s="212">
        <f t="shared" si="10"/>
        <v>1326960</v>
      </c>
      <c r="G331" s="206">
        <f t="shared" si="11"/>
        <v>1285920</v>
      </c>
      <c r="H331" s="61">
        <v>389.33</v>
      </c>
      <c r="I331" s="61">
        <v>293.20999999999998</v>
      </c>
      <c r="J331" s="61">
        <v>96.12</v>
      </c>
      <c r="K331" s="61" t="s">
        <v>4248</v>
      </c>
    </row>
    <row r="332" spans="1:11">
      <c r="A332" s="61">
        <v>329</v>
      </c>
      <c r="B332" s="203" t="s">
        <v>4049</v>
      </c>
      <c r="C332" s="61" t="s">
        <v>5</v>
      </c>
      <c r="D332" s="61" t="s">
        <v>35</v>
      </c>
      <c r="E332" s="209">
        <v>1368000</v>
      </c>
      <c r="F332" s="212">
        <f t="shared" si="10"/>
        <v>1326960</v>
      </c>
      <c r="G332" s="206">
        <f t="shared" si="11"/>
        <v>1285920</v>
      </c>
      <c r="H332" s="61">
        <v>394.6</v>
      </c>
      <c r="I332" s="61">
        <v>293.20999999999998</v>
      </c>
      <c r="J332" s="61">
        <v>101.4</v>
      </c>
      <c r="K332" s="61" t="s">
        <v>4248</v>
      </c>
    </row>
    <row r="333" spans="1:11">
      <c r="A333" s="61">
        <v>330</v>
      </c>
      <c r="B333" s="203" t="s">
        <v>4050</v>
      </c>
      <c r="C333" s="61" t="s">
        <v>5</v>
      </c>
      <c r="D333" s="61" t="s">
        <v>35</v>
      </c>
      <c r="E333" s="209">
        <v>1368000</v>
      </c>
      <c r="F333" s="212">
        <f t="shared" si="10"/>
        <v>1326960</v>
      </c>
      <c r="G333" s="206">
        <f t="shared" si="11"/>
        <v>1285920</v>
      </c>
      <c r="H333" s="61">
        <v>389.55</v>
      </c>
      <c r="I333" s="61">
        <v>293.20999999999998</v>
      </c>
      <c r="J333" s="61">
        <v>96.34</v>
      </c>
      <c r="K333" s="61" t="s">
        <v>4248</v>
      </c>
    </row>
    <row r="334" spans="1:11">
      <c r="A334" s="61">
        <v>331</v>
      </c>
      <c r="B334" s="203" t="s">
        <v>4051</v>
      </c>
      <c r="C334" s="61" t="s">
        <v>5</v>
      </c>
      <c r="D334" s="61" t="s">
        <v>35</v>
      </c>
      <c r="E334" s="209">
        <v>1368000</v>
      </c>
      <c r="F334" s="212">
        <f t="shared" si="10"/>
        <v>1326960</v>
      </c>
      <c r="G334" s="206">
        <f t="shared" si="11"/>
        <v>1285920</v>
      </c>
      <c r="H334" s="61">
        <v>389.33</v>
      </c>
      <c r="I334" s="61">
        <v>293.20999999999998</v>
      </c>
      <c r="J334" s="61">
        <v>96.12</v>
      </c>
      <c r="K334" s="61" t="s">
        <v>4248</v>
      </c>
    </row>
    <row r="335" spans="1:11">
      <c r="A335" s="61">
        <v>332</v>
      </c>
      <c r="B335" s="203" t="s">
        <v>4052</v>
      </c>
      <c r="C335" s="61" t="s">
        <v>5</v>
      </c>
      <c r="D335" s="61" t="s">
        <v>35</v>
      </c>
      <c r="E335" s="209">
        <v>1368000</v>
      </c>
      <c r="F335" s="212">
        <f t="shared" si="10"/>
        <v>1326960</v>
      </c>
      <c r="G335" s="206">
        <f t="shared" si="11"/>
        <v>1285920</v>
      </c>
      <c r="H335" s="61">
        <v>394.5</v>
      </c>
      <c r="I335" s="61">
        <v>293.20999999999998</v>
      </c>
      <c r="J335" s="61">
        <v>101.29</v>
      </c>
      <c r="K335" s="61" t="s">
        <v>4248</v>
      </c>
    </row>
    <row r="336" spans="1:11">
      <c r="A336" s="61">
        <v>333</v>
      </c>
      <c r="B336" s="203" t="s">
        <v>4053</v>
      </c>
      <c r="C336" s="61" t="s">
        <v>5</v>
      </c>
      <c r="D336" s="61" t="s">
        <v>35</v>
      </c>
      <c r="E336" s="209">
        <v>1367000</v>
      </c>
      <c r="F336" s="212">
        <f t="shared" si="10"/>
        <v>1325990</v>
      </c>
      <c r="G336" s="206">
        <f t="shared" si="11"/>
        <v>1284980</v>
      </c>
      <c r="H336" s="61">
        <v>400.53</v>
      </c>
      <c r="I336" s="61">
        <v>291.27</v>
      </c>
      <c r="J336" s="61">
        <v>109.25</v>
      </c>
      <c r="K336" s="61" t="s">
        <v>3759</v>
      </c>
    </row>
    <row r="337" spans="1:11">
      <c r="A337" s="61">
        <v>334</v>
      </c>
      <c r="B337" s="203" t="s">
        <v>4054</v>
      </c>
      <c r="C337" s="61" t="s">
        <v>5</v>
      </c>
      <c r="D337" s="61" t="s">
        <v>35</v>
      </c>
      <c r="E337" s="209">
        <v>1367000</v>
      </c>
      <c r="F337" s="212">
        <f t="shared" si="10"/>
        <v>1325990</v>
      </c>
      <c r="G337" s="206">
        <f t="shared" si="11"/>
        <v>1284980</v>
      </c>
      <c r="H337" s="61">
        <v>400.53</v>
      </c>
      <c r="I337" s="61">
        <v>291.27</v>
      </c>
      <c r="J337" s="61">
        <v>109.25</v>
      </c>
      <c r="K337" s="61" t="s">
        <v>3759</v>
      </c>
    </row>
    <row r="338" spans="1:11">
      <c r="A338" s="61">
        <v>335</v>
      </c>
      <c r="B338" s="203" t="s">
        <v>4055</v>
      </c>
      <c r="C338" s="61" t="s">
        <v>4458</v>
      </c>
      <c r="D338" s="61" t="s">
        <v>35</v>
      </c>
      <c r="E338" s="209">
        <v>1371000</v>
      </c>
      <c r="F338" s="212">
        <f t="shared" si="10"/>
        <v>1329870</v>
      </c>
      <c r="G338" s="206">
        <f t="shared" si="11"/>
        <v>1288740</v>
      </c>
      <c r="H338" s="61">
        <v>379.75</v>
      </c>
      <c r="I338" s="61">
        <v>293.20999999999998</v>
      </c>
      <c r="J338" s="61">
        <v>86.54</v>
      </c>
      <c r="K338" s="61" t="s">
        <v>3759</v>
      </c>
    </row>
    <row r="339" spans="1:11">
      <c r="A339" s="61">
        <v>336</v>
      </c>
      <c r="B339" s="203" t="s">
        <v>4056</v>
      </c>
      <c r="C339" s="61" t="s">
        <v>4458</v>
      </c>
      <c r="D339" s="61" t="s">
        <v>35</v>
      </c>
      <c r="E339" s="209">
        <v>1371000</v>
      </c>
      <c r="F339" s="212">
        <f t="shared" si="10"/>
        <v>1329870</v>
      </c>
      <c r="G339" s="206">
        <f t="shared" si="11"/>
        <v>1288740</v>
      </c>
      <c r="H339" s="61">
        <v>385.13</v>
      </c>
      <c r="I339" s="61">
        <v>293.20999999999998</v>
      </c>
      <c r="J339" s="61">
        <v>91.92</v>
      </c>
      <c r="K339" s="61" t="s">
        <v>3759</v>
      </c>
    </row>
    <row r="340" spans="1:11">
      <c r="A340" s="61">
        <v>337</v>
      </c>
      <c r="B340" s="203" t="s">
        <v>4057</v>
      </c>
      <c r="C340" s="61" t="s">
        <v>4458</v>
      </c>
      <c r="D340" s="61" t="s">
        <v>35</v>
      </c>
      <c r="E340" s="209">
        <v>1371000</v>
      </c>
      <c r="F340" s="212">
        <f t="shared" si="10"/>
        <v>1329870</v>
      </c>
      <c r="G340" s="206">
        <f t="shared" si="11"/>
        <v>1288740</v>
      </c>
      <c r="H340" s="61">
        <v>394.93</v>
      </c>
      <c r="I340" s="61">
        <v>293.75</v>
      </c>
      <c r="J340" s="61">
        <v>101.18</v>
      </c>
      <c r="K340" s="61" t="s">
        <v>3759</v>
      </c>
    </row>
    <row r="341" spans="1:11">
      <c r="A341" s="61">
        <v>338</v>
      </c>
      <c r="B341" s="203" t="s">
        <v>4058</v>
      </c>
      <c r="C341" s="61" t="s">
        <v>4458</v>
      </c>
      <c r="D341" s="61" t="s">
        <v>35</v>
      </c>
      <c r="E341" s="209">
        <v>1371000</v>
      </c>
      <c r="F341" s="212">
        <f t="shared" si="10"/>
        <v>1329870</v>
      </c>
      <c r="G341" s="206">
        <f t="shared" si="11"/>
        <v>1288740</v>
      </c>
      <c r="H341" s="61">
        <v>394.93</v>
      </c>
      <c r="I341" s="61">
        <v>293.75</v>
      </c>
      <c r="J341" s="61">
        <v>101.18</v>
      </c>
      <c r="K341" s="61" t="s">
        <v>3759</v>
      </c>
    </row>
    <row r="342" spans="1:11">
      <c r="A342" s="61">
        <v>339</v>
      </c>
      <c r="B342" s="203" t="s">
        <v>4059</v>
      </c>
      <c r="C342" s="61" t="s">
        <v>4458</v>
      </c>
      <c r="D342" s="61" t="s">
        <v>35</v>
      </c>
      <c r="E342" s="209">
        <v>1370000</v>
      </c>
      <c r="F342" s="212">
        <f t="shared" si="10"/>
        <v>1328900</v>
      </c>
      <c r="G342" s="206">
        <f t="shared" si="11"/>
        <v>1287800</v>
      </c>
      <c r="H342" s="61">
        <v>385.03</v>
      </c>
      <c r="I342" s="61">
        <v>293.20999999999998</v>
      </c>
      <c r="J342" s="61">
        <v>91.82</v>
      </c>
      <c r="K342" s="61" t="s">
        <v>3759</v>
      </c>
    </row>
    <row r="343" spans="1:11">
      <c r="A343" s="61">
        <v>340</v>
      </c>
      <c r="B343" s="203" t="s">
        <v>4060</v>
      </c>
      <c r="C343" s="61" t="s">
        <v>4458</v>
      </c>
      <c r="D343" s="61" t="s">
        <v>35</v>
      </c>
      <c r="E343" s="209">
        <v>1371000</v>
      </c>
      <c r="F343" s="212">
        <f t="shared" si="10"/>
        <v>1329870</v>
      </c>
      <c r="G343" s="206">
        <f t="shared" si="11"/>
        <v>1288740</v>
      </c>
      <c r="H343" s="61">
        <v>379.75</v>
      </c>
      <c r="I343" s="61">
        <v>293.20999999999998</v>
      </c>
      <c r="J343" s="61">
        <v>86.54</v>
      </c>
      <c r="K343" s="61" t="s">
        <v>3759</v>
      </c>
    </row>
    <row r="344" spans="1:11">
      <c r="A344" s="61">
        <v>341</v>
      </c>
      <c r="B344" s="203" t="s">
        <v>4061</v>
      </c>
      <c r="C344" s="61" t="s">
        <v>4</v>
      </c>
      <c r="D344" s="61" t="s">
        <v>35</v>
      </c>
      <c r="E344" s="209">
        <v>1367000</v>
      </c>
      <c r="F344" s="212">
        <f t="shared" si="10"/>
        <v>1325990</v>
      </c>
      <c r="G344" s="206">
        <f t="shared" si="11"/>
        <v>1284980</v>
      </c>
      <c r="H344" s="61">
        <v>403.65</v>
      </c>
      <c r="I344" s="61">
        <v>293.20999999999998</v>
      </c>
      <c r="J344" s="61">
        <v>110.44</v>
      </c>
      <c r="K344" s="61" t="s">
        <v>4248</v>
      </c>
    </row>
    <row r="345" spans="1:11">
      <c r="A345" s="61">
        <v>342</v>
      </c>
      <c r="B345" s="203" t="s">
        <v>4062</v>
      </c>
      <c r="C345" s="61" t="s">
        <v>4</v>
      </c>
      <c r="D345" s="61" t="s">
        <v>35</v>
      </c>
      <c r="E345" s="209">
        <v>1367000</v>
      </c>
      <c r="F345" s="212">
        <f t="shared" si="10"/>
        <v>1325990</v>
      </c>
      <c r="G345" s="206">
        <f t="shared" si="11"/>
        <v>1284980</v>
      </c>
      <c r="H345" s="61">
        <v>403.65</v>
      </c>
      <c r="I345" s="61">
        <v>293.20999999999998</v>
      </c>
      <c r="J345" s="61">
        <v>110.44</v>
      </c>
      <c r="K345" s="61" t="s">
        <v>4248</v>
      </c>
    </row>
    <row r="346" spans="1:11">
      <c r="A346" s="61">
        <v>343</v>
      </c>
      <c r="B346" s="203" t="s">
        <v>4063</v>
      </c>
      <c r="C346" s="61" t="s">
        <v>4</v>
      </c>
      <c r="D346" s="61" t="s">
        <v>35</v>
      </c>
      <c r="E346" s="209">
        <v>1367000</v>
      </c>
      <c r="F346" s="212">
        <f t="shared" si="10"/>
        <v>1325990</v>
      </c>
      <c r="G346" s="206">
        <f t="shared" si="11"/>
        <v>1284980</v>
      </c>
      <c r="H346" s="61">
        <v>379.75</v>
      </c>
      <c r="I346" s="61">
        <v>293.20999999999998</v>
      </c>
      <c r="J346" s="61">
        <v>86.54</v>
      </c>
      <c r="K346" s="61" t="s">
        <v>4248</v>
      </c>
    </row>
    <row r="347" spans="1:11">
      <c r="A347" s="61">
        <v>344</v>
      </c>
      <c r="B347" s="203" t="s">
        <v>4064</v>
      </c>
      <c r="C347" s="61" t="s">
        <v>4</v>
      </c>
      <c r="D347" s="61" t="s">
        <v>35</v>
      </c>
      <c r="E347" s="209">
        <v>1367000</v>
      </c>
      <c r="F347" s="212">
        <f t="shared" si="10"/>
        <v>1325990</v>
      </c>
      <c r="G347" s="206">
        <f t="shared" si="11"/>
        <v>1284980</v>
      </c>
      <c r="H347" s="61">
        <v>379.75</v>
      </c>
      <c r="I347" s="61">
        <v>293.20999999999998</v>
      </c>
      <c r="J347" s="61">
        <v>86.54</v>
      </c>
      <c r="K347" s="61" t="s">
        <v>4248</v>
      </c>
    </row>
    <row r="348" spans="1:11">
      <c r="A348" s="61">
        <v>345</v>
      </c>
      <c r="B348" s="203" t="s">
        <v>4065</v>
      </c>
      <c r="C348" s="61" t="s">
        <v>4458</v>
      </c>
      <c r="D348" s="61" t="s">
        <v>35</v>
      </c>
      <c r="E348" s="209">
        <v>1370000</v>
      </c>
      <c r="F348" s="212">
        <f t="shared" si="10"/>
        <v>1328900</v>
      </c>
      <c r="G348" s="206">
        <f t="shared" si="11"/>
        <v>1287800</v>
      </c>
      <c r="H348" s="61">
        <v>389.55</v>
      </c>
      <c r="I348" s="61">
        <v>293.20999999999998</v>
      </c>
      <c r="J348" s="61">
        <v>96.34</v>
      </c>
      <c r="K348" s="61" t="s">
        <v>3759</v>
      </c>
    </row>
    <row r="349" spans="1:11">
      <c r="A349" s="61">
        <v>346</v>
      </c>
      <c r="B349" s="203" t="s">
        <v>4066</v>
      </c>
      <c r="C349" s="61" t="s">
        <v>4458</v>
      </c>
      <c r="D349" s="61" t="s">
        <v>35</v>
      </c>
      <c r="E349" s="209">
        <v>1370000</v>
      </c>
      <c r="F349" s="212">
        <f t="shared" si="10"/>
        <v>1328900</v>
      </c>
      <c r="G349" s="206">
        <f t="shared" si="11"/>
        <v>1287800</v>
      </c>
      <c r="H349" s="61">
        <v>389.65</v>
      </c>
      <c r="I349" s="61">
        <v>293.20999999999998</v>
      </c>
      <c r="J349" s="61">
        <v>96.44</v>
      </c>
      <c r="K349" s="61" t="s">
        <v>3759</v>
      </c>
    </row>
    <row r="350" spans="1:11">
      <c r="A350" s="61">
        <v>347</v>
      </c>
      <c r="B350" s="203" t="s">
        <v>4067</v>
      </c>
      <c r="C350" s="61" t="s">
        <v>9</v>
      </c>
      <c r="D350" s="61" t="s">
        <v>35</v>
      </c>
      <c r="E350" s="209">
        <v>1380000</v>
      </c>
      <c r="F350" s="212">
        <f t="shared" si="10"/>
        <v>1338600</v>
      </c>
      <c r="G350" s="206">
        <f t="shared" si="11"/>
        <v>1297200</v>
      </c>
      <c r="H350" s="61">
        <v>408.28</v>
      </c>
      <c r="I350" s="61">
        <v>297.62</v>
      </c>
      <c r="J350" s="61">
        <v>110.65</v>
      </c>
      <c r="K350" s="61" t="s">
        <v>3759</v>
      </c>
    </row>
    <row r="351" spans="1:11">
      <c r="A351" s="61">
        <v>348</v>
      </c>
      <c r="B351" s="203" t="s">
        <v>4068</v>
      </c>
      <c r="C351" s="61" t="s">
        <v>9</v>
      </c>
      <c r="D351" s="61" t="s">
        <v>35</v>
      </c>
      <c r="E351" s="209">
        <v>1380000</v>
      </c>
      <c r="F351" s="212">
        <f t="shared" si="10"/>
        <v>1338600</v>
      </c>
      <c r="G351" s="206">
        <f t="shared" si="11"/>
        <v>1297200</v>
      </c>
      <c r="H351" s="61">
        <v>408.28</v>
      </c>
      <c r="I351" s="61">
        <v>297.62</v>
      </c>
      <c r="J351" s="61">
        <v>110.65</v>
      </c>
      <c r="K351" s="61" t="s">
        <v>3759</v>
      </c>
    </row>
    <row r="352" spans="1:11">
      <c r="A352" s="61">
        <v>349</v>
      </c>
      <c r="B352" s="203" t="s">
        <v>4069</v>
      </c>
      <c r="C352" s="61" t="s">
        <v>4458</v>
      </c>
      <c r="D352" s="61" t="s">
        <v>35</v>
      </c>
      <c r="E352" s="209">
        <v>1369000</v>
      </c>
      <c r="F352" s="212">
        <f t="shared" si="10"/>
        <v>1327930</v>
      </c>
      <c r="G352" s="206">
        <f t="shared" si="11"/>
        <v>1286860</v>
      </c>
      <c r="H352" s="61">
        <v>389.33</v>
      </c>
      <c r="I352" s="61">
        <v>293.20999999999998</v>
      </c>
      <c r="J352" s="61">
        <v>96.12</v>
      </c>
      <c r="K352" s="61" t="s">
        <v>3759</v>
      </c>
    </row>
    <row r="353" spans="1:11">
      <c r="A353" s="61">
        <v>350</v>
      </c>
      <c r="B353" s="203" t="s">
        <v>4070</v>
      </c>
      <c r="C353" s="61" t="s">
        <v>4458</v>
      </c>
      <c r="D353" s="61" t="s">
        <v>35</v>
      </c>
      <c r="E353" s="209">
        <v>1369000</v>
      </c>
      <c r="F353" s="212">
        <f t="shared" si="10"/>
        <v>1327930</v>
      </c>
      <c r="G353" s="206">
        <f t="shared" si="11"/>
        <v>1286860</v>
      </c>
      <c r="H353" s="61">
        <v>389.33</v>
      </c>
      <c r="I353" s="61">
        <v>293.20999999999998</v>
      </c>
      <c r="J353" s="61">
        <v>96.12</v>
      </c>
      <c r="K353" s="61" t="s">
        <v>3759</v>
      </c>
    </row>
    <row r="354" spans="1:11">
      <c r="A354" s="61">
        <v>351</v>
      </c>
      <c r="B354" s="203" t="s">
        <v>4071</v>
      </c>
      <c r="C354" s="61" t="s">
        <v>6</v>
      </c>
      <c r="D354" s="61" t="s">
        <v>35</v>
      </c>
      <c r="E354" s="209">
        <v>1372000</v>
      </c>
      <c r="F354" s="212">
        <f t="shared" si="10"/>
        <v>1330840</v>
      </c>
      <c r="G354" s="206">
        <f t="shared" si="11"/>
        <v>1289680</v>
      </c>
      <c r="H354" s="61">
        <v>362.31</v>
      </c>
      <c r="I354" s="61">
        <v>293.20999999999998</v>
      </c>
      <c r="J354" s="61">
        <v>69.099999999999994</v>
      </c>
      <c r="K354" s="61" t="s">
        <v>3759</v>
      </c>
    </row>
    <row r="355" spans="1:11">
      <c r="A355" s="61">
        <v>352</v>
      </c>
      <c r="B355" s="203" t="s">
        <v>4072</v>
      </c>
      <c r="C355" s="61" t="s">
        <v>4</v>
      </c>
      <c r="D355" s="61" t="s">
        <v>35</v>
      </c>
      <c r="E355" s="209">
        <v>1367000</v>
      </c>
      <c r="F355" s="212">
        <f t="shared" si="10"/>
        <v>1325990</v>
      </c>
      <c r="G355" s="206">
        <f t="shared" si="11"/>
        <v>1284980</v>
      </c>
      <c r="H355" s="61">
        <v>385.03</v>
      </c>
      <c r="I355" s="61">
        <v>293.20999999999998</v>
      </c>
      <c r="J355" s="61">
        <v>91.82</v>
      </c>
      <c r="K355" s="61" t="s">
        <v>4248</v>
      </c>
    </row>
    <row r="356" spans="1:11">
      <c r="A356" s="61">
        <v>353</v>
      </c>
      <c r="B356" s="203" t="s">
        <v>4073</v>
      </c>
      <c r="C356" s="61" t="s">
        <v>4</v>
      </c>
      <c r="D356" s="61" t="s">
        <v>35</v>
      </c>
      <c r="E356" s="209">
        <v>1366000</v>
      </c>
      <c r="F356" s="212">
        <f t="shared" si="10"/>
        <v>1325020</v>
      </c>
      <c r="G356" s="206">
        <f t="shared" si="11"/>
        <v>1284040</v>
      </c>
      <c r="H356" s="61">
        <v>402.35</v>
      </c>
      <c r="I356" s="61">
        <v>293.20999999999998</v>
      </c>
      <c r="J356" s="61">
        <v>109.15</v>
      </c>
      <c r="K356" s="61" t="s">
        <v>4248</v>
      </c>
    </row>
    <row r="357" spans="1:11">
      <c r="A357" s="61">
        <v>354</v>
      </c>
      <c r="B357" s="203" t="s">
        <v>4074</v>
      </c>
      <c r="C357" s="61" t="s">
        <v>4</v>
      </c>
      <c r="D357" s="61" t="s">
        <v>35</v>
      </c>
      <c r="E357" s="209">
        <v>1366000</v>
      </c>
      <c r="F357" s="212">
        <f t="shared" si="10"/>
        <v>1325020</v>
      </c>
      <c r="G357" s="206">
        <f t="shared" si="11"/>
        <v>1284040</v>
      </c>
      <c r="H357" s="61">
        <v>402.35</v>
      </c>
      <c r="I357" s="61">
        <v>293.20999999999998</v>
      </c>
      <c r="J357" s="61">
        <v>109.15</v>
      </c>
      <c r="K357" s="61" t="s">
        <v>4248</v>
      </c>
    </row>
    <row r="358" spans="1:11">
      <c r="A358" s="61">
        <v>355</v>
      </c>
      <c r="B358" s="203" t="s">
        <v>4075</v>
      </c>
      <c r="C358" s="61" t="s">
        <v>4</v>
      </c>
      <c r="D358" s="61" t="s">
        <v>35</v>
      </c>
      <c r="E358" s="209">
        <v>1367000</v>
      </c>
      <c r="F358" s="212">
        <f t="shared" si="10"/>
        <v>1325990</v>
      </c>
      <c r="G358" s="206">
        <f t="shared" si="11"/>
        <v>1284980</v>
      </c>
      <c r="H358" s="61">
        <v>385.13</v>
      </c>
      <c r="I358" s="61">
        <v>293.20999999999998</v>
      </c>
      <c r="J358" s="61">
        <v>91.92</v>
      </c>
      <c r="K358" s="61" t="s">
        <v>4248</v>
      </c>
    </row>
    <row r="359" spans="1:11">
      <c r="A359" s="61">
        <v>356</v>
      </c>
      <c r="B359" s="203" t="s">
        <v>4076</v>
      </c>
      <c r="C359" s="61" t="s">
        <v>4</v>
      </c>
      <c r="D359" s="61" t="s">
        <v>35</v>
      </c>
      <c r="E359" s="209">
        <v>1366000</v>
      </c>
      <c r="F359" s="212">
        <f t="shared" si="10"/>
        <v>1325020</v>
      </c>
      <c r="G359" s="206">
        <f t="shared" si="11"/>
        <v>1284040</v>
      </c>
      <c r="H359" s="61">
        <v>389.65</v>
      </c>
      <c r="I359" s="61">
        <v>293.20999999999998</v>
      </c>
      <c r="J359" s="61">
        <v>96.44</v>
      </c>
      <c r="K359" s="61" t="s">
        <v>4248</v>
      </c>
    </row>
    <row r="360" spans="1:11">
      <c r="A360" s="61">
        <v>357</v>
      </c>
      <c r="B360" s="203" t="s">
        <v>4077</v>
      </c>
      <c r="C360" s="61" t="s">
        <v>4458</v>
      </c>
      <c r="D360" s="61" t="s">
        <v>35</v>
      </c>
      <c r="E360" s="209">
        <v>1368000</v>
      </c>
      <c r="F360" s="212">
        <f t="shared" si="10"/>
        <v>1326960</v>
      </c>
      <c r="G360" s="206">
        <f t="shared" si="11"/>
        <v>1285920</v>
      </c>
      <c r="H360" s="61">
        <v>362.31</v>
      </c>
      <c r="I360" s="61">
        <v>293.20999999999998</v>
      </c>
      <c r="J360" s="61">
        <v>69.099999999999994</v>
      </c>
      <c r="K360" s="61" t="s">
        <v>4248</v>
      </c>
    </row>
    <row r="361" spans="1:11">
      <c r="A361" s="61">
        <v>358</v>
      </c>
      <c r="B361" s="203" t="s">
        <v>4078</v>
      </c>
      <c r="C361" s="61" t="s">
        <v>4458</v>
      </c>
      <c r="D361" s="61" t="s">
        <v>35</v>
      </c>
      <c r="E361" s="209">
        <v>1368000</v>
      </c>
      <c r="F361" s="212">
        <f t="shared" si="10"/>
        <v>1326960</v>
      </c>
      <c r="G361" s="206">
        <f t="shared" si="11"/>
        <v>1285920</v>
      </c>
      <c r="H361" s="61">
        <v>362.31</v>
      </c>
      <c r="I361" s="61">
        <v>293.20999999999998</v>
      </c>
      <c r="J361" s="61">
        <v>69.099999999999994</v>
      </c>
      <c r="K361" s="61" t="s">
        <v>4248</v>
      </c>
    </row>
    <row r="362" spans="1:11">
      <c r="A362" s="61">
        <v>359</v>
      </c>
      <c r="B362" s="203" t="s">
        <v>4079</v>
      </c>
      <c r="C362" s="61" t="s">
        <v>4</v>
      </c>
      <c r="D362" s="61" t="s">
        <v>35</v>
      </c>
      <c r="E362" s="209">
        <v>1365000</v>
      </c>
      <c r="F362" s="212">
        <f t="shared" si="10"/>
        <v>1324050</v>
      </c>
      <c r="G362" s="206">
        <f t="shared" si="11"/>
        <v>1283100</v>
      </c>
      <c r="H362" s="61">
        <v>389.33</v>
      </c>
      <c r="I362" s="61">
        <v>293.20999999999998</v>
      </c>
      <c r="J362" s="61">
        <v>96.12</v>
      </c>
      <c r="K362" s="61" t="s">
        <v>4248</v>
      </c>
    </row>
    <row r="363" spans="1:11">
      <c r="A363" s="61">
        <v>360</v>
      </c>
      <c r="B363" s="203" t="s">
        <v>4080</v>
      </c>
      <c r="C363" s="61" t="s">
        <v>4</v>
      </c>
      <c r="D363" s="61" t="s">
        <v>35</v>
      </c>
      <c r="E363" s="209">
        <v>1366000</v>
      </c>
      <c r="F363" s="212">
        <f t="shared" si="10"/>
        <v>1325020</v>
      </c>
      <c r="G363" s="206">
        <f t="shared" si="11"/>
        <v>1284040</v>
      </c>
      <c r="H363" s="61">
        <v>389.55</v>
      </c>
      <c r="I363" s="61">
        <v>293.20999999999998</v>
      </c>
      <c r="J363" s="61">
        <v>96.34</v>
      </c>
      <c r="K363" s="61" t="s">
        <v>4248</v>
      </c>
    </row>
    <row r="364" spans="1:11">
      <c r="A364" s="61">
        <v>361</v>
      </c>
      <c r="B364" s="203" t="s">
        <v>4081</v>
      </c>
      <c r="C364" s="61" t="s">
        <v>4</v>
      </c>
      <c r="D364" s="61" t="s">
        <v>35</v>
      </c>
      <c r="E364" s="209">
        <v>1365000</v>
      </c>
      <c r="F364" s="212">
        <f t="shared" si="10"/>
        <v>1324050</v>
      </c>
      <c r="G364" s="206">
        <f t="shared" si="11"/>
        <v>1283100</v>
      </c>
      <c r="H364" s="61">
        <v>389.33</v>
      </c>
      <c r="I364" s="61">
        <v>293.20999999999998</v>
      </c>
      <c r="J364" s="61">
        <v>96.12</v>
      </c>
      <c r="K364" s="61" t="s">
        <v>4248</v>
      </c>
    </row>
    <row r="365" spans="1:11">
      <c r="A365" s="61">
        <v>362</v>
      </c>
      <c r="B365" s="203" t="s">
        <v>4082</v>
      </c>
      <c r="C365" s="61" t="s">
        <v>4</v>
      </c>
      <c r="D365" s="61" t="s">
        <v>35</v>
      </c>
      <c r="E365" s="209">
        <v>1365000</v>
      </c>
      <c r="F365" s="212">
        <f t="shared" si="10"/>
        <v>1324050</v>
      </c>
      <c r="G365" s="206">
        <f t="shared" si="11"/>
        <v>1283100</v>
      </c>
      <c r="H365" s="61">
        <v>394.5</v>
      </c>
      <c r="I365" s="61">
        <v>293.20999999999998</v>
      </c>
      <c r="J365" s="61">
        <v>101.29</v>
      </c>
      <c r="K365" s="61" t="s">
        <v>4248</v>
      </c>
    </row>
    <row r="366" spans="1:11">
      <c r="A366" s="61">
        <v>363</v>
      </c>
      <c r="B366" s="203" t="s">
        <v>4083</v>
      </c>
      <c r="C366" s="61" t="s">
        <v>4</v>
      </c>
      <c r="D366" s="61" t="s">
        <v>35</v>
      </c>
      <c r="E366" s="209">
        <v>1365000</v>
      </c>
      <c r="F366" s="212">
        <f t="shared" si="10"/>
        <v>1324050</v>
      </c>
      <c r="G366" s="206">
        <f t="shared" si="11"/>
        <v>1283100</v>
      </c>
      <c r="H366" s="61">
        <v>394.6</v>
      </c>
      <c r="I366" s="61">
        <v>293.20999999999998</v>
      </c>
      <c r="J366" s="61">
        <v>101.4</v>
      </c>
      <c r="K366" s="61" t="s">
        <v>4248</v>
      </c>
    </row>
    <row r="367" spans="1:11">
      <c r="A367" s="61">
        <v>364</v>
      </c>
      <c r="B367" s="203" t="s">
        <v>4084</v>
      </c>
      <c r="C367" s="61" t="s">
        <v>4</v>
      </c>
      <c r="D367" s="61" t="s">
        <v>35</v>
      </c>
      <c r="E367" s="209">
        <v>1365000</v>
      </c>
      <c r="F367" s="212">
        <f t="shared" si="10"/>
        <v>1324050</v>
      </c>
      <c r="G367" s="206">
        <f t="shared" si="11"/>
        <v>1283100</v>
      </c>
      <c r="H367" s="61">
        <v>400.53</v>
      </c>
      <c r="I367" s="61">
        <v>291.27</v>
      </c>
      <c r="J367" s="61">
        <v>109.25</v>
      </c>
      <c r="K367" s="61" t="s">
        <v>3759</v>
      </c>
    </row>
    <row r="368" spans="1:11">
      <c r="A368" s="61">
        <v>365</v>
      </c>
      <c r="B368" s="203" t="s">
        <v>4085</v>
      </c>
      <c r="C368" s="61" t="s">
        <v>4</v>
      </c>
      <c r="D368" s="61" t="s">
        <v>35</v>
      </c>
      <c r="E368" s="209">
        <v>1365000</v>
      </c>
      <c r="F368" s="212">
        <f t="shared" si="10"/>
        <v>1324050</v>
      </c>
      <c r="G368" s="206">
        <f t="shared" si="11"/>
        <v>1283100</v>
      </c>
      <c r="H368" s="61">
        <v>400.53</v>
      </c>
      <c r="I368" s="61">
        <v>291.27</v>
      </c>
      <c r="J368" s="61">
        <v>109.25</v>
      </c>
      <c r="K368" s="61" t="s">
        <v>3759</v>
      </c>
    </row>
    <row r="369" spans="1:11">
      <c r="A369" s="61">
        <v>366</v>
      </c>
      <c r="B369" s="203" t="s">
        <v>4086</v>
      </c>
      <c r="C369" s="61" t="s">
        <v>6</v>
      </c>
      <c r="D369" s="61" t="s">
        <v>35</v>
      </c>
      <c r="E369" s="209">
        <v>1368000</v>
      </c>
      <c r="F369" s="212">
        <f t="shared" si="10"/>
        <v>1326960</v>
      </c>
      <c r="G369" s="206">
        <f t="shared" si="11"/>
        <v>1285920</v>
      </c>
      <c r="H369" s="61">
        <v>379.75</v>
      </c>
      <c r="I369" s="61">
        <v>293.20999999999998</v>
      </c>
      <c r="J369" s="61">
        <v>86.54</v>
      </c>
      <c r="K369" s="61" t="s">
        <v>3759</v>
      </c>
    </row>
    <row r="370" spans="1:11">
      <c r="A370" s="61">
        <v>367</v>
      </c>
      <c r="B370" s="203" t="s">
        <v>4087</v>
      </c>
      <c r="C370" s="61" t="s">
        <v>6</v>
      </c>
      <c r="D370" s="61" t="s">
        <v>35</v>
      </c>
      <c r="E370" s="209">
        <v>1368000</v>
      </c>
      <c r="F370" s="212">
        <f t="shared" si="10"/>
        <v>1326960</v>
      </c>
      <c r="G370" s="206">
        <f t="shared" si="11"/>
        <v>1285920</v>
      </c>
      <c r="H370" s="61">
        <v>385.13</v>
      </c>
      <c r="I370" s="61">
        <v>293.20999999999998</v>
      </c>
      <c r="J370" s="61">
        <v>91.92</v>
      </c>
      <c r="K370" s="61" t="s">
        <v>3759</v>
      </c>
    </row>
    <row r="371" spans="1:11">
      <c r="A371" s="61">
        <v>368</v>
      </c>
      <c r="B371" s="203" t="s">
        <v>4088</v>
      </c>
      <c r="C371" s="61" t="s">
        <v>6</v>
      </c>
      <c r="D371" s="61" t="s">
        <v>35</v>
      </c>
      <c r="E371" s="209">
        <v>1369000</v>
      </c>
      <c r="F371" s="212">
        <f t="shared" si="10"/>
        <v>1327930</v>
      </c>
      <c r="G371" s="206">
        <f t="shared" si="11"/>
        <v>1286860</v>
      </c>
      <c r="H371" s="61">
        <v>394.93</v>
      </c>
      <c r="I371" s="61">
        <v>293.75</v>
      </c>
      <c r="J371" s="61">
        <v>101.18</v>
      </c>
      <c r="K371" s="61" t="s">
        <v>3759</v>
      </c>
    </row>
    <row r="372" spans="1:11">
      <c r="A372" s="61">
        <v>369</v>
      </c>
      <c r="B372" s="203" t="s">
        <v>4089</v>
      </c>
      <c r="C372" s="61" t="s">
        <v>6</v>
      </c>
      <c r="D372" s="61" t="s">
        <v>35</v>
      </c>
      <c r="E372" s="209">
        <v>1369000</v>
      </c>
      <c r="F372" s="212">
        <f t="shared" si="10"/>
        <v>1327930</v>
      </c>
      <c r="G372" s="206">
        <f t="shared" si="11"/>
        <v>1286860</v>
      </c>
      <c r="H372" s="61">
        <v>394.93</v>
      </c>
      <c r="I372" s="61">
        <v>293.75</v>
      </c>
      <c r="J372" s="61">
        <v>101.18</v>
      </c>
      <c r="K372" s="61" t="s">
        <v>3759</v>
      </c>
    </row>
    <row r="373" spans="1:11">
      <c r="A373" s="61">
        <v>370</v>
      </c>
      <c r="B373" s="203" t="s">
        <v>4090</v>
      </c>
      <c r="C373" s="61" t="s">
        <v>6</v>
      </c>
      <c r="D373" s="61" t="s">
        <v>35</v>
      </c>
      <c r="E373" s="209">
        <v>1368000</v>
      </c>
      <c r="F373" s="212">
        <f t="shared" si="10"/>
        <v>1326960</v>
      </c>
      <c r="G373" s="206">
        <f t="shared" si="11"/>
        <v>1285920</v>
      </c>
      <c r="H373" s="61">
        <v>379.75</v>
      </c>
      <c r="I373" s="61">
        <v>293.20999999999998</v>
      </c>
      <c r="J373" s="61">
        <v>86.54</v>
      </c>
      <c r="K373" s="61" t="s">
        <v>3759</v>
      </c>
    </row>
    <row r="374" spans="1:11">
      <c r="A374" s="61">
        <v>371</v>
      </c>
      <c r="B374" s="203" t="s">
        <v>4091</v>
      </c>
      <c r="C374" s="61" t="s">
        <v>6</v>
      </c>
      <c r="D374" s="61" t="s">
        <v>35</v>
      </c>
      <c r="E374" s="209">
        <v>1368000</v>
      </c>
      <c r="F374" s="212">
        <f t="shared" si="10"/>
        <v>1326960</v>
      </c>
      <c r="G374" s="206">
        <f t="shared" si="11"/>
        <v>1285920</v>
      </c>
      <c r="H374" s="61">
        <v>385.03</v>
      </c>
      <c r="I374" s="61">
        <v>293.20999999999998</v>
      </c>
      <c r="J374" s="61">
        <v>91.82</v>
      </c>
      <c r="K374" s="61" t="s">
        <v>3759</v>
      </c>
    </row>
    <row r="375" spans="1:11">
      <c r="A375" s="61">
        <v>372</v>
      </c>
      <c r="B375" s="203" t="s">
        <v>4092</v>
      </c>
      <c r="C375" s="61" t="s">
        <v>4458</v>
      </c>
      <c r="D375" s="61" t="s">
        <v>35</v>
      </c>
      <c r="E375" s="209">
        <v>1365000</v>
      </c>
      <c r="F375" s="212">
        <f t="shared" si="10"/>
        <v>1324050</v>
      </c>
      <c r="G375" s="206">
        <f t="shared" si="11"/>
        <v>1283100</v>
      </c>
      <c r="H375" s="61">
        <v>403.65</v>
      </c>
      <c r="I375" s="61">
        <v>293.20999999999998</v>
      </c>
      <c r="J375" s="61">
        <v>110.44</v>
      </c>
      <c r="K375" s="61" t="s">
        <v>4248</v>
      </c>
    </row>
    <row r="376" spans="1:11">
      <c r="A376" s="61">
        <v>373</v>
      </c>
      <c r="B376" s="203" t="s">
        <v>4093</v>
      </c>
      <c r="C376" s="61" t="s">
        <v>4458</v>
      </c>
      <c r="D376" s="61" t="s">
        <v>35</v>
      </c>
      <c r="E376" s="209">
        <v>1365000</v>
      </c>
      <c r="F376" s="212">
        <f t="shared" si="10"/>
        <v>1324050</v>
      </c>
      <c r="G376" s="206">
        <f t="shared" si="11"/>
        <v>1283100</v>
      </c>
      <c r="H376" s="61">
        <v>403.65</v>
      </c>
      <c r="I376" s="61">
        <v>293.20999999999998</v>
      </c>
      <c r="J376" s="61">
        <v>110.44</v>
      </c>
      <c r="K376" s="61" t="s">
        <v>4248</v>
      </c>
    </row>
    <row r="377" spans="1:11">
      <c r="A377" s="61">
        <v>374</v>
      </c>
      <c r="B377" s="203" t="s">
        <v>4094</v>
      </c>
      <c r="C377" s="61" t="s">
        <v>4458</v>
      </c>
      <c r="D377" s="61" t="s">
        <v>35</v>
      </c>
      <c r="E377" s="209">
        <v>1364000</v>
      </c>
      <c r="F377" s="212">
        <f t="shared" si="10"/>
        <v>1323080</v>
      </c>
      <c r="G377" s="206">
        <f t="shared" si="11"/>
        <v>1282160</v>
      </c>
      <c r="H377" s="61">
        <v>379.75</v>
      </c>
      <c r="I377" s="61">
        <v>293.20999999999998</v>
      </c>
      <c r="J377" s="61">
        <v>86.54</v>
      </c>
      <c r="K377" s="61" t="s">
        <v>4248</v>
      </c>
    </row>
    <row r="378" spans="1:11">
      <c r="A378" s="61">
        <v>375</v>
      </c>
      <c r="B378" s="203" t="s">
        <v>4095</v>
      </c>
      <c r="C378" s="61" t="s">
        <v>4458</v>
      </c>
      <c r="D378" s="61" t="s">
        <v>35</v>
      </c>
      <c r="E378" s="209">
        <v>1364000</v>
      </c>
      <c r="F378" s="212">
        <f t="shared" si="10"/>
        <v>1323080</v>
      </c>
      <c r="G378" s="206">
        <f t="shared" si="11"/>
        <v>1282160</v>
      </c>
      <c r="H378" s="61">
        <v>379.75</v>
      </c>
      <c r="I378" s="61">
        <v>293.20999999999998</v>
      </c>
      <c r="J378" s="61">
        <v>86.54</v>
      </c>
      <c r="K378" s="61" t="s">
        <v>4248</v>
      </c>
    </row>
    <row r="379" spans="1:11">
      <c r="A379" s="61">
        <v>376</v>
      </c>
      <c r="B379" s="203" t="s">
        <v>4096</v>
      </c>
      <c r="C379" s="61" t="s">
        <v>6</v>
      </c>
      <c r="D379" s="61" t="s">
        <v>35</v>
      </c>
      <c r="E379" s="209">
        <v>1367000</v>
      </c>
      <c r="F379" s="212">
        <f t="shared" si="10"/>
        <v>1325990</v>
      </c>
      <c r="G379" s="206">
        <f t="shared" si="11"/>
        <v>1284980</v>
      </c>
      <c r="H379" s="61">
        <v>389.55</v>
      </c>
      <c r="I379" s="61">
        <v>293.20999999999998</v>
      </c>
      <c r="J379" s="61">
        <v>96.34</v>
      </c>
      <c r="K379" s="61" t="s">
        <v>3759</v>
      </c>
    </row>
    <row r="380" spans="1:11">
      <c r="A380" s="61">
        <v>377</v>
      </c>
      <c r="B380" s="203" t="s">
        <v>4097</v>
      </c>
      <c r="C380" s="61" t="s">
        <v>6</v>
      </c>
      <c r="D380" s="61" t="s">
        <v>35</v>
      </c>
      <c r="E380" s="209">
        <v>1367000</v>
      </c>
      <c r="F380" s="212">
        <f t="shared" si="10"/>
        <v>1325990</v>
      </c>
      <c r="G380" s="206">
        <f t="shared" si="11"/>
        <v>1284980</v>
      </c>
      <c r="H380" s="61">
        <v>389.65</v>
      </c>
      <c r="I380" s="61">
        <v>293.20999999999998</v>
      </c>
      <c r="J380" s="61">
        <v>96.44</v>
      </c>
      <c r="K380" s="61" t="s">
        <v>3759</v>
      </c>
    </row>
    <row r="381" spans="1:11">
      <c r="A381" s="61">
        <v>378</v>
      </c>
      <c r="B381" s="203" t="s">
        <v>4098</v>
      </c>
      <c r="C381" s="61" t="s">
        <v>10</v>
      </c>
      <c r="D381" s="61" t="s">
        <v>35</v>
      </c>
      <c r="E381" s="209">
        <v>1377000</v>
      </c>
      <c r="F381" s="212">
        <f t="shared" si="10"/>
        <v>1335690</v>
      </c>
      <c r="G381" s="206">
        <f t="shared" si="11"/>
        <v>1294380</v>
      </c>
      <c r="H381" s="61">
        <v>408.28</v>
      </c>
      <c r="I381" s="61">
        <v>297.62</v>
      </c>
      <c r="J381" s="61">
        <v>110.65</v>
      </c>
      <c r="K381" s="61" t="s">
        <v>3759</v>
      </c>
    </row>
    <row r="382" spans="1:11">
      <c r="A382" s="61">
        <v>379</v>
      </c>
      <c r="B382" s="203" t="s">
        <v>4099</v>
      </c>
      <c r="C382" s="61" t="s">
        <v>10</v>
      </c>
      <c r="D382" s="61" t="s">
        <v>35</v>
      </c>
      <c r="E382" s="209">
        <v>1377000</v>
      </c>
      <c r="F382" s="212">
        <f t="shared" si="10"/>
        <v>1335690</v>
      </c>
      <c r="G382" s="206">
        <f t="shared" si="11"/>
        <v>1294380</v>
      </c>
      <c r="H382" s="61">
        <v>408.28</v>
      </c>
      <c r="I382" s="61">
        <v>297.62</v>
      </c>
      <c r="J382" s="61">
        <v>110.65</v>
      </c>
      <c r="K382" s="61" t="s">
        <v>3759</v>
      </c>
    </row>
    <row r="383" spans="1:11">
      <c r="A383" s="61">
        <v>380</v>
      </c>
      <c r="B383" s="203" t="s">
        <v>4100</v>
      </c>
      <c r="C383" s="61" t="s">
        <v>7</v>
      </c>
      <c r="D383" s="61" t="s">
        <v>35</v>
      </c>
      <c r="E383" s="209">
        <v>1369000</v>
      </c>
      <c r="F383" s="212">
        <f t="shared" si="10"/>
        <v>1327930</v>
      </c>
      <c r="G383" s="206">
        <f t="shared" si="11"/>
        <v>1286860</v>
      </c>
      <c r="H383" s="61">
        <v>362.31</v>
      </c>
      <c r="I383" s="61">
        <v>293.20999999999998</v>
      </c>
      <c r="J383" s="61">
        <v>69.099999999999994</v>
      </c>
      <c r="K383" s="61" t="s">
        <v>3759</v>
      </c>
    </row>
    <row r="384" spans="1:11">
      <c r="A384" s="61">
        <v>381</v>
      </c>
      <c r="B384" s="203" t="s">
        <v>4101</v>
      </c>
      <c r="C384" s="61" t="s">
        <v>4458</v>
      </c>
      <c r="D384" s="61" t="s">
        <v>35</v>
      </c>
      <c r="E384" s="209">
        <v>1364000</v>
      </c>
      <c r="F384" s="212">
        <f t="shared" si="10"/>
        <v>1323080</v>
      </c>
      <c r="G384" s="206">
        <f t="shared" si="11"/>
        <v>1282160</v>
      </c>
      <c r="H384" s="61">
        <v>385.03</v>
      </c>
      <c r="I384" s="61">
        <v>293.20999999999998</v>
      </c>
      <c r="J384" s="61">
        <v>91.82</v>
      </c>
      <c r="K384" s="61" t="s">
        <v>4248</v>
      </c>
    </row>
    <row r="385" spans="1:11">
      <c r="A385" s="61">
        <v>382</v>
      </c>
      <c r="B385" s="203" t="s">
        <v>4102</v>
      </c>
      <c r="C385" s="61" t="s">
        <v>4458</v>
      </c>
      <c r="D385" s="61" t="s">
        <v>35</v>
      </c>
      <c r="E385" s="209">
        <v>1364000</v>
      </c>
      <c r="F385" s="212">
        <f t="shared" si="10"/>
        <v>1323080</v>
      </c>
      <c r="G385" s="206">
        <f t="shared" si="11"/>
        <v>1282160</v>
      </c>
      <c r="H385" s="61">
        <v>402.35</v>
      </c>
      <c r="I385" s="61">
        <v>293.20999999999998</v>
      </c>
      <c r="J385" s="61">
        <v>109.15</v>
      </c>
      <c r="K385" s="61" t="s">
        <v>4248</v>
      </c>
    </row>
    <row r="386" spans="1:11">
      <c r="A386" s="61">
        <v>383</v>
      </c>
      <c r="B386" s="203" t="s">
        <v>4103</v>
      </c>
      <c r="C386" s="61" t="s">
        <v>4458</v>
      </c>
      <c r="D386" s="61" t="s">
        <v>35</v>
      </c>
      <c r="E386" s="209">
        <v>1364000</v>
      </c>
      <c r="F386" s="212">
        <f t="shared" si="10"/>
        <v>1323080</v>
      </c>
      <c r="G386" s="206">
        <f t="shared" si="11"/>
        <v>1282160</v>
      </c>
      <c r="H386" s="61">
        <v>402.35</v>
      </c>
      <c r="I386" s="61">
        <v>293.20999999999998</v>
      </c>
      <c r="J386" s="61">
        <v>109.15</v>
      </c>
      <c r="K386" s="61" t="s">
        <v>4248</v>
      </c>
    </row>
    <row r="387" spans="1:11">
      <c r="A387" s="61">
        <v>384</v>
      </c>
      <c r="B387" s="203" t="s">
        <v>4104</v>
      </c>
      <c r="C387" s="61" t="s">
        <v>4458</v>
      </c>
      <c r="D387" s="61" t="s">
        <v>35</v>
      </c>
      <c r="E387" s="209">
        <v>1364000</v>
      </c>
      <c r="F387" s="212">
        <f t="shared" si="10"/>
        <v>1323080</v>
      </c>
      <c r="G387" s="206">
        <f t="shared" si="11"/>
        <v>1282160</v>
      </c>
      <c r="H387" s="61">
        <v>385.13</v>
      </c>
      <c r="I387" s="61">
        <v>293.20999999999998</v>
      </c>
      <c r="J387" s="61">
        <v>91.92</v>
      </c>
      <c r="K387" s="61" t="s">
        <v>4248</v>
      </c>
    </row>
    <row r="388" spans="1:11">
      <c r="A388" s="61">
        <v>385</v>
      </c>
      <c r="B388" s="203" t="s">
        <v>4105</v>
      </c>
      <c r="C388" s="61" t="s">
        <v>6</v>
      </c>
      <c r="D388" s="61" t="s">
        <v>35</v>
      </c>
      <c r="E388" s="209">
        <v>1367000</v>
      </c>
      <c r="F388" s="212">
        <f t="shared" si="10"/>
        <v>1325990</v>
      </c>
      <c r="G388" s="206">
        <f t="shared" si="11"/>
        <v>1284980</v>
      </c>
      <c r="H388" s="61">
        <v>389.33</v>
      </c>
      <c r="I388" s="61">
        <v>293.20999999999998</v>
      </c>
      <c r="J388" s="61">
        <v>96.12</v>
      </c>
      <c r="K388" s="61" t="s">
        <v>3759</v>
      </c>
    </row>
    <row r="389" spans="1:11">
      <c r="A389" s="61">
        <v>386</v>
      </c>
      <c r="B389" s="203" t="s">
        <v>4106</v>
      </c>
      <c r="C389" s="61" t="s">
        <v>6</v>
      </c>
      <c r="D389" s="61" t="s">
        <v>35</v>
      </c>
      <c r="E389" s="209">
        <v>1367000</v>
      </c>
      <c r="F389" s="212">
        <f t="shared" ref="F389:F452" si="12">E389*0.97</f>
        <v>1325990</v>
      </c>
      <c r="G389" s="206">
        <f t="shared" ref="G389:G452" si="13">E389*0.94</f>
        <v>1284980</v>
      </c>
      <c r="H389" s="61">
        <v>389.33</v>
      </c>
      <c r="I389" s="61">
        <v>293.20999999999998</v>
      </c>
      <c r="J389" s="61">
        <v>96.12</v>
      </c>
      <c r="K389" s="61" t="s">
        <v>3759</v>
      </c>
    </row>
    <row r="390" spans="1:11">
      <c r="A390" s="61">
        <v>387</v>
      </c>
      <c r="B390" s="203" t="s">
        <v>4107</v>
      </c>
      <c r="C390" s="61" t="s">
        <v>4458</v>
      </c>
      <c r="D390" s="61" t="s">
        <v>35</v>
      </c>
      <c r="E390" s="209">
        <v>1363000</v>
      </c>
      <c r="F390" s="212">
        <f t="shared" si="12"/>
        <v>1322110</v>
      </c>
      <c r="G390" s="206">
        <f t="shared" si="13"/>
        <v>1281220</v>
      </c>
      <c r="H390" s="61">
        <v>389.65</v>
      </c>
      <c r="I390" s="61">
        <v>293.20999999999998</v>
      </c>
      <c r="J390" s="61">
        <v>96.44</v>
      </c>
      <c r="K390" s="61" t="s">
        <v>4248</v>
      </c>
    </row>
    <row r="391" spans="1:11">
      <c r="A391" s="61">
        <v>388</v>
      </c>
      <c r="B391" s="203" t="s">
        <v>4108</v>
      </c>
      <c r="C391" s="61" t="s">
        <v>6</v>
      </c>
      <c r="D391" s="61" t="s">
        <v>35</v>
      </c>
      <c r="E391" s="209">
        <v>1365000</v>
      </c>
      <c r="F391" s="212">
        <f t="shared" si="12"/>
        <v>1324050</v>
      </c>
      <c r="G391" s="206">
        <f t="shared" si="13"/>
        <v>1283100</v>
      </c>
      <c r="H391" s="61">
        <v>362.31</v>
      </c>
      <c r="I391" s="61">
        <v>293.20999999999998</v>
      </c>
      <c r="J391" s="61">
        <v>69.099999999999994</v>
      </c>
      <c r="K391" s="61" t="s">
        <v>4248</v>
      </c>
    </row>
    <row r="392" spans="1:11">
      <c r="A392" s="61">
        <v>389</v>
      </c>
      <c r="B392" s="203" t="s">
        <v>4109</v>
      </c>
      <c r="C392" s="61" t="s">
        <v>6</v>
      </c>
      <c r="D392" s="61" t="s">
        <v>35</v>
      </c>
      <c r="E392" s="209">
        <v>1365000</v>
      </c>
      <c r="F392" s="212">
        <f t="shared" si="12"/>
        <v>1324050</v>
      </c>
      <c r="G392" s="206">
        <f t="shared" si="13"/>
        <v>1283100</v>
      </c>
      <c r="H392" s="61">
        <v>362.31</v>
      </c>
      <c r="I392" s="61">
        <v>293.20999999999998</v>
      </c>
      <c r="J392" s="61">
        <v>69.099999999999994</v>
      </c>
      <c r="K392" s="61" t="s">
        <v>4248</v>
      </c>
    </row>
    <row r="393" spans="1:11">
      <c r="A393" s="61">
        <v>390</v>
      </c>
      <c r="B393" s="203" t="s">
        <v>4110</v>
      </c>
      <c r="C393" s="61" t="s">
        <v>4458</v>
      </c>
      <c r="D393" s="61" t="s">
        <v>35</v>
      </c>
      <c r="E393" s="209">
        <v>1363000</v>
      </c>
      <c r="F393" s="212">
        <f t="shared" si="12"/>
        <v>1322110</v>
      </c>
      <c r="G393" s="206">
        <f t="shared" si="13"/>
        <v>1281220</v>
      </c>
      <c r="H393" s="61">
        <v>389.33</v>
      </c>
      <c r="I393" s="61">
        <v>293.20999999999998</v>
      </c>
      <c r="J393" s="61">
        <v>96.12</v>
      </c>
      <c r="K393" s="61" t="s">
        <v>4248</v>
      </c>
    </row>
    <row r="394" spans="1:11">
      <c r="A394" s="61">
        <v>391</v>
      </c>
      <c r="B394" s="203" t="s">
        <v>4111</v>
      </c>
      <c r="C394" s="61" t="s">
        <v>4458</v>
      </c>
      <c r="D394" s="61" t="s">
        <v>35</v>
      </c>
      <c r="E394" s="209">
        <v>1363000</v>
      </c>
      <c r="F394" s="212">
        <f t="shared" si="12"/>
        <v>1322110</v>
      </c>
      <c r="G394" s="206">
        <f t="shared" si="13"/>
        <v>1281220</v>
      </c>
      <c r="H394" s="61">
        <v>389.55</v>
      </c>
      <c r="I394" s="61">
        <v>293.20999999999998</v>
      </c>
      <c r="J394" s="61">
        <v>96.34</v>
      </c>
      <c r="K394" s="61" t="s">
        <v>4248</v>
      </c>
    </row>
    <row r="395" spans="1:11">
      <c r="A395" s="61">
        <v>392</v>
      </c>
      <c r="B395" s="203" t="s">
        <v>4112</v>
      </c>
      <c r="C395" s="61" t="s">
        <v>4458</v>
      </c>
      <c r="D395" s="61" t="s">
        <v>35</v>
      </c>
      <c r="E395" s="209">
        <v>1363000</v>
      </c>
      <c r="F395" s="212">
        <f t="shared" si="12"/>
        <v>1322110</v>
      </c>
      <c r="G395" s="206">
        <f t="shared" si="13"/>
        <v>1281220</v>
      </c>
      <c r="H395" s="61">
        <v>389.33</v>
      </c>
      <c r="I395" s="61">
        <v>293.20999999999998</v>
      </c>
      <c r="J395" s="61">
        <v>96.12</v>
      </c>
      <c r="K395" s="61" t="s">
        <v>4248</v>
      </c>
    </row>
    <row r="396" spans="1:11">
      <c r="A396" s="61">
        <v>393</v>
      </c>
      <c r="B396" s="203" t="s">
        <v>4113</v>
      </c>
      <c r="C396" s="61" t="s">
        <v>4458</v>
      </c>
      <c r="D396" s="61" t="s">
        <v>35</v>
      </c>
      <c r="E396" s="209">
        <v>1362000</v>
      </c>
      <c r="F396" s="212">
        <f t="shared" si="12"/>
        <v>1321140</v>
      </c>
      <c r="G396" s="206">
        <f t="shared" si="13"/>
        <v>1280280</v>
      </c>
      <c r="H396" s="61">
        <v>394.5</v>
      </c>
      <c r="I396" s="61">
        <v>293.20999999999998</v>
      </c>
      <c r="J396" s="61">
        <v>101.29</v>
      </c>
      <c r="K396" s="61" t="s">
        <v>4248</v>
      </c>
    </row>
    <row r="397" spans="1:11">
      <c r="A397" s="61">
        <v>394</v>
      </c>
      <c r="B397" s="203" t="s">
        <v>4114</v>
      </c>
      <c r="C397" s="61" t="s">
        <v>4458</v>
      </c>
      <c r="D397" s="61" t="s">
        <v>35</v>
      </c>
      <c r="E397" s="209">
        <v>1362000</v>
      </c>
      <c r="F397" s="212">
        <f t="shared" si="12"/>
        <v>1321140</v>
      </c>
      <c r="G397" s="206">
        <f t="shared" si="13"/>
        <v>1280280</v>
      </c>
      <c r="H397" s="61">
        <v>394.6</v>
      </c>
      <c r="I397" s="61">
        <v>293.20999999999998</v>
      </c>
      <c r="J397" s="61">
        <v>101.4</v>
      </c>
      <c r="K397" s="61" t="s">
        <v>4248</v>
      </c>
    </row>
    <row r="398" spans="1:11">
      <c r="A398" s="61">
        <v>395</v>
      </c>
      <c r="B398" s="203" t="s">
        <v>4115</v>
      </c>
      <c r="C398" s="61" t="s">
        <v>4458</v>
      </c>
      <c r="D398" s="61" t="s">
        <v>35</v>
      </c>
      <c r="E398" s="209">
        <v>1362000</v>
      </c>
      <c r="F398" s="212">
        <f t="shared" si="12"/>
        <v>1321140</v>
      </c>
      <c r="G398" s="206">
        <f t="shared" si="13"/>
        <v>1280280</v>
      </c>
      <c r="H398" s="61">
        <v>400.53</v>
      </c>
      <c r="I398" s="61">
        <v>291.27</v>
      </c>
      <c r="J398" s="61">
        <v>109.25</v>
      </c>
      <c r="K398" s="61" t="s">
        <v>3759</v>
      </c>
    </row>
    <row r="399" spans="1:11">
      <c r="A399" s="61">
        <v>396</v>
      </c>
      <c r="B399" s="203" t="s">
        <v>4116</v>
      </c>
      <c r="C399" s="61" t="s">
        <v>7</v>
      </c>
      <c r="D399" s="61" t="s">
        <v>35</v>
      </c>
      <c r="E399" s="209">
        <v>1366000</v>
      </c>
      <c r="F399" s="212">
        <f t="shared" si="12"/>
        <v>1325020</v>
      </c>
      <c r="G399" s="206">
        <f t="shared" si="13"/>
        <v>1284040</v>
      </c>
      <c r="H399" s="61">
        <v>379.75</v>
      </c>
      <c r="I399" s="61">
        <v>293.20999999999998</v>
      </c>
      <c r="J399" s="61">
        <v>86.54</v>
      </c>
      <c r="K399" s="61" t="s">
        <v>3759</v>
      </c>
    </row>
    <row r="400" spans="1:11">
      <c r="A400" s="61">
        <v>397</v>
      </c>
      <c r="B400" s="203" t="s">
        <v>4117</v>
      </c>
      <c r="C400" s="61" t="s">
        <v>7</v>
      </c>
      <c r="D400" s="61" t="s">
        <v>35</v>
      </c>
      <c r="E400" s="209">
        <v>1366000</v>
      </c>
      <c r="F400" s="212">
        <f t="shared" si="12"/>
        <v>1325020</v>
      </c>
      <c r="G400" s="206">
        <f t="shared" si="13"/>
        <v>1284040</v>
      </c>
      <c r="H400" s="61">
        <v>394.93</v>
      </c>
      <c r="I400" s="61">
        <v>293.75</v>
      </c>
      <c r="J400" s="61">
        <v>101.18</v>
      </c>
      <c r="K400" s="61" t="s">
        <v>3759</v>
      </c>
    </row>
    <row r="401" spans="1:11">
      <c r="A401" s="61">
        <v>398</v>
      </c>
      <c r="B401" s="203" t="s">
        <v>4118</v>
      </c>
      <c r="C401" s="61" t="s">
        <v>7</v>
      </c>
      <c r="D401" s="61" t="s">
        <v>35</v>
      </c>
      <c r="E401" s="209">
        <v>1366000</v>
      </c>
      <c r="F401" s="212">
        <f t="shared" si="12"/>
        <v>1325020</v>
      </c>
      <c r="G401" s="206">
        <f t="shared" si="13"/>
        <v>1284040</v>
      </c>
      <c r="H401" s="61">
        <v>394.93</v>
      </c>
      <c r="I401" s="61">
        <v>293.75</v>
      </c>
      <c r="J401" s="61">
        <v>101.18</v>
      </c>
      <c r="K401" s="61" t="s">
        <v>3759</v>
      </c>
    </row>
    <row r="402" spans="1:11">
      <c r="A402" s="61">
        <v>399</v>
      </c>
      <c r="B402" s="203" t="s">
        <v>4119</v>
      </c>
      <c r="C402" s="61" t="s">
        <v>7</v>
      </c>
      <c r="D402" s="61" t="s">
        <v>35</v>
      </c>
      <c r="E402" s="209">
        <v>1366000</v>
      </c>
      <c r="F402" s="212">
        <f t="shared" si="12"/>
        <v>1325020</v>
      </c>
      <c r="G402" s="206">
        <f t="shared" si="13"/>
        <v>1284040</v>
      </c>
      <c r="H402" s="61">
        <v>379.75</v>
      </c>
      <c r="I402" s="61">
        <v>293.20999999999998</v>
      </c>
      <c r="J402" s="61">
        <v>86.54</v>
      </c>
      <c r="K402" s="61" t="s">
        <v>3759</v>
      </c>
    </row>
    <row r="403" spans="1:11">
      <c r="A403" s="61">
        <v>400</v>
      </c>
      <c r="B403" s="203" t="s">
        <v>4120</v>
      </c>
      <c r="C403" s="61" t="s">
        <v>7</v>
      </c>
      <c r="D403" s="61" t="s">
        <v>35</v>
      </c>
      <c r="E403" s="209">
        <v>1365000</v>
      </c>
      <c r="F403" s="212">
        <f t="shared" si="12"/>
        <v>1324050</v>
      </c>
      <c r="G403" s="206">
        <f t="shared" si="13"/>
        <v>1283100</v>
      </c>
      <c r="H403" s="61">
        <v>385.13</v>
      </c>
      <c r="I403" s="61">
        <v>293.20999999999998</v>
      </c>
      <c r="J403" s="61">
        <v>91.92</v>
      </c>
      <c r="K403" s="61" t="s">
        <v>3759</v>
      </c>
    </row>
    <row r="404" spans="1:11">
      <c r="A404" s="61">
        <v>401</v>
      </c>
      <c r="B404" s="203" t="s">
        <v>4121</v>
      </c>
      <c r="C404" s="61" t="s">
        <v>6</v>
      </c>
      <c r="D404" s="61" t="s">
        <v>35</v>
      </c>
      <c r="E404" s="209">
        <v>1362000</v>
      </c>
      <c r="F404" s="212">
        <f t="shared" si="12"/>
        <v>1321140</v>
      </c>
      <c r="G404" s="206">
        <f t="shared" si="13"/>
        <v>1280280</v>
      </c>
      <c r="H404" s="61">
        <v>403.65</v>
      </c>
      <c r="I404" s="61">
        <v>293.20999999999998</v>
      </c>
      <c r="J404" s="61">
        <v>110.44</v>
      </c>
      <c r="K404" s="61" t="s">
        <v>4248</v>
      </c>
    </row>
    <row r="405" spans="1:11">
      <c r="A405" s="61">
        <v>402</v>
      </c>
      <c r="B405" s="203" t="s">
        <v>4122</v>
      </c>
      <c r="C405" s="61" t="s">
        <v>7</v>
      </c>
      <c r="D405" s="61" t="s">
        <v>35</v>
      </c>
      <c r="E405" s="209">
        <v>1365000</v>
      </c>
      <c r="F405" s="212">
        <f t="shared" si="12"/>
        <v>1324050</v>
      </c>
      <c r="G405" s="206">
        <f t="shared" si="13"/>
        <v>1283100</v>
      </c>
      <c r="H405" s="61">
        <v>385.03</v>
      </c>
      <c r="I405" s="61">
        <v>293.20999999999998</v>
      </c>
      <c r="J405" s="61">
        <v>91.82</v>
      </c>
      <c r="K405" s="61" t="s">
        <v>3759</v>
      </c>
    </row>
    <row r="406" spans="1:11">
      <c r="A406" s="61">
        <v>403</v>
      </c>
      <c r="B406" s="203" t="s">
        <v>4123</v>
      </c>
      <c r="C406" s="61" t="s">
        <v>6</v>
      </c>
      <c r="D406" s="61" t="s">
        <v>35</v>
      </c>
      <c r="E406" s="209">
        <v>1362000</v>
      </c>
      <c r="F406" s="212">
        <f t="shared" si="12"/>
        <v>1321140</v>
      </c>
      <c r="G406" s="206">
        <f t="shared" si="13"/>
        <v>1280280</v>
      </c>
      <c r="H406" s="61">
        <v>379.75</v>
      </c>
      <c r="I406" s="61">
        <v>293.20999999999998</v>
      </c>
      <c r="J406" s="61">
        <v>86.54</v>
      </c>
      <c r="K406" s="61" t="s">
        <v>4248</v>
      </c>
    </row>
    <row r="407" spans="1:11">
      <c r="A407" s="61">
        <v>404</v>
      </c>
      <c r="B407" s="203" t="s">
        <v>4124</v>
      </c>
      <c r="C407" s="61" t="s">
        <v>6</v>
      </c>
      <c r="D407" s="61" t="s">
        <v>35</v>
      </c>
      <c r="E407" s="209">
        <v>1362000</v>
      </c>
      <c r="F407" s="212">
        <f t="shared" si="12"/>
        <v>1321140</v>
      </c>
      <c r="G407" s="206">
        <f t="shared" si="13"/>
        <v>1280280</v>
      </c>
      <c r="H407" s="61">
        <v>379.75</v>
      </c>
      <c r="I407" s="61">
        <v>293.20999999999998</v>
      </c>
      <c r="J407" s="61">
        <v>86.54</v>
      </c>
      <c r="K407" s="61" t="s">
        <v>4248</v>
      </c>
    </row>
    <row r="408" spans="1:11">
      <c r="A408" s="61">
        <v>405</v>
      </c>
      <c r="B408" s="203" t="s">
        <v>4125</v>
      </c>
      <c r="C408" s="61" t="s">
        <v>7</v>
      </c>
      <c r="D408" s="61" t="s">
        <v>35</v>
      </c>
      <c r="E408" s="209">
        <v>1364000</v>
      </c>
      <c r="F408" s="212">
        <f t="shared" si="12"/>
        <v>1323080</v>
      </c>
      <c r="G408" s="206">
        <f t="shared" si="13"/>
        <v>1282160</v>
      </c>
      <c r="H408" s="61">
        <v>389.55</v>
      </c>
      <c r="I408" s="61">
        <v>293.20999999999998</v>
      </c>
      <c r="J408" s="61">
        <v>96.34</v>
      </c>
      <c r="K408" s="61" t="s">
        <v>3759</v>
      </c>
    </row>
    <row r="409" spans="1:11">
      <c r="A409" s="61">
        <v>406</v>
      </c>
      <c r="B409" s="203" t="s">
        <v>4126</v>
      </c>
      <c r="C409" s="61" t="s">
        <v>7</v>
      </c>
      <c r="D409" s="61" t="s">
        <v>35</v>
      </c>
      <c r="E409" s="209">
        <v>1364000</v>
      </c>
      <c r="F409" s="212">
        <f t="shared" si="12"/>
        <v>1323080</v>
      </c>
      <c r="G409" s="206">
        <f t="shared" si="13"/>
        <v>1282160</v>
      </c>
      <c r="H409" s="61">
        <v>389.65</v>
      </c>
      <c r="I409" s="61">
        <v>293.20999999999998</v>
      </c>
      <c r="J409" s="61">
        <v>96.44</v>
      </c>
      <c r="K409" s="61" t="s">
        <v>3759</v>
      </c>
    </row>
    <row r="410" spans="1:11">
      <c r="A410" s="61">
        <v>407</v>
      </c>
      <c r="B410" s="203" t="s">
        <v>4127</v>
      </c>
      <c r="C410" s="61" t="s">
        <v>6</v>
      </c>
      <c r="D410" s="61" t="s">
        <v>35</v>
      </c>
      <c r="E410" s="209">
        <v>1361000</v>
      </c>
      <c r="F410" s="212">
        <f t="shared" si="12"/>
        <v>1320170</v>
      </c>
      <c r="G410" s="206">
        <f t="shared" si="13"/>
        <v>1279340</v>
      </c>
      <c r="H410" s="61">
        <v>385.03</v>
      </c>
      <c r="I410" s="61">
        <v>293.20999999999998</v>
      </c>
      <c r="J410" s="61">
        <v>91.82</v>
      </c>
      <c r="K410" s="61" t="s">
        <v>4248</v>
      </c>
    </row>
    <row r="411" spans="1:11">
      <c r="A411" s="61">
        <v>408</v>
      </c>
      <c r="B411" s="203" t="s">
        <v>4128</v>
      </c>
      <c r="C411" s="61" t="s">
        <v>6</v>
      </c>
      <c r="D411" s="61" t="s">
        <v>35</v>
      </c>
      <c r="E411" s="209">
        <v>1361000</v>
      </c>
      <c r="F411" s="212">
        <f t="shared" si="12"/>
        <v>1320170</v>
      </c>
      <c r="G411" s="206">
        <f t="shared" si="13"/>
        <v>1279340</v>
      </c>
      <c r="H411" s="61">
        <v>402.35</v>
      </c>
      <c r="I411" s="61">
        <v>293.20999999999998</v>
      </c>
      <c r="J411" s="61">
        <v>109.15</v>
      </c>
      <c r="K411" s="61" t="s">
        <v>4248</v>
      </c>
    </row>
    <row r="412" spans="1:11">
      <c r="A412" s="61">
        <v>409</v>
      </c>
      <c r="B412" s="203" t="s">
        <v>4129</v>
      </c>
      <c r="C412" s="61" t="s">
        <v>6</v>
      </c>
      <c r="D412" s="61" t="s">
        <v>35</v>
      </c>
      <c r="E412" s="209">
        <v>1361000</v>
      </c>
      <c r="F412" s="212">
        <f t="shared" si="12"/>
        <v>1320170</v>
      </c>
      <c r="G412" s="206">
        <f t="shared" si="13"/>
        <v>1279340</v>
      </c>
      <c r="H412" s="61">
        <v>402.35</v>
      </c>
      <c r="I412" s="61">
        <v>293.20999999999998</v>
      </c>
      <c r="J412" s="61">
        <v>109.15</v>
      </c>
      <c r="K412" s="61" t="s">
        <v>4248</v>
      </c>
    </row>
    <row r="413" spans="1:11">
      <c r="A413" s="61">
        <v>410</v>
      </c>
      <c r="B413" s="203" t="s">
        <v>4130</v>
      </c>
      <c r="C413" s="61" t="s">
        <v>6</v>
      </c>
      <c r="D413" s="61" t="s">
        <v>35</v>
      </c>
      <c r="E413" s="209">
        <v>1361000</v>
      </c>
      <c r="F413" s="212">
        <f t="shared" si="12"/>
        <v>1320170</v>
      </c>
      <c r="G413" s="206">
        <f t="shared" si="13"/>
        <v>1279340</v>
      </c>
      <c r="H413" s="61">
        <v>385.13</v>
      </c>
      <c r="I413" s="61">
        <v>293.20999999999998</v>
      </c>
      <c r="J413" s="61">
        <v>91.92</v>
      </c>
      <c r="K413" s="61" t="s">
        <v>4248</v>
      </c>
    </row>
    <row r="414" spans="1:11">
      <c r="A414" s="61">
        <v>411</v>
      </c>
      <c r="B414" s="203" t="s">
        <v>4131</v>
      </c>
      <c r="C414" s="61" t="s">
        <v>7</v>
      </c>
      <c r="D414" s="61" t="s">
        <v>35</v>
      </c>
      <c r="E414" s="209">
        <v>1364000</v>
      </c>
      <c r="F414" s="212">
        <f t="shared" si="12"/>
        <v>1323080</v>
      </c>
      <c r="G414" s="206">
        <f t="shared" si="13"/>
        <v>1282160</v>
      </c>
      <c r="H414" s="61">
        <v>389.33</v>
      </c>
      <c r="I414" s="61">
        <v>293.20999999999998</v>
      </c>
      <c r="J414" s="61">
        <v>96.12</v>
      </c>
      <c r="K414" s="61" t="s">
        <v>3759</v>
      </c>
    </row>
    <row r="415" spans="1:11">
      <c r="A415" s="61">
        <v>412</v>
      </c>
      <c r="B415" s="203" t="s">
        <v>4132</v>
      </c>
      <c r="C415" s="61" t="s">
        <v>7</v>
      </c>
      <c r="D415" s="61" t="s">
        <v>35</v>
      </c>
      <c r="E415" s="209">
        <v>1364000</v>
      </c>
      <c r="F415" s="212">
        <f t="shared" si="12"/>
        <v>1323080</v>
      </c>
      <c r="G415" s="206">
        <f t="shared" si="13"/>
        <v>1282160</v>
      </c>
      <c r="H415" s="61">
        <v>389.33</v>
      </c>
      <c r="I415" s="61">
        <v>293.20999999999998</v>
      </c>
      <c r="J415" s="61">
        <v>96.12</v>
      </c>
      <c r="K415" s="61" t="s">
        <v>3759</v>
      </c>
    </row>
    <row r="416" spans="1:11">
      <c r="A416" s="61">
        <v>413</v>
      </c>
      <c r="B416" s="203" t="s">
        <v>4133</v>
      </c>
      <c r="C416" s="61" t="s">
        <v>8</v>
      </c>
      <c r="D416" s="61" t="s">
        <v>35</v>
      </c>
      <c r="E416" s="209">
        <v>1366000</v>
      </c>
      <c r="F416" s="212">
        <f t="shared" si="12"/>
        <v>1325020</v>
      </c>
      <c r="G416" s="206">
        <f t="shared" si="13"/>
        <v>1284040</v>
      </c>
      <c r="H416" s="61">
        <v>362.31</v>
      </c>
      <c r="I416" s="61">
        <v>293.20999999999998</v>
      </c>
      <c r="J416" s="61">
        <v>69.099999999999994</v>
      </c>
      <c r="K416" s="61" t="s">
        <v>3759</v>
      </c>
    </row>
    <row r="417" spans="1:11">
      <c r="A417" s="61">
        <v>414</v>
      </c>
      <c r="B417" s="203" t="s">
        <v>4134</v>
      </c>
      <c r="C417" s="61" t="s">
        <v>6</v>
      </c>
      <c r="D417" s="61" t="s">
        <v>35</v>
      </c>
      <c r="E417" s="209">
        <v>1360000</v>
      </c>
      <c r="F417" s="212">
        <f t="shared" si="12"/>
        <v>1319200</v>
      </c>
      <c r="G417" s="206">
        <f t="shared" si="13"/>
        <v>1278400</v>
      </c>
      <c r="H417" s="61">
        <v>389.33</v>
      </c>
      <c r="I417" s="61">
        <v>293.20999999999998</v>
      </c>
      <c r="J417" s="61">
        <v>96.12</v>
      </c>
      <c r="K417" s="61" t="s">
        <v>4248</v>
      </c>
    </row>
    <row r="418" spans="1:11">
      <c r="A418" s="61">
        <v>415</v>
      </c>
      <c r="B418" s="203" t="s">
        <v>4135</v>
      </c>
      <c r="C418" s="61" t="s">
        <v>6</v>
      </c>
      <c r="D418" s="61" t="s">
        <v>35</v>
      </c>
      <c r="E418" s="209">
        <v>1360000</v>
      </c>
      <c r="F418" s="212">
        <f t="shared" si="12"/>
        <v>1319200</v>
      </c>
      <c r="G418" s="206">
        <f t="shared" si="13"/>
        <v>1278400</v>
      </c>
      <c r="H418" s="61">
        <v>389.65</v>
      </c>
      <c r="I418" s="61">
        <v>293.20999999999998</v>
      </c>
      <c r="J418" s="61">
        <v>96.44</v>
      </c>
      <c r="K418" s="61" t="s">
        <v>4248</v>
      </c>
    </row>
    <row r="419" spans="1:11">
      <c r="A419" s="61">
        <v>416</v>
      </c>
      <c r="B419" s="203" t="s">
        <v>4136</v>
      </c>
      <c r="C419" s="61" t="s">
        <v>6</v>
      </c>
      <c r="D419" s="61" t="s">
        <v>35</v>
      </c>
      <c r="E419" s="209">
        <v>1360000</v>
      </c>
      <c r="F419" s="212">
        <f t="shared" si="12"/>
        <v>1319200</v>
      </c>
      <c r="G419" s="206">
        <f t="shared" si="13"/>
        <v>1278400</v>
      </c>
      <c r="H419" s="61">
        <v>389.55</v>
      </c>
      <c r="I419" s="61">
        <v>293.20999999999998</v>
      </c>
      <c r="J419" s="61">
        <v>96.34</v>
      </c>
      <c r="K419" s="61" t="s">
        <v>4248</v>
      </c>
    </row>
    <row r="420" spans="1:11">
      <c r="A420" s="61">
        <v>417</v>
      </c>
      <c r="B420" s="203" t="s">
        <v>4137</v>
      </c>
      <c r="C420" s="61" t="s">
        <v>6</v>
      </c>
      <c r="D420" s="61" t="s">
        <v>35</v>
      </c>
      <c r="E420" s="209">
        <v>1360000</v>
      </c>
      <c r="F420" s="212">
        <f t="shared" si="12"/>
        <v>1319200</v>
      </c>
      <c r="G420" s="206">
        <f t="shared" si="13"/>
        <v>1278400</v>
      </c>
      <c r="H420" s="61">
        <v>389.33</v>
      </c>
      <c r="I420" s="61">
        <v>293.20999999999998</v>
      </c>
      <c r="J420" s="61">
        <v>96.12</v>
      </c>
      <c r="K420" s="61" t="s">
        <v>4248</v>
      </c>
    </row>
    <row r="421" spans="1:11">
      <c r="A421" s="61">
        <v>418</v>
      </c>
      <c r="B421" s="203" t="s">
        <v>4138</v>
      </c>
      <c r="C421" s="61" t="s">
        <v>7</v>
      </c>
      <c r="D421" s="61" t="s">
        <v>35</v>
      </c>
      <c r="E421" s="209">
        <v>1362000</v>
      </c>
      <c r="F421" s="212">
        <f t="shared" si="12"/>
        <v>1321140</v>
      </c>
      <c r="G421" s="206">
        <f t="shared" si="13"/>
        <v>1280280</v>
      </c>
      <c r="H421" s="61">
        <v>362.31</v>
      </c>
      <c r="I421" s="61">
        <v>293.20999999999998</v>
      </c>
      <c r="J421" s="61">
        <v>69.099999999999994</v>
      </c>
      <c r="K421" s="61" t="s">
        <v>4248</v>
      </c>
    </row>
    <row r="422" spans="1:11">
      <c r="A422" s="61">
        <v>419</v>
      </c>
      <c r="B422" s="203" t="s">
        <v>4139</v>
      </c>
      <c r="C422" s="61" t="s">
        <v>7</v>
      </c>
      <c r="D422" s="61" t="s">
        <v>35</v>
      </c>
      <c r="E422" s="209">
        <v>1362000</v>
      </c>
      <c r="F422" s="212">
        <f t="shared" si="12"/>
        <v>1321140</v>
      </c>
      <c r="G422" s="206">
        <f t="shared" si="13"/>
        <v>1280280</v>
      </c>
      <c r="H422" s="61">
        <v>362.31</v>
      </c>
      <c r="I422" s="61">
        <v>293.20999999999998</v>
      </c>
      <c r="J422" s="61">
        <v>69.099999999999994</v>
      </c>
      <c r="K422" s="61" t="s">
        <v>4248</v>
      </c>
    </row>
    <row r="423" spans="1:11">
      <c r="A423" s="61">
        <v>420</v>
      </c>
      <c r="B423" s="203" t="s">
        <v>4140</v>
      </c>
      <c r="C423" s="61" t="s">
        <v>6</v>
      </c>
      <c r="D423" s="61" t="s">
        <v>35</v>
      </c>
      <c r="E423" s="209">
        <v>1360000</v>
      </c>
      <c r="F423" s="212">
        <f t="shared" si="12"/>
        <v>1319200</v>
      </c>
      <c r="G423" s="206">
        <f t="shared" si="13"/>
        <v>1278400</v>
      </c>
      <c r="H423" s="61">
        <v>394.6</v>
      </c>
      <c r="I423" s="61">
        <v>293.20999999999998</v>
      </c>
      <c r="J423" s="61">
        <v>101.4</v>
      </c>
      <c r="K423" s="61" t="s">
        <v>4248</v>
      </c>
    </row>
    <row r="424" spans="1:11">
      <c r="A424" s="61">
        <v>421</v>
      </c>
      <c r="B424" s="203" t="s">
        <v>4141</v>
      </c>
      <c r="C424" s="61" t="s">
        <v>6</v>
      </c>
      <c r="D424" s="61" t="s">
        <v>35</v>
      </c>
      <c r="E424" s="209">
        <v>1360000</v>
      </c>
      <c r="F424" s="212">
        <f t="shared" si="12"/>
        <v>1319200</v>
      </c>
      <c r="G424" s="206">
        <f t="shared" si="13"/>
        <v>1278400</v>
      </c>
      <c r="H424" s="61">
        <v>394.5</v>
      </c>
      <c r="I424" s="61">
        <v>293.20999999999998</v>
      </c>
      <c r="J424" s="61">
        <v>101.29</v>
      </c>
      <c r="K424" s="61" t="s">
        <v>4248</v>
      </c>
    </row>
    <row r="425" spans="1:11">
      <c r="A425" s="61">
        <v>422</v>
      </c>
      <c r="B425" s="203" t="s">
        <v>4142</v>
      </c>
      <c r="C425" s="61" t="s">
        <v>6</v>
      </c>
      <c r="D425" s="61" t="s">
        <v>35</v>
      </c>
      <c r="E425" s="209">
        <v>1359000</v>
      </c>
      <c r="F425" s="212">
        <f t="shared" si="12"/>
        <v>1318230</v>
      </c>
      <c r="G425" s="206">
        <f t="shared" si="13"/>
        <v>1277460</v>
      </c>
      <c r="H425" s="61">
        <v>400.53</v>
      </c>
      <c r="I425" s="61">
        <v>291.27</v>
      </c>
      <c r="J425" s="61">
        <v>109.25</v>
      </c>
      <c r="K425" s="61" t="s">
        <v>3759</v>
      </c>
    </row>
    <row r="426" spans="1:11">
      <c r="A426" s="61">
        <v>423</v>
      </c>
      <c r="B426" s="203" t="s">
        <v>4143</v>
      </c>
      <c r="C426" s="61" t="s">
        <v>6</v>
      </c>
      <c r="D426" s="61" t="s">
        <v>35</v>
      </c>
      <c r="E426" s="209">
        <v>1359000</v>
      </c>
      <c r="F426" s="212">
        <f t="shared" si="12"/>
        <v>1318230</v>
      </c>
      <c r="G426" s="206">
        <f t="shared" si="13"/>
        <v>1277460</v>
      </c>
      <c r="H426" s="61">
        <v>400.53</v>
      </c>
      <c r="I426" s="61">
        <v>291.27</v>
      </c>
      <c r="J426" s="61">
        <v>109.25</v>
      </c>
      <c r="K426" s="61" t="s">
        <v>3759</v>
      </c>
    </row>
    <row r="427" spans="1:11">
      <c r="A427" s="61">
        <v>424</v>
      </c>
      <c r="B427" s="203" t="s">
        <v>4144</v>
      </c>
      <c r="C427" s="61" t="s">
        <v>8</v>
      </c>
      <c r="D427" s="61" t="s">
        <v>35</v>
      </c>
      <c r="E427" s="209">
        <v>1363000</v>
      </c>
      <c r="F427" s="212">
        <f t="shared" si="12"/>
        <v>1322110</v>
      </c>
      <c r="G427" s="206">
        <f t="shared" si="13"/>
        <v>1281220</v>
      </c>
      <c r="H427" s="61">
        <v>379.75</v>
      </c>
      <c r="I427" s="61">
        <v>293.20999999999998</v>
      </c>
      <c r="J427" s="61">
        <v>86.54</v>
      </c>
      <c r="K427" s="61" t="s">
        <v>3759</v>
      </c>
    </row>
    <row r="428" spans="1:11">
      <c r="A428" s="61">
        <v>425</v>
      </c>
      <c r="B428" s="203" t="s">
        <v>4145</v>
      </c>
      <c r="C428" s="61" t="s">
        <v>8</v>
      </c>
      <c r="D428" s="61" t="s">
        <v>35</v>
      </c>
      <c r="E428" s="209">
        <v>1363000</v>
      </c>
      <c r="F428" s="212">
        <f t="shared" si="12"/>
        <v>1322110</v>
      </c>
      <c r="G428" s="206">
        <f t="shared" si="13"/>
        <v>1281220</v>
      </c>
      <c r="H428" s="61">
        <v>385.13</v>
      </c>
      <c r="I428" s="61">
        <v>293.20999999999998</v>
      </c>
      <c r="J428" s="61">
        <v>91.92</v>
      </c>
      <c r="K428" s="61" t="s">
        <v>3759</v>
      </c>
    </row>
    <row r="429" spans="1:11">
      <c r="A429" s="61">
        <v>426</v>
      </c>
      <c r="B429" s="203" t="s">
        <v>4146</v>
      </c>
      <c r="C429" s="61" t="s">
        <v>8</v>
      </c>
      <c r="D429" s="61" t="s">
        <v>35</v>
      </c>
      <c r="E429" s="209">
        <v>1363000</v>
      </c>
      <c r="F429" s="212">
        <f t="shared" si="12"/>
        <v>1322110</v>
      </c>
      <c r="G429" s="206">
        <f t="shared" si="13"/>
        <v>1281220</v>
      </c>
      <c r="H429" s="61">
        <v>394.93</v>
      </c>
      <c r="I429" s="61">
        <v>293.75</v>
      </c>
      <c r="J429" s="61">
        <v>101.18</v>
      </c>
      <c r="K429" s="61" t="s">
        <v>3759</v>
      </c>
    </row>
    <row r="430" spans="1:11">
      <c r="A430" s="61">
        <v>427</v>
      </c>
      <c r="B430" s="203" t="s">
        <v>4147</v>
      </c>
      <c r="C430" s="61" t="s">
        <v>8</v>
      </c>
      <c r="D430" s="61" t="s">
        <v>35</v>
      </c>
      <c r="E430" s="209">
        <v>1363000</v>
      </c>
      <c r="F430" s="212">
        <f t="shared" si="12"/>
        <v>1322110</v>
      </c>
      <c r="G430" s="206">
        <f t="shared" si="13"/>
        <v>1281220</v>
      </c>
      <c r="H430" s="61">
        <v>394.93</v>
      </c>
      <c r="I430" s="61">
        <v>293.75</v>
      </c>
      <c r="J430" s="61">
        <v>101.18</v>
      </c>
      <c r="K430" s="61" t="s">
        <v>3759</v>
      </c>
    </row>
    <row r="431" spans="1:11">
      <c r="A431" s="61">
        <v>428</v>
      </c>
      <c r="B431" s="203" t="s">
        <v>4148</v>
      </c>
      <c r="C431" s="61" t="s">
        <v>8</v>
      </c>
      <c r="D431" s="61" t="s">
        <v>35</v>
      </c>
      <c r="E431" s="209">
        <v>1363000</v>
      </c>
      <c r="F431" s="212">
        <f t="shared" si="12"/>
        <v>1322110</v>
      </c>
      <c r="G431" s="206">
        <f t="shared" si="13"/>
        <v>1281220</v>
      </c>
      <c r="H431" s="61">
        <v>379.75</v>
      </c>
      <c r="I431" s="61">
        <v>293.20999999999998</v>
      </c>
      <c r="J431" s="61">
        <v>86.54</v>
      </c>
      <c r="K431" s="61" t="s">
        <v>3759</v>
      </c>
    </row>
    <row r="432" spans="1:11">
      <c r="A432" s="61">
        <v>429</v>
      </c>
      <c r="B432" s="203" t="s">
        <v>4149</v>
      </c>
      <c r="C432" s="61" t="s">
        <v>8</v>
      </c>
      <c r="D432" s="61" t="s">
        <v>35</v>
      </c>
      <c r="E432" s="209">
        <v>1363000</v>
      </c>
      <c r="F432" s="212">
        <f t="shared" si="12"/>
        <v>1322110</v>
      </c>
      <c r="G432" s="206">
        <f t="shared" si="13"/>
        <v>1281220</v>
      </c>
      <c r="H432" s="61">
        <v>385.03</v>
      </c>
      <c r="I432" s="61">
        <v>293.20999999999998</v>
      </c>
      <c r="J432" s="61">
        <v>91.82</v>
      </c>
      <c r="K432" s="61" t="s">
        <v>3759</v>
      </c>
    </row>
    <row r="433" spans="1:11">
      <c r="A433" s="61">
        <v>430</v>
      </c>
      <c r="B433" s="203" t="s">
        <v>4150</v>
      </c>
      <c r="C433" s="61" t="s">
        <v>7</v>
      </c>
      <c r="D433" s="61" t="s">
        <v>35</v>
      </c>
      <c r="E433" s="209">
        <v>1359000</v>
      </c>
      <c r="F433" s="212">
        <f t="shared" si="12"/>
        <v>1318230</v>
      </c>
      <c r="G433" s="206">
        <f t="shared" si="13"/>
        <v>1277460</v>
      </c>
      <c r="H433" s="61">
        <v>403.65</v>
      </c>
      <c r="I433" s="61">
        <v>293.20999999999998</v>
      </c>
      <c r="J433" s="61">
        <v>110.44</v>
      </c>
      <c r="K433" s="61" t="s">
        <v>4248</v>
      </c>
    </row>
    <row r="434" spans="1:11">
      <c r="A434" s="61">
        <v>431</v>
      </c>
      <c r="B434" s="203" t="s">
        <v>4151</v>
      </c>
      <c r="C434" s="61" t="s">
        <v>7</v>
      </c>
      <c r="D434" s="61" t="s">
        <v>35</v>
      </c>
      <c r="E434" s="209">
        <v>1359000</v>
      </c>
      <c r="F434" s="212">
        <f t="shared" si="12"/>
        <v>1318230</v>
      </c>
      <c r="G434" s="206">
        <f t="shared" si="13"/>
        <v>1277460</v>
      </c>
      <c r="H434" s="61">
        <v>403.65</v>
      </c>
      <c r="I434" s="61">
        <v>293.20999999999998</v>
      </c>
      <c r="J434" s="61">
        <v>110.44</v>
      </c>
      <c r="K434" s="61" t="s">
        <v>4248</v>
      </c>
    </row>
    <row r="435" spans="1:11">
      <c r="A435" s="61">
        <v>432</v>
      </c>
      <c r="B435" s="203" t="s">
        <v>4152</v>
      </c>
      <c r="C435" s="61" t="s">
        <v>8</v>
      </c>
      <c r="D435" s="61" t="s">
        <v>35</v>
      </c>
      <c r="E435" s="209">
        <v>1362000</v>
      </c>
      <c r="F435" s="212">
        <f t="shared" si="12"/>
        <v>1321140</v>
      </c>
      <c r="G435" s="206">
        <f t="shared" si="13"/>
        <v>1280280</v>
      </c>
      <c r="H435" s="61">
        <v>389.55</v>
      </c>
      <c r="I435" s="61">
        <v>293.20999999999998</v>
      </c>
      <c r="J435" s="61">
        <v>96.34</v>
      </c>
      <c r="K435" s="61" t="s">
        <v>3759</v>
      </c>
    </row>
    <row r="436" spans="1:11">
      <c r="A436" s="61">
        <v>433</v>
      </c>
      <c r="B436" s="203" t="s">
        <v>4153</v>
      </c>
      <c r="C436" s="61" t="s">
        <v>8</v>
      </c>
      <c r="D436" s="61" t="s">
        <v>35</v>
      </c>
      <c r="E436" s="209">
        <v>1362000</v>
      </c>
      <c r="F436" s="212">
        <f t="shared" si="12"/>
        <v>1321140</v>
      </c>
      <c r="G436" s="206">
        <f t="shared" si="13"/>
        <v>1280280</v>
      </c>
      <c r="H436" s="61">
        <v>389.65</v>
      </c>
      <c r="I436" s="61">
        <v>293.20999999999998</v>
      </c>
      <c r="J436" s="61">
        <v>96.44</v>
      </c>
      <c r="K436" s="61" t="s">
        <v>3759</v>
      </c>
    </row>
    <row r="437" spans="1:11">
      <c r="A437" s="61">
        <v>434</v>
      </c>
      <c r="B437" s="203" t="s">
        <v>4154</v>
      </c>
      <c r="C437" s="61" t="s">
        <v>7</v>
      </c>
      <c r="D437" s="61" t="s">
        <v>35</v>
      </c>
      <c r="E437" s="209">
        <v>1359000</v>
      </c>
      <c r="F437" s="212">
        <f t="shared" si="12"/>
        <v>1318230</v>
      </c>
      <c r="G437" s="206">
        <f t="shared" si="13"/>
        <v>1277460</v>
      </c>
      <c r="H437" s="61">
        <v>379.75</v>
      </c>
      <c r="I437" s="61">
        <v>293.20999999999998</v>
      </c>
      <c r="J437" s="61">
        <v>86.54</v>
      </c>
      <c r="K437" s="61" t="s">
        <v>4248</v>
      </c>
    </row>
    <row r="438" spans="1:11">
      <c r="A438" s="61">
        <v>435</v>
      </c>
      <c r="B438" s="203" t="s">
        <v>4155</v>
      </c>
      <c r="C438" s="61" t="s">
        <v>7</v>
      </c>
      <c r="D438" s="61" t="s">
        <v>35</v>
      </c>
      <c r="E438" s="209">
        <v>1359000</v>
      </c>
      <c r="F438" s="212">
        <f t="shared" si="12"/>
        <v>1318230</v>
      </c>
      <c r="G438" s="206">
        <f t="shared" si="13"/>
        <v>1277460</v>
      </c>
      <c r="H438" s="61">
        <v>379.75</v>
      </c>
      <c r="I438" s="61">
        <v>293.20999999999998</v>
      </c>
      <c r="J438" s="61">
        <v>86.54</v>
      </c>
      <c r="K438" s="61" t="s">
        <v>4248</v>
      </c>
    </row>
    <row r="439" spans="1:11">
      <c r="A439" s="61">
        <v>436</v>
      </c>
      <c r="B439" s="203" t="s">
        <v>4156</v>
      </c>
      <c r="C439" s="61" t="s">
        <v>9</v>
      </c>
      <c r="D439" s="61" t="s">
        <v>35</v>
      </c>
      <c r="E439" s="209">
        <v>1364000</v>
      </c>
      <c r="F439" s="212">
        <f t="shared" si="12"/>
        <v>1323080</v>
      </c>
      <c r="G439" s="206">
        <f t="shared" si="13"/>
        <v>1282160</v>
      </c>
      <c r="H439" s="61">
        <v>362.31</v>
      </c>
      <c r="I439" s="61">
        <v>293.20999999999998</v>
      </c>
      <c r="J439" s="61">
        <v>69.099999999999994</v>
      </c>
      <c r="K439" s="61" t="s">
        <v>3759</v>
      </c>
    </row>
    <row r="440" spans="1:11">
      <c r="A440" s="61">
        <v>437</v>
      </c>
      <c r="B440" s="203" t="s">
        <v>4157</v>
      </c>
      <c r="C440" s="61" t="s">
        <v>9</v>
      </c>
      <c r="D440" s="61" t="s">
        <v>35</v>
      </c>
      <c r="E440" s="209">
        <v>1364000</v>
      </c>
      <c r="F440" s="212">
        <f t="shared" si="12"/>
        <v>1323080</v>
      </c>
      <c r="G440" s="206">
        <f t="shared" si="13"/>
        <v>1282160</v>
      </c>
      <c r="H440" s="61">
        <v>362.31</v>
      </c>
      <c r="I440" s="61">
        <v>293.20999999999998</v>
      </c>
      <c r="J440" s="61">
        <v>69.099999999999994</v>
      </c>
      <c r="K440" s="61" t="s">
        <v>3759</v>
      </c>
    </row>
    <row r="441" spans="1:11">
      <c r="A441" s="61">
        <v>438</v>
      </c>
      <c r="B441" s="203" t="s">
        <v>4158</v>
      </c>
      <c r="C441" s="61" t="s">
        <v>7</v>
      </c>
      <c r="D441" s="61" t="s">
        <v>35</v>
      </c>
      <c r="E441" s="209">
        <v>1359000</v>
      </c>
      <c r="F441" s="212">
        <f t="shared" si="12"/>
        <v>1318230</v>
      </c>
      <c r="G441" s="206">
        <f t="shared" si="13"/>
        <v>1277460</v>
      </c>
      <c r="H441" s="61">
        <v>385.03</v>
      </c>
      <c r="I441" s="61">
        <v>293.20999999999998</v>
      </c>
      <c r="J441" s="61">
        <v>91.82</v>
      </c>
      <c r="K441" s="61" t="s">
        <v>4248</v>
      </c>
    </row>
    <row r="442" spans="1:11">
      <c r="A442" s="61">
        <v>439</v>
      </c>
      <c r="B442" s="203" t="s">
        <v>4159</v>
      </c>
      <c r="C442" s="61" t="s">
        <v>7</v>
      </c>
      <c r="D442" s="61" t="s">
        <v>35</v>
      </c>
      <c r="E442" s="209">
        <v>1358000</v>
      </c>
      <c r="F442" s="212">
        <f t="shared" si="12"/>
        <v>1317260</v>
      </c>
      <c r="G442" s="206">
        <f t="shared" si="13"/>
        <v>1276520</v>
      </c>
      <c r="H442" s="61">
        <v>402.35</v>
      </c>
      <c r="I442" s="61">
        <v>293.20999999999998</v>
      </c>
      <c r="J442" s="61">
        <v>109.15</v>
      </c>
      <c r="K442" s="61" t="s">
        <v>4248</v>
      </c>
    </row>
    <row r="443" spans="1:11">
      <c r="A443" s="61">
        <v>440</v>
      </c>
      <c r="B443" s="203" t="s">
        <v>4160</v>
      </c>
      <c r="C443" s="61" t="s">
        <v>7</v>
      </c>
      <c r="D443" s="61" t="s">
        <v>35</v>
      </c>
      <c r="E443" s="209">
        <v>1358000</v>
      </c>
      <c r="F443" s="212">
        <f t="shared" si="12"/>
        <v>1317260</v>
      </c>
      <c r="G443" s="206">
        <f t="shared" si="13"/>
        <v>1276520</v>
      </c>
      <c r="H443" s="61">
        <v>402.35</v>
      </c>
      <c r="I443" s="61">
        <v>293.20999999999998</v>
      </c>
      <c r="J443" s="61">
        <v>109.15</v>
      </c>
      <c r="K443" s="61" t="s">
        <v>4248</v>
      </c>
    </row>
    <row r="444" spans="1:11">
      <c r="A444" s="61">
        <v>441</v>
      </c>
      <c r="B444" s="203" t="s">
        <v>4161</v>
      </c>
      <c r="C444" s="61" t="s">
        <v>7</v>
      </c>
      <c r="D444" s="61" t="s">
        <v>35</v>
      </c>
      <c r="E444" s="209">
        <v>1359000</v>
      </c>
      <c r="F444" s="212">
        <f t="shared" si="12"/>
        <v>1318230</v>
      </c>
      <c r="G444" s="206">
        <f t="shared" si="13"/>
        <v>1277460</v>
      </c>
      <c r="H444" s="61">
        <v>385.13</v>
      </c>
      <c r="I444" s="61">
        <v>293.20999999999998</v>
      </c>
      <c r="J444" s="61">
        <v>91.92</v>
      </c>
      <c r="K444" s="61" t="s">
        <v>4248</v>
      </c>
    </row>
    <row r="445" spans="1:11">
      <c r="A445" s="61">
        <v>442</v>
      </c>
      <c r="B445" s="203" t="s">
        <v>4162</v>
      </c>
      <c r="C445" s="61" t="s">
        <v>8</v>
      </c>
      <c r="D445" s="61" t="s">
        <v>35</v>
      </c>
      <c r="E445" s="209">
        <v>1362000</v>
      </c>
      <c r="F445" s="212">
        <f t="shared" si="12"/>
        <v>1321140</v>
      </c>
      <c r="G445" s="206">
        <f t="shared" si="13"/>
        <v>1280280</v>
      </c>
      <c r="H445" s="61">
        <v>389.33</v>
      </c>
      <c r="I445" s="61">
        <v>293.20999999999998</v>
      </c>
      <c r="J445" s="61">
        <v>96.12</v>
      </c>
      <c r="K445" s="61" t="s">
        <v>3759</v>
      </c>
    </row>
    <row r="446" spans="1:11">
      <c r="A446" s="61">
        <v>443</v>
      </c>
      <c r="B446" s="203" t="s">
        <v>4163</v>
      </c>
      <c r="C446" s="61" t="s">
        <v>8</v>
      </c>
      <c r="D446" s="61" t="s">
        <v>35</v>
      </c>
      <c r="E446" s="209">
        <v>1362000</v>
      </c>
      <c r="F446" s="212">
        <f t="shared" si="12"/>
        <v>1321140</v>
      </c>
      <c r="G446" s="206">
        <f t="shared" si="13"/>
        <v>1280280</v>
      </c>
      <c r="H446" s="61">
        <v>389.33</v>
      </c>
      <c r="I446" s="61">
        <v>293.20999999999998</v>
      </c>
      <c r="J446" s="61">
        <v>96.12</v>
      </c>
      <c r="K446" s="61" t="s">
        <v>3759</v>
      </c>
    </row>
    <row r="447" spans="1:11">
      <c r="A447" s="61">
        <v>444</v>
      </c>
      <c r="B447" s="203" t="s">
        <v>4164</v>
      </c>
      <c r="C447" s="61" t="s">
        <v>7</v>
      </c>
      <c r="D447" s="61" t="s">
        <v>35</v>
      </c>
      <c r="E447" s="209">
        <v>1358000</v>
      </c>
      <c r="F447" s="212">
        <f t="shared" si="12"/>
        <v>1317260</v>
      </c>
      <c r="G447" s="206">
        <f t="shared" si="13"/>
        <v>1276520</v>
      </c>
      <c r="H447" s="61">
        <v>389.65</v>
      </c>
      <c r="I447" s="61">
        <v>293.20999999999998</v>
      </c>
      <c r="J447" s="61">
        <v>96.44</v>
      </c>
      <c r="K447" s="61" t="s">
        <v>4248</v>
      </c>
    </row>
    <row r="448" spans="1:11">
      <c r="A448" s="61">
        <v>445</v>
      </c>
      <c r="B448" s="203" t="s">
        <v>4165</v>
      </c>
      <c r="C448" s="61" t="s">
        <v>8</v>
      </c>
      <c r="D448" s="61" t="s">
        <v>35</v>
      </c>
      <c r="E448" s="209">
        <v>1360000</v>
      </c>
      <c r="F448" s="212">
        <f t="shared" si="12"/>
        <v>1319200</v>
      </c>
      <c r="G448" s="206">
        <f t="shared" si="13"/>
        <v>1278400</v>
      </c>
      <c r="H448" s="61">
        <v>362.31</v>
      </c>
      <c r="I448" s="61">
        <v>293.20999999999998</v>
      </c>
      <c r="J448" s="61">
        <v>69.099999999999994</v>
      </c>
      <c r="K448" s="61" t="s">
        <v>4248</v>
      </c>
    </row>
    <row r="449" spans="1:11">
      <c r="A449" s="61">
        <v>446</v>
      </c>
      <c r="B449" s="203" t="s">
        <v>4166</v>
      </c>
      <c r="C449" s="61" t="s">
        <v>8</v>
      </c>
      <c r="D449" s="61" t="s">
        <v>35</v>
      </c>
      <c r="E449" s="209">
        <v>1360000</v>
      </c>
      <c r="F449" s="212">
        <f t="shared" si="12"/>
        <v>1319200</v>
      </c>
      <c r="G449" s="206">
        <f t="shared" si="13"/>
        <v>1278400</v>
      </c>
      <c r="H449" s="61">
        <v>362.31</v>
      </c>
      <c r="I449" s="61">
        <v>293.20999999999998</v>
      </c>
      <c r="J449" s="61">
        <v>69.099999999999994</v>
      </c>
      <c r="K449" s="61" t="s">
        <v>4248</v>
      </c>
    </row>
    <row r="450" spans="1:11">
      <c r="A450" s="61">
        <v>447</v>
      </c>
      <c r="B450" s="203" t="s">
        <v>4167</v>
      </c>
      <c r="C450" s="61" t="s">
        <v>7</v>
      </c>
      <c r="D450" s="61" t="s">
        <v>35</v>
      </c>
      <c r="E450" s="209">
        <v>1358000</v>
      </c>
      <c r="F450" s="212">
        <f t="shared" si="12"/>
        <v>1317260</v>
      </c>
      <c r="G450" s="206">
        <f t="shared" si="13"/>
        <v>1276520</v>
      </c>
      <c r="H450" s="61">
        <v>389.55</v>
      </c>
      <c r="I450" s="61">
        <v>293.20999999999998</v>
      </c>
      <c r="J450" s="61">
        <v>96.34</v>
      </c>
      <c r="K450" s="61" t="s">
        <v>4248</v>
      </c>
    </row>
    <row r="451" spans="1:11">
      <c r="A451" s="61">
        <v>448</v>
      </c>
      <c r="B451" s="203" t="s">
        <v>4168</v>
      </c>
      <c r="C451" s="61" t="s">
        <v>7</v>
      </c>
      <c r="D451" s="61" t="s">
        <v>35</v>
      </c>
      <c r="E451" s="209">
        <v>1358000</v>
      </c>
      <c r="F451" s="212">
        <f t="shared" si="12"/>
        <v>1317260</v>
      </c>
      <c r="G451" s="206">
        <f t="shared" si="13"/>
        <v>1276520</v>
      </c>
      <c r="H451" s="61">
        <v>389.33</v>
      </c>
      <c r="I451" s="61">
        <v>293.20999999999998</v>
      </c>
      <c r="J451" s="61">
        <v>96.12</v>
      </c>
      <c r="K451" s="61" t="s">
        <v>4248</v>
      </c>
    </row>
    <row r="452" spans="1:11">
      <c r="A452" s="61">
        <v>449</v>
      </c>
      <c r="B452" s="203" t="s">
        <v>4169</v>
      </c>
      <c r="C452" s="61" t="s">
        <v>7</v>
      </c>
      <c r="D452" s="61" t="s">
        <v>35</v>
      </c>
      <c r="E452" s="209">
        <v>1357000</v>
      </c>
      <c r="F452" s="212">
        <f t="shared" si="12"/>
        <v>1316290</v>
      </c>
      <c r="G452" s="206">
        <f t="shared" si="13"/>
        <v>1275580</v>
      </c>
      <c r="H452" s="61">
        <v>394.5</v>
      </c>
      <c r="I452" s="61">
        <v>293.20999999999998</v>
      </c>
      <c r="J452" s="61">
        <v>101.29</v>
      </c>
      <c r="K452" s="61" t="s">
        <v>4248</v>
      </c>
    </row>
    <row r="453" spans="1:11">
      <c r="A453" s="61">
        <v>450</v>
      </c>
      <c r="B453" s="203" t="s">
        <v>4170</v>
      </c>
      <c r="C453" s="61" t="s">
        <v>7</v>
      </c>
      <c r="D453" s="61" t="s">
        <v>35</v>
      </c>
      <c r="E453" s="209">
        <v>1357000</v>
      </c>
      <c r="F453" s="212">
        <f t="shared" ref="F453:F499" si="14">E453*0.97</f>
        <v>1316290</v>
      </c>
      <c r="G453" s="206">
        <f t="shared" ref="G453:G499" si="15">E453*0.94</f>
        <v>1275580</v>
      </c>
      <c r="H453" s="61">
        <v>394.6</v>
      </c>
      <c r="I453" s="61">
        <v>293.20999999999998</v>
      </c>
      <c r="J453" s="61">
        <v>101.4</v>
      </c>
      <c r="K453" s="61" t="s">
        <v>4248</v>
      </c>
    </row>
    <row r="454" spans="1:11">
      <c r="A454" s="61">
        <v>451</v>
      </c>
      <c r="B454" s="203" t="s">
        <v>4171</v>
      </c>
      <c r="C454" s="61" t="s">
        <v>7</v>
      </c>
      <c r="D454" s="61" t="s">
        <v>35</v>
      </c>
      <c r="E454" s="209">
        <v>1358000</v>
      </c>
      <c r="F454" s="212">
        <f t="shared" si="14"/>
        <v>1317260</v>
      </c>
      <c r="G454" s="206">
        <f t="shared" si="15"/>
        <v>1276520</v>
      </c>
      <c r="H454" s="61">
        <v>389.33</v>
      </c>
      <c r="I454" s="61">
        <v>293.20999999999998</v>
      </c>
      <c r="J454" s="61">
        <v>96.12</v>
      </c>
      <c r="K454" s="61" t="s">
        <v>4248</v>
      </c>
    </row>
    <row r="455" spans="1:11">
      <c r="A455" s="61">
        <v>452</v>
      </c>
      <c r="B455" s="203" t="s">
        <v>4172</v>
      </c>
      <c r="C455" s="61" t="s">
        <v>7</v>
      </c>
      <c r="D455" s="61" t="s">
        <v>35</v>
      </c>
      <c r="E455" s="209">
        <v>1357000</v>
      </c>
      <c r="F455" s="212">
        <f t="shared" si="14"/>
        <v>1316290</v>
      </c>
      <c r="G455" s="206">
        <f t="shared" si="15"/>
        <v>1275580</v>
      </c>
      <c r="H455" s="61">
        <v>400.53</v>
      </c>
      <c r="I455" s="61">
        <v>291.27</v>
      </c>
      <c r="J455" s="61">
        <v>109.25</v>
      </c>
      <c r="K455" s="61" t="s">
        <v>3759</v>
      </c>
    </row>
    <row r="456" spans="1:11">
      <c r="A456" s="61">
        <v>453</v>
      </c>
      <c r="B456" s="203" t="s">
        <v>4173</v>
      </c>
      <c r="C456" s="61" t="s">
        <v>7</v>
      </c>
      <c r="D456" s="61" t="s">
        <v>35</v>
      </c>
      <c r="E456" s="209">
        <v>1357000</v>
      </c>
      <c r="F456" s="212">
        <f t="shared" si="14"/>
        <v>1316290</v>
      </c>
      <c r="G456" s="206">
        <f t="shared" si="15"/>
        <v>1275580</v>
      </c>
      <c r="H456" s="61">
        <v>400.53</v>
      </c>
      <c r="I456" s="61">
        <v>291.27</v>
      </c>
      <c r="J456" s="61">
        <v>109.25</v>
      </c>
      <c r="K456" s="61" t="s">
        <v>3759</v>
      </c>
    </row>
    <row r="457" spans="1:11">
      <c r="A457" s="61">
        <v>454</v>
      </c>
      <c r="B457" s="203" t="s">
        <v>4174</v>
      </c>
      <c r="C457" s="61" t="s">
        <v>9</v>
      </c>
      <c r="D457" s="61" t="s">
        <v>35</v>
      </c>
      <c r="E457" s="209">
        <v>1360000</v>
      </c>
      <c r="F457" s="212">
        <f t="shared" si="14"/>
        <v>1319200</v>
      </c>
      <c r="G457" s="206">
        <f t="shared" si="15"/>
        <v>1278400</v>
      </c>
      <c r="H457" s="61">
        <v>379.75</v>
      </c>
      <c r="I457" s="61">
        <v>293.20999999999998</v>
      </c>
      <c r="J457" s="61">
        <v>86.54</v>
      </c>
      <c r="K457" s="61" t="s">
        <v>3759</v>
      </c>
    </row>
    <row r="458" spans="1:11">
      <c r="A458" s="61">
        <v>455</v>
      </c>
      <c r="B458" s="203" t="s">
        <v>4175</v>
      </c>
      <c r="C458" s="61" t="s">
        <v>9</v>
      </c>
      <c r="D458" s="61" t="s">
        <v>35</v>
      </c>
      <c r="E458" s="209">
        <v>1361000</v>
      </c>
      <c r="F458" s="212">
        <f t="shared" si="14"/>
        <v>1320170</v>
      </c>
      <c r="G458" s="206">
        <f t="shared" si="15"/>
        <v>1279340</v>
      </c>
      <c r="H458" s="61">
        <v>394.93</v>
      </c>
      <c r="I458" s="61">
        <v>293.75</v>
      </c>
      <c r="J458" s="61">
        <v>101.18</v>
      </c>
      <c r="K458" s="61" t="s">
        <v>3759</v>
      </c>
    </row>
    <row r="459" spans="1:11">
      <c r="A459" s="61">
        <v>456</v>
      </c>
      <c r="B459" s="203" t="s">
        <v>4176</v>
      </c>
      <c r="C459" s="61" t="s">
        <v>9</v>
      </c>
      <c r="D459" s="61" t="s">
        <v>35</v>
      </c>
      <c r="E459" s="209">
        <v>1361000</v>
      </c>
      <c r="F459" s="212">
        <f t="shared" si="14"/>
        <v>1320170</v>
      </c>
      <c r="G459" s="206">
        <f t="shared" si="15"/>
        <v>1279340</v>
      </c>
      <c r="H459" s="61">
        <v>394.93</v>
      </c>
      <c r="I459" s="61">
        <v>293.75</v>
      </c>
      <c r="J459" s="61">
        <v>101.18</v>
      </c>
      <c r="K459" s="61" t="s">
        <v>3759</v>
      </c>
    </row>
    <row r="460" spans="1:11">
      <c r="A460" s="61">
        <v>457</v>
      </c>
      <c r="B460" s="203" t="s">
        <v>4177</v>
      </c>
      <c r="C460" s="61" t="s">
        <v>9</v>
      </c>
      <c r="D460" s="61" t="s">
        <v>35</v>
      </c>
      <c r="E460" s="209">
        <v>1360000</v>
      </c>
      <c r="F460" s="212">
        <f t="shared" si="14"/>
        <v>1319200</v>
      </c>
      <c r="G460" s="206">
        <f t="shared" si="15"/>
        <v>1278400</v>
      </c>
      <c r="H460" s="61">
        <v>379.75</v>
      </c>
      <c r="I460" s="61">
        <v>293.20999999999998</v>
      </c>
      <c r="J460" s="61">
        <v>86.54</v>
      </c>
      <c r="K460" s="61" t="s">
        <v>3759</v>
      </c>
    </row>
    <row r="461" spans="1:11">
      <c r="A461" s="61">
        <v>458</v>
      </c>
      <c r="B461" s="203" t="s">
        <v>4178</v>
      </c>
      <c r="C461" s="61" t="s">
        <v>8</v>
      </c>
      <c r="D461" s="61" t="s">
        <v>35</v>
      </c>
      <c r="E461" s="209">
        <v>1357000</v>
      </c>
      <c r="F461" s="212">
        <f t="shared" si="14"/>
        <v>1316290</v>
      </c>
      <c r="G461" s="206">
        <f t="shared" si="15"/>
        <v>1275580</v>
      </c>
      <c r="H461" s="61">
        <v>403.65</v>
      </c>
      <c r="I461" s="61">
        <v>293.20999999999998</v>
      </c>
      <c r="J461" s="61">
        <v>110.44</v>
      </c>
      <c r="K461" s="61" t="s">
        <v>4248</v>
      </c>
    </row>
    <row r="462" spans="1:11">
      <c r="A462" s="61">
        <v>459</v>
      </c>
      <c r="B462" s="203" t="s">
        <v>4179</v>
      </c>
      <c r="C462" s="61" t="s">
        <v>8</v>
      </c>
      <c r="D462" s="61" t="s">
        <v>35</v>
      </c>
      <c r="E462" s="209">
        <v>1357000</v>
      </c>
      <c r="F462" s="212">
        <f t="shared" si="14"/>
        <v>1316290</v>
      </c>
      <c r="G462" s="206">
        <f t="shared" si="15"/>
        <v>1275580</v>
      </c>
      <c r="H462" s="61">
        <v>403.65</v>
      </c>
      <c r="I462" s="61">
        <v>293.20999999999998</v>
      </c>
      <c r="J462" s="61">
        <v>110.44</v>
      </c>
      <c r="K462" s="61" t="s">
        <v>4248</v>
      </c>
    </row>
    <row r="463" spans="1:11">
      <c r="A463" s="61">
        <v>460</v>
      </c>
      <c r="B463" s="203" t="s">
        <v>4180</v>
      </c>
      <c r="C463" s="61" t="s">
        <v>9</v>
      </c>
      <c r="D463" s="61" t="s">
        <v>35</v>
      </c>
      <c r="E463" s="209">
        <v>1360000</v>
      </c>
      <c r="F463" s="212">
        <f t="shared" si="14"/>
        <v>1319200</v>
      </c>
      <c r="G463" s="206">
        <f t="shared" si="15"/>
        <v>1278400</v>
      </c>
      <c r="H463" s="61">
        <v>385.13</v>
      </c>
      <c r="I463" s="61">
        <v>293.20999999999998</v>
      </c>
      <c r="J463" s="61">
        <v>91.92</v>
      </c>
      <c r="K463" s="61" t="s">
        <v>3759</v>
      </c>
    </row>
    <row r="464" spans="1:11">
      <c r="A464" s="61">
        <v>461</v>
      </c>
      <c r="B464" s="203" t="s">
        <v>4181</v>
      </c>
      <c r="C464" s="61" t="s">
        <v>9</v>
      </c>
      <c r="D464" s="61" t="s">
        <v>35</v>
      </c>
      <c r="E464" s="209">
        <v>1360000</v>
      </c>
      <c r="F464" s="212">
        <f t="shared" si="14"/>
        <v>1319200</v>
      </c>
      <c r="G464" s="206">
        <f t="shared" si="15"/>
        <v>1278400</v>
      </c>
      <c r="H464" s="61">
        <v>385.03</v>
      </c>
      <c r="I464" s="61">
        <v>293.20999999999998</v>
      </c>
      <c r="J464" s="61">
        <v>91.82</v>
      </c>
      <c r="K464" s="61" t="s">
        <v>3759</v>
      </c>
    </row>
    <row r="465" spans="1:11">
      <c r="A465" s="61">
        <v>462</v>
      </c>
      <c r="B465" s="203" t="s">
        <v>4182</v>
      </c>
      <c r="C465" s="61" t="s">
        <v>9</v>
      </c>
      <c r="D465" s="61" t="s">
        <v>35</v>
      </c>
      <c r="E465" s="209">
        <v>1359000</v>
      </c>
      <c r="F465" s="212">
        <f t="shared" si="14"/>
        <v>1318230</v>
      </c>
      <c r="G465" s="206">
        <f t="shared" si="15"/>
        <v>1277460</v>
      </c>
      <c r="H465" s="61">
        <v>389.65</v>
      </c>
      <c r="I465" s="61">
        <v>293.20999999999998</v>
      </c>
      <c r="J465" s="61">
        <v>96.44</v>
      </c>
      <c r="K465" s="61" t="s">
        <v>3759</v>
      </c>
    </row>
    <row r="466" spans="1:11">
      <c r="A466" s="61">
        <v>463</v>
      </c>
      <c r="B466" s="203" t="s">
        <v>4183</v>
      </c>
      <c r="C466" s="61" t="s">
        <v>8</v>
      </c>
      <c r="D466" s="61" t="s">
        <v>35</v>
      </c>
      <c r="E466" s="209">
        <v>1356000</v>
      </c>
      <c r="F466" s="212">
        <f t="shared" si="14"/>
        <v>1315320</v>
      </c>
      <c r="G466" s="206">
        <f t="shared" si="15"/>
        <v>1274640</v>
      </c>
      <c r="H466" s="61">
        <v>379.75</v>
      </c>
      <c r="I466" s="61">
        <v>293.20999999999998</v>
      </c>
      <c r="J466" s="61">
        <v>86.54</v>
      </c>
      <c r="K466" s="61" t="s">
        <v>4248</v>
      </c>
    </row>
    <row r="467" spans="1:11">
      <c r="A467" s="61">
        <v>464</v>
      </c>
      <c r="B467" s="203" t="s">
        <v>4184</v>
      </c>
      <c r="C467" s="61" t="s">
        <v>8</v>
      </c>
      <c r="D467" s="61" t="s">
        <v>35</v>
      </c>
      <c r="E467" s="209">
        <v>1356000</v>
      </c>
      <c r="F467" s="212">
        <f t="shared" si="14"/>
        <v>1315320</v>
      </c>
      <c r="G467" s="206">
        <f t="shared" si="15"/>
        <v>1274640</v>
      </c>
      <c r="H467" s="61">
        <v>385.03</v>
      </c>
      <c r="I467" s="61">
        <v>293.20999999999998</v>
      </c>
      <c r="J467" s="61">
        <v>91.82</v>
      </c>
      <c r="K467" s="61" t="s">
        <v>4248</v>
      </c>
    </row>
    <row r="468" spans="1:11">
      <c r="A468" s="61">
        <v>465</v>
      </c>
      <c r="B468" s="203" t="s">
        <v>4185</v>
      </c>
      <c r="C468" s="61" t="s">
        <v>8</v>
      </c>
      <c r="D468" s="61" t="s">
        <v>35</v>
      </c>
      <c r="E468" s="209">
        <v>1356000</v>
      </c>
      <c r="F468" s="212">
        <f t="shared" si="14"/>
        <v>1315320</v>
      </c>
      <c r="G468" s="206">
        <f t="shared" si="15"/>
        <v>1274640</v>
      </c>
      <c r="H468" s="61">
        <v>402.35</v>
      </c>
      <c r="I468" s="61">
        <v>293.20999999999998</v>
      </c>
      <c r="J468" s="61">
        <v>109.15</v>
      </c>
      <c r="K468" s="61" t="s">
        <v>4248</v>
      </c>
    </row>
    <row r="469" spans="1:11">
      <c r="A469" s="61">
        <v>466</v>
      </c>
      <c r="B469" s="203" t="s">
        <v>4186</v>
      </c>
      <c r="C469" s="61" t="s">
        <v>8</v>
      </c>
      <c r="D469" s="61" t="s">
        <v>35</v>
      </c>
      <c r="E469" s="209">
        <v>1356000</v>
      </c>
      <c r="F469" s="212">
        <f t="shared" si="14"/>
        <v>1315320</v>
      </c>
      <c r="G469" s="206">
        <f t="shared" si="15"/>
        <v>1274640</v>
      </c>
      <c r="H469" s="61">
        <v>402.35</v>
      </c>
      <c r="I469" s="61">
        <v>293.20999999999998</v>
      </c>
      <c r="J469" s="61">
        <v>109.15</v>
      </c>
      <c r="K469" s="61" t="s">
        <v>4248</v>
      </c>
    </row>
    <row r="470" spans="1:11">
      <c r="A470" s="61">
        <v>467</v>
      </c>
      <c r="B470" s="203" t="s">
        <v>4187</v>
      </c>
      <c r="C470" s="61" t="s">
        <v>8</v>
      </c>
      <c r="D470" s="61" t="s">
        <v>35</v>
      </c>
      <c r="E470" s="209">
        <v>1356000</v>
      </c>
      <c r="F470" s="212">
        <f t="shared" si="14"/>
        <v>1315320</v>
      </c>
      <c r="G470" s="206">
        <f t="shared" si="15"/>
        <v>1274640</v>
      </c>
      <c r="H470" s="61">
        <v>385.13</v>
      </c>
      <c r="I470" s="61">
        <v>293.20999999999998</v>
      </c>
      <c r="J470" s="61">
        <v>91.92</v>
      </c>
      <c r="K470" s="61" t="s">
        <v>4248</v>
      </c>
    </row>
    <row r="471" spans="1:11">
      <c r="A471" s="61">
        <v>468</v>
      </c>
      <c r="B471" s="203" t="s">
        <v>4188</v>
      </c>
      <c r="C471" s="61" t="s">
        <v>8</v>
      </c>
      <c r="D471" s="61" t="s">
        <v>35</v>
      </c>
      <c r="E471" s="209">
        <v>1356000</v>
      </c>
      <c r="F471" s="212">
        <f t="shared" si="14"/>
        <v>1315320</v>
      </c>
      <c r="G471" s="206">
        <f t="shared" si="15"/>
        <v>1274640</v>
      </c>
      <c r="H471" s="61">
        <v>379.75</v>
      </c>
      <c r="I471" s="61">
        <v>293.20999999999998</v>
      </c>
      <c r="J471" s="61">
        <v>86.54</v>
      </c>
      <c r="K471" s="61" t="s">
        <v>4248</v>
      </c>
    </row>
    <row r="472" spans="1:11">
      <c r="A472" s="61">
        <v>469</v>
      </c>
      <c r="B472" s="203" t="s">
        <v>4189</v>
      </c>
      <c r="C472" s="61" t="s">
        <v>9</v>
      </c>
      <c r="D472" s="61" t="s">
        <v>35</v>
      </c>
      <c r="E472" s="209">
        <v>1359000</v>
      </c>
      <c r="F472" s="212">
        <f t="shared" si="14"/>
        <v>1318230</v>
      </c>
      <c r="G472" s="206">
        <f t="shared" si="15"/>
        <v>1277460</v>
      </c>
      <c r="H472" s="61">
        <v>389.33</v>
      </c>
      <c r="I472" s="61">
        <v>293.20999999999998</v>
      </c>
      <c r="J472" s="61">
        <v>96.12</v>
      </c>
      <c r="K472" s="61" t="s">
        <v>3759</v>
      </c>
    </row>
    <row r="473" spans="1:11">
      <c r="A473" s="61">
        <v>470</v>
      </c>
      <c r="B473" s="203" t="s">
        <v>4190</v>
      </c>
      <c r="C473" s="61" t="s">
        <v>9</v>
      </c>
      <c r="D473" s="61" t="s">
        <v>35</v>
      </c>
      <c r="E473" s="209">
        <v>1359000</v>
      </c>
      <c r="F473" s="212">
        <f t="shared" si="14"/>
        <v>1318230</v>
      </c>
      <c r="G473" s="206">
        <f t="shared" si="15"/>
        <v>1277460</v>
      </c>
      <c r="H473" s="61">
        <v>389.55</v>
      </c>
      <c r="I473" s="61">
        <v>293.20999999999998</v>
      </c>
      <c r="J473" s="61">
        <v>96.34</v>
      </c>
      <c r="K473" s="61" t="s">
        <v>3759</v>
      </c>
    </row>
    <row r="474" spans="1:11">
      <c r="A474" s="61">
        <v>471</v>
      </c>
      <c r="B474" s="203" t="s">
        <v>4191</v>
      </c>
      <c r="C474" s="61" t="s">
        <v>9</v>
      </c>
      <c r="D474" s="61" t="s">
        <v>35</v>
      </c>
      <c r="E474" s="209">
        <v>1359000</v>
      </c>
      <c r="F474" s="212">
        <f t="shared" si="14"/>
        <v>1318230</v>
      </c>
      <c r="G474" s="206">
        <f t="shared" si="15"/>
        <v>1277460</v>
      </c>
      <c r="H474" s="61">
        <v>389.33</v>
      </c>
      <c r="I474" s="61">
        <v>293.20999999999998</v>
      </c>
      <c r="J474" s="61">
        <v>96.12</v>
      </c>
      <c r="K474" s="61" t="s">
        <v>3759</v>
      </c>
    </row>
    <row r="475" spans="1:11">
      <c r="A475" s="61">
        <v>472</v>
      </c>
      <c r="B475" s="203" t="s">
        <v>4192</v>
      </c>
      <c r="C475" s="61" t="s">
        <v>10</v>
      </c>
      <c r="D475" s="61" t="s">
        <v>35</v>
      </c>
      <c r="E475" s="209">
        <v>1361000</v>
      </c>
      <c r="F475" s="212">
        <f t="shared" si="14"/>
        <v>1320170</v>
      </c>
      <c r="G475" s="206">
        <f t="shared" si="15"/>
        <v>1279340</v>
      </c>
      <c r="H475" s="61">
        <v>362.31</v>
      </c>
      <c r="I475" s="61">
        <v>293.20999999999998</v>
      </c>
      <c r="J475" s="61">
        <v>69.099999999999994</v>
      </c>
      <c r="K475" s="61" t="s">
        <v>3759</v>
      </c>
    </row>
    <row r="476" spans="1:11">
      <c r="A476" s="61">
        <v>473</v>
      </c>
      <c r="B476" s="203" t="s">
        <v>4193</v>
      </c>
      <c r="C476" s="61" t="s">
        <v>10</v>
      </c>
      <c r="D476" s="61" t="s">
        <v>35</v>
      </c>
      <c r="E476" s="209">
        <v>1361000</v>
      </c>
      <c r="F476" s="212">
        <f t="shared" si="14"/>
        <v>1320170</v>
      </c>
      <c r="G476" s="206">
        <f t="shared" si="15"/>
        <v>1279340</v>
      </c>
      <c r="H476" s="61">
        <v>362.31</v>
      </c>
      <c r="I476" s="61">
        <v>293.20999999999998</v>
      </c>
      <c r="J476" s="61">
        <v>69.099999999999994</v>
      </c>
      <c r="K476" s="61" t="s">
        <v>3759</v>
      </c>
    </row>
    <row r="477" spans="1:11">
      <c r="A477" s="61">
        <v>474</v>
      </c>
      <c r="B477" s="203" t="s">
        <v>4194</v>
      </c>
      <c r="C477" s="61" t="s">
        <v>8</v>
      </c>
      <c r="D477" s="61" t="s">
        <v>35</v>
      </c>
      <c r="E477" s="209">
        <v>1355000</v>
      </c>
      <c r="F477" s="212">
        <f t="shared" si="14"/>
        <v>1314350</v>
      </c>
      <c r="G477" s="206">
        <f t="shared" si="15"/>
        <v>1273700</v>
      </c>
      <c r="H477" s="61">
        <v>389.33</v>
      </c>
      <c r="I477" s="61">
        <v>293.20999999999998</v>
      </c>
      <c r="J477" s="61">
        <v>96.12</v>
      </c>
      <c r="K477" s="61" t="s">
        <v>4248</v>
      </c>
    </row>
    <row r="478" spans="1:11">
      <c r="A478" s="61">
        <v>475</v>
      </c>
      <c r="B478" s="203" t="s">
        <v>4195</v>
      </c>
      <c r="C478" s="61" t="s">
        <v>8</v>
      </c>
      <c r="D478" s="61" t="s">
        <v>35</v>
      </c>
      <c r="E478" s="209">
        <v>1355000</v>
      </c>
      <c r="F478" s="212">
        <f t="shared" si="14"/>
        <v>1314350</v>
      </c>
      <c r="G478" s="206">
        <f t="shared" si="15"/>
        <v>1273700</v>
      </c>
      <c r="H478" s="61">
        <v>389.65</v>
      </c>
      <c r="I478" s="61">
        <v>293.20999999999998</v>
      </c>
      <c r="J478" s="61">
        <v>96.44</v>
      </c>
      <c r="K478" s="61" t="s">
        <v>4248</v>
      </c>
    </row>
    <row r="479" spans="1:11">
      <c r="A479" s="61">
        <v>476</v>
      </c>
      <c r="B479" s="203" t="s">
        <v>4196</v>
      </c>
      <c r="C479" s="61" t="s">
        <v>8</v>
      </c>
      <c r="D479" s="61" t="s">
        <v>35</v>
      </c>
      <c r="E479" s="209">
        <v>1355000</v>
      </c>
      <c r="F479" s="212">
        <f t="shared" si="14"/>
        <v>1314350</v>
      </c>
      <c r="G479" s="206">
        <f t="shared" si="15"/>
        <v>1273700</v>
      </c>
      <c r="H479" s="61">
        <v>389.55</v>
      </c>
      <c r="I479" s="61">
        <v>293.20999999999998</v>
      </c>
      <c r="J479" s="61">
        <v>96.34</v>
      </c>
      <c r="K479" s="61" t="s">
        <v>4248</v>
      </c>
    </row>
    <row r="480" spans="1:11">
      <c r="A480" s="61">
        <v>477</v>
      </c>
      <c r="B480" s="203" t="s">
        <v>4197</v>
      </c>
      <c r="C480" s="61" t="s">
        <v>8</v>
      </c>
      <c r="D480" s="61" t="s">
        <v>35</v>
      </c>
      <c r="E480" s="209">
        <v>1355000</v>
      </c>
      <c r="F480" s="212">
        <f t="shared" si="14"/>
        <v>1314350</v>
      </c>
      <c r="G480" s="206">
        <f t="shared" si="15"/>
        <v>1273700</v>
      </c>
      <c r="H480" s="61">
        <v>389.33</v>
      </c>
      <c r="I480" s="61">
        <v>293.20999999999998</v>
      </c>
      <c r="J480" s="61">
        <v>96.12</v>
      </c>
      <c r="K480" s="61" t="s">
        <v>4248</v>
      </c>
    </row>
    <row r="481" spans="1:11">
      <c r="A481" s="61">
        <v>478</v>
      </c>
      <c r="B481" s="203" t="s">
        <v>4198</v>
      </c>
      <c r="C481" s="61" t="s">
        <v>9</v>
      </c>
      <c r="D481" s="61" t="s">
        <v>35</v>
      </c>
      <c r="E481" s="209">
        <v>1357000</v>
      </c>
      <c r="F481" s="212">
        <f t="shared" si="14"/>
        <v>1316290</v>
      </c>
      <c r="G481" s="206">
        <f t="shared" si="15"/>
        <v>1275580</v>
      </c>
      <c r="H481" s="61">
        <v>362.31</v>
      </c>
      <c r="I481" s="61">
        <v>293.20999999999998</v>
      </c>
      <c r="J481" s="61">
        <v>69.099999999999994</v>
      </c>
      <c r="K481" s="61" t="s">
        <v>4248</v>
      </c>
    </row>
    <row r="482" spans="1:11">
      <c r="A482" s="61">
        <v>479</v>
      </c>
      <c r="B482" s="203" t="s">
        <v>4199</v>
      </c>
      <c r="C482" s="61" t="s">
        <v>9</v>
      </c>
      <c r="D482" s="61" t="s">
        <v>35</v>
      </c>
      <c r="E482" s="209">
        <v>1357000</v>
      </c>
      <c r="F482" s="212">
        <f t="shared" si="14"/>
        <v>1316290</v>
      </c>
      <c r="G482" s="206">
        <f t="shared" si="15"/>
        <v>1275580</v>
      </c>
      <c r="H482" s="61">
        <v>362.31</v>
      </c>
      <c r="I482" s="61">
        <v>293.20999999999998</v>
      </c>
      <c r="J482" s="61">
        <v>69.099999999999994</v>
      </c>
      <c r="K482" s="61" t="s">
        <v>4248</v>
      </c>
    </row>
    <row r="483" spans="1:11">
      <c r="A483" s="61">
        <v>480</v>
      </c>
      <c r="B483" s="203" t="s">
        <v>4200</v>
      </c>
      <c r="C483" s="61" t="s">
        <v>8</v>
      </c>
      <c r="D483" s="61" t="s">
        <v>35</v>
      </c>
      <c r="E483" s="209">
        <v>1355000</v>
      </c>
      <c r="F483" s="212">
        <f t="shared" si="14"/>
        <v>1314350</v>
      </c>
      <c r="G483" s="206">
        <f t="shared" si="15"/>
        <v>1273700</v>
      </c>
      <c r="H483" s="61">
        <v>394.6</v>
      </c>
      <c r="I483" s="61">
        <v>293.20999999999998</v>
      </c>
      <c r="J483" s="61">
        <v>101.4</v>
      </c>
      <c r="K483" s="61" t="s">
        <v>4248</v>
      </c>
    </row>
    <row r="484" spans="1:11">
      <c r="A484" s="61">
        <v>481</v>
      </c>
      <c r="B484" s="203" t="s">
        <v>4201</v>
      </c>
      <c r="C484" s="61" t="s">
        <v>8</v>
      </c>
      <c r="D484" s="61" t="s">
        <v>35</v>
      </c>
      <c r="E484" s="209">
        <v>1354000</v>
      </c>
      <c r="F484" s="212">
        <f t="shared" si="14"/>
        <v>1313380</v>
      </c>
      <c r="G484" s="206">
        <f t="shared" si="15"/>
        <v>1272760</v>
      </c>
      <c r="H484" s="61">
        <v>394.5</v>
      </c>
      <c r="I484" s="61">
        <v>293.20999999999998</v>
      </c>
      <c r="J484" s="61">
        <v>101.29</v>
      </c>
      <c r="K484" s="61" t="s">
        <v>4248</v>
      </c>
    </row>
    <row r="485" spans="1:11">
      <c r="A485" s="61">
        <v>482</v>
      </c>
      <c r="B485" s="203" t="s">
        <v>4202</v>
      </c>
      <c r="C485" s="61" t="s">
        <v>8</v>
      </c>
      <c r="D485" s="61" t="s">
        <v>35</v>
      </c>
      <c r="E485" s="209">
        <v>1354000</v>
      </c>
      <c r="F485" s="212">
        <f t="shared" si="14"/>
        <v>1313380</v>
      </c>
      <c r="G485" s="206">
        <f t="shared" si="15"/>
        <v>1272760</v>
      </c>
      <c r="H485" s="61">
        <v>400.53</v>
      </c>
      <c r="I485" s="61">
        <v>291.27</v>
      </c>
      <c r="J485" s="61">
        <v>109.25</v>
      </c>
      <c r="K485" s="61" t="s">
        <v>3759</v>
      </c>
    </row>
    <row r="486" spans="1:11">
      <c r="A486" s="61">
        <v>483</v>
      </c>
      <c r="B486" s="203" t="s">
        <v>4203</v>
      </c>
      <c r="C486" s="61" t="s">
        <v>8</v>
      </c>
      <c r="D486" s="61" t="s">
        <v>35</v>
      </c>
      <c r="E486" s="209">
        <v>1354000</v>
      </c>
      <c r="F486" s="212">
        <f t="shared" si="14"/>
        <v>1313380</v>
      </c>
      <c r="G486" s="206">
        <f t="shared" si="15"/>
        <v>1272760</v>
      </c>
      <c r="H486" s="61">
        <v>400.53</v>
      </c>
      <c r="I486" s="61">
        <v>291.27</v>
      </c>
      <c r="J486" s="61">
        <v>109.25</v>
      </c>
      <c r="K486" s="61" t="s">
        <v>3759</v>
      </c>
    </row>
    <row r="487" spans="1:11">
      <c r="A487" s="61">
        <v>484</v>
      </c>
      <c r="B487" s="203" t="s">
        <v>4204</v>
      </c>
      <c r="C487" s="61" t="s">
        <v>10</v>
      </c>
      <c r="D487" s="61" t="s">
        <v>35</v>
      </c>
      <c r="E487" s="209">
        <v>1358000</v>
      </c>
      <c r="F487" s="212">
        <f t="shared" si="14"/>
        <v>1317260</v>
      </c>
      <c r="G487" s="206">
        <f t="shared" si="15"/>
        <v>1276520</v>
      </c>
      <c r="H487" s="61">
        <v>379.75</v>
      </c>
      <c r="I487" s="61">
        <v>293.20999999999998</v>
      </c>
      <c r="J487" s="61">
        <v>86.54</v>
      </c>
      <c r="K487" s="61" t="s">
        <v>3759</v>
      </c>
    </row>
    <row r="488" spans="1:11">
      <c r="A488" s="61">
        <v>485</v>
      </c>
      <c r="B488" s="203" t="s">
        <v>4205</v>
      </c>
      <c r="C488" s="61" t="s">
        <v>10</v>
      </c>
      <c r="D488" s="61" t="s">
        <v>35</v>
      </c>
      <c r="E488" s="209">
        <v>1358000</v>
      </c>
      <c r="F488" s="212">
        <f t="shared" si="14"/>
        <v>1317260</v>
      </c>
      <c r="G488" s="206">
        <f t="shared" si="15"/>
        <v>1276520</v>
      </c>
      <c r="H488" s="61">
        <v>394.93</v>
      </c>
      <c r="I488" s="61">
        <v>293.75</v>
      </c>
      <c r="J488" s="61">
        <v>101.18</v>
      </c>
      <c r="K488" s="61" t="s">
        <v>3759</v>
      </c>
    </row>
    <row r="489" spans="1:11">
      <c r="A489" s="61">
        <v>486</v>
      </c>
      <c r="B489" s="203" t="s">
        <v>4206</v>
      </c>
      <c r="C489" s="61" t="s">
        <v>10</v>
      </c>
      <c r="D489" s="61" t="s">
        <v>35</v>
      </c>
      <c r="E489" s="209">
        <v>1358000</v>
      </c>
      <c r="F489" s="212">
        <f t="shared" si="14"/>
        <v>1317260</v>
      </c>
      <c r="G489" s="206">
        <f t="shared" si="15"/>
        <v>1276520</v>
      </c>
      <c r="H489" s="61">
        <v>394.93</v>
      </c>
      <c r="I489" s="61">
        <v>293.75</v>
      </c>
      <c r="J489" s="61">
        <v>101.18</v>
      </c>
      <c r="K489" s="61" t="s">
        <v>3759</v>
      </c>
    </row>
    <row r="490" spans="1:11">
      <c r="A490" s="61">
        <v>487</v>
      </c>
      <c r="B490" s="203" t="s">
        <v>4207</v>
      </c>
      <c r="C490" s="61" t="s">
        <v>10</v>
      </c>
      <c r="D490" s="61" t="s">
        <v>35</v>
      </c>
      <c r="E490" s="209">
        <v>1358000</v>
      </c>
      <c r="F490" s="212">
        <f t="shared" si="14"/>
        <v>1317260</v>
      </c>
      <c r="G490" s="206">
        <f t="shared" si="15"/>
        <v>1276520</v>
      </c>
      <c r="H490" s="61">
        <v>379.75</v>
      </c>
      <c r="I490" s="61">
        <v>293.20999999999998</v>
      </c>
      <c r="J490" s="61">
        <v>86.54</v>
      </c>
      <c r="K490" s="61" t="s">
        <v>3759</v>
      </c>
    </row>
    <row r="491" spans="1:11">
      <c r="A491" s="61">
        <v>488</v>
      </c>
      <c r="B491" s="203" t="s">
        <v>4208</v>
      </c>
      <c r="C491" s="61" t="s">
        <v>10</v>
      </c>
      <c r="D491" s="61" t="s">
        <v>35</v>
      </c>
      <c r="E491" s="209">
        <v>1357000</v>
      </c>
      <c r="F491" s="212">
        <f t="shared" si="14"/>
        <v>1316290</v>
      </c>
      <c r="G491" s="206">
        <f t="shared" si="15"/>
        <v>1275580</v>
      </c>
      <c r="H491" s="61">
        <v>385.13</v>
      </c>
      <c r="I491" s="61">
        <v>293.20999999999998</v>
      </c>
      <c r="J491" s="61">
        <v>91.92</v>
      </c>
      <c r="K491" s="61" t="s">
        <v>3759</v>
      </c>
    </row>
    <row r="492" spans="1:11">
      <c r="A492" s="61">
        <v>489</v>
      </c>
      <c r="B492" s="203" t="s">
        <v>4209</v>
      </c>
      <c r="C492" s="61" t="s">
        <v>10</v>
      </c>
      <c r="D492" s="61" t="s">
        <v>35</v>
      </c>
      <c r="E492" s="209">
        <v>1357000</v>
      </c>
      <c r="F492" s="212">
        <f t="shared" si="14"/>
        <v>1316290</v>
      </c>
      <c r="G492" s="206">
        <f t="shared" si="15"/>
        <v>1275580</v>
      </c>
      <c r="H492" s="61">
        <v>385.03</v>
      </c>
      <c r="I492" s="61">
        <v>293.20999999999998</v>
      </c>
      <c r="J492" s="61">
        <v>91.82</v>
      </c>
      <c r="K492" s="61" t="s">
        <v>3759</v>
      </c>
    </row>
    <row r="493" spans="1:11">
      <c r="A493" s="61">
        <v>490</v>
      </c>
      <c r="B493" s="203" t="s">
        <v>4210</v>
      </c>
      <c r="C493" s="61" t="s">
        <v>9</v>
      </c>
      <c r="D493" s="61" t="s">
        <v>35</v>
      </c>
      <c r="E493" s="209">
        <v>1354000</v>
      </c>
      <c r="F493" s="212">
        <f t="shared" si="14"/>
        <v>1313380</v>
      </c>
      <c r="G493" s="206">
        <f t="shared" si="15"/>
        <v>1272760</v>
      </c>
      <c r="H493" s="61">
        <v>403.65</v>
      </c>
      <c r="I493" s="61">
        <v>293.20999999999998</v>
      </c>
      <c r="J493" s="61">
        <v>110.44</v>
      </c>
      <c r="K493" s="61" t="s">
        <v>4248</v>
      </c>
    </row>
    <row r="494" spans="1:11">
      <c r="A494" s="61">
        <v>491</v>
      </c>
      <c r="B494" s="203" t="s">
        <v>4211</v>
      </c>
      <c r="C494" s="61" t="s">
        <v>9</v>
      </c>
      <c r="D494" s="61" t="s">
        <v>35</v>
      </c>
      <c r="E494" s="209">
        <v>1354000</v>
      </c>
      <c r="F494" s="212">
        <f t="shared" si="14"/>
        <v>1313380</v>
      </c>
      <c r="G494" s="206">
        <f t="shared" si="15"/>
        <v>1272760</v>
      </c>
      <c r="H494" s="61">
        <v>403.65</v>
      </c>
      <c r="I494" s="61">
        <v>293.20999999999998</v>
      </c>
      <c r="J494" s="61">
        <v>110.44</v>
      </c>
      <c r="K494" s="61" t="s">
        <v>4248</v>
      </c>
    </row>
    <row r="495" spans="1:11">
      <c r="A495" s="61">
        <v>492</v>
      </c>
      <c r="B495" s="203" t="s">
        <v>4212</v>
      </c>
      <c r="C495" s="61" t="s">
        <v>10</v>
      </c>
      <c r="D495" s="61" t="s">
        <v>35</v>
      </c>
      <c r="E495" s="209">
        <v>1356000</v>
      </c>
      <c r="F495" s="212">
        <f t="shared" si="14"/>
        <v>1315320</v>
      </c>
      <c r="G495" s="206">
        <f t="shared" si="15"/>
        <v>1274640</v>
      </c>
      <c r="H495" s="61">
        <v>389.65</v>
      </c>
      <c r="I495" s="61">
        <v>293.20999999999998</v>
      </c>
      <c r="J495" s="61">
        <v>96.44</v>
      </c>
      <c r="K495" s="61" t="s">
        <v>3759</v>
      </c>
    </row>
    <row r="496" spans="1:11">
      <c r="A496" s="61">
        <v>493</v>
      </c>
      <c r="B496" s="203" t="s">
        <v>4213</v>
      </c>
      <c r="C496" s="61" t="s">
        <v>9</v>
      </c>
      <c r="D496" s="61" t="s">
        <v>35</v>
      </c>
      <c r="E496" s="209">
        <v>1354000</v>
      </c>
      <c r="F496" s="212">
        <f t="shared" si="14"/>
        <v>1313380</v>
      </c>
      <c r="G496" s="206">
        <f t="shared" si="15"/>
        <v>1272760</v>
      </c>
      <c r="H496" s="61">
        <v>379.75</v>
      </c>
      <c r="I496" s="61">
        <v>293.20999999999998</v>
      </c>
      <c r="J496" s="61">
        <v>86.54</v>
      </c>
      <c r="K496" s="61" t="s">
        <v>4248</v>
      </c>
    </row>
    <row r="497" spans="1:11">
      <c r="A497" s="61">
        <v>494</v>
      </c>
      <c r="B497" s="203" t="s">
        <v>4214</v>
      </c>
      <c r="C497" s="61" t="s">
        <v>9</v>
      </c>
      <c r="D497" s="61" t="s">
        <v>35</v>
      </c>
      <c r="E497" s="209">
        <v>1353000</v>
      </c>
      <c r="F497" s="212">
        <f t="shared" si="14"/>
        <v>1312410</v>
      </c>
      <c r="G497" s="206">
        <f t="shared" si="15"/>
        <v>1271820</v>
      </c>
      <c r="H497" s="61">
        <v>385.13</v>
      </c>
      <c r="I497" s="61">
        <v>293.20999999999998</v>
      </c>
      <c r="J497" s="61">
        <v>91.92</v>
      </c>
      <c r="K497" s="61" t="s">
        <v>4248</v>
      </c>
    </row>
    <row r="498" spans="1:11">
      <c r="A498" s="61">
        <v>495</v>
      </c>
      <c r="B498" s="203" t="s">
        <v>4215</v>
      </c>
      <c r="C498" s="61" t="s">
        <v>9</v>
      </c>
      <c r="D498" s="61" t="s">
        <v>35</v>
      </c>
      <c r="E498" s="209">
        <v>1354000</v>
      </c>
      <c r="F498" s="212">
        <f t="shared" si="14"/>
        <v>1313380</v>
      </c>
      <c r="G498" s="206">
        <f t="shared" si="15"/>
        <v>1272760</v>
      </c>
      <c r="H498" s="61">
        <v>379.75</v>
      </c>
      <c r="I498" s="61">
        <v>293.20999999999998</v>
      </c>
      <c r="J498" s="61">
        <v>86.54</v>
      </c>
      <c r="K498" s="61" t="s">
        <v>4248</v>
      </c>
    </row>
    <row r="499" spans="1:11">
      <c r="A499" s="61">
        <v>496</v>
      </c>
      <c r="B499" s="203" t="s">
        <v>4216</v>
      </c>
      <c r="C499" s="61" t="s">
        <v>10</v>
      </c>
      <c r="D499" s="61" t="s">
        <v>35</v>
      </c>
      <c r="E499" s="209">
        <v>1356000</v>
      </c>
      <c r="F499" s="212">
        <f t="shared" si="14"/>
        <v>1315320</v>
      </c>
      <c r="G499" s="206">
        <f t="shared" si="15"/>
        <v>1274640</v>
      </c>
      <c r="H499" s="61">
        <v>389.33</v>
      </c>
      <c r="I499" s="61">
        <v>293.20999999999998</v>
      </c>
      <c r="J499" s="61">
        <v>96.12</v>
      </c>
      <c r="K499" s="61" t="s">
        <v>3759</v>
      </c>
    </row>
    <row r="500" spans="1:11">
      <c r="A500" s="61">
        <v>497</v>
      </c>
      <c r="B500" s="203" t="s">
        <v>4217</v>
      </c>
      <c r="C500" s="1" t="s">
        <v>10</v>
      </c>
      <c r="D500" s="1" t="s">
        <v>35</v>
      </c>
      <c r="E500" s="209">
        <v>1356000</v>
      </c>
      <c r="F500" s="212">
        <f t="shared" ref="F500:F501" si="16">E500*0.97</f>
        <v>1315320</v>
      </c>
      <c r="G500" s="206">
        <f t="shared" ref="G500:G501" si="17">E500*0.94</f>
        <v>1274640</v>
      </c>
      <c r="H500" s="1">
        <v>389.55</v>
      </c>
      <c r="I500" s="1">
        <v>293.20999999999998</v>
      </c>
      <c r="J500" s="1">
        <v>96.34</v>
      </c>
      <c r="K500" s="1" t="s">
        <v>3759</v>
      </c>
    </row>
    <row r="501" spans="1:11">
      <c r="A501" s="61">
        <v>498</v>
      </c>
      <c r="B501" s="203" t="s">
        <v>4218</v>
      </c>
      <c r="C501" s="1" t="s">
        <v>10</v>
      </c>
      <c r="D501" s="1" t="s">
        <v>35</v>
      </c>
      <c r="E501" s="209">
        <v>1356000</v>
      </c>
      <c r="F501" s="212">
        <f t="shared" si="16"/>
        <v>1315320</v>
      </c>
      <c r="G501" s="206">
        <f t="shared" si="17"/>
        <v>1274640</v>
      </c>
      <c r="H501" s="1">
        <v>389.33</v>
      </c>
      <c r="I501" s="1">
        <v>293.20999999999998</v>
      </c>
      <c r="J501" s="1">
        <v>96.12</v>
      </c>
      <c r="K501" s="1" t="s">
        <v>3759</v>
      </c>
    </row>
    <row r="502" spans="1:11">
      <c r="A502" s="61">
        <v>499</v>
      </c>
      <c r="B502" s="203" t="s">
        <v>4219</v>
      </c>
      <c r="C502" s="1" t="s">
        <v>9</v>
      </c>
      <c r="D502" s="1" t="s">
        <v>35</v>
      </c>
      <c r="E502" s="209">
        <v>1353000</v>
      </c>
      <c r="F502" s="212">
        <f t="shared" ref="F502:F530" si="18">E502*0.97</f>
        <v>1312410</v>
      </c>
      <c r="G502" s="206">
        <f t="shared" ref="G502:G530" si="19">E502*0.94</f>
        <v>1271820</v>
      </c>
      <c r="H502" s="1">
        <v>385.03</v>
      </c>
      <c r="I502" s="1">
        <v>293.20999999999998</v>
      </c>
      <c r="J502" s="1">
        <v>91.82</v>
      </c>
      <c r="K502" s="1" t="s">
        <v>4248</v>
      </c>
    </row>
    <row r="503" spans="1:11">
      <c r="A503" s="61">
        <v>500</v>
      </c>
      <c r="B503" s="203" t="s">
        <v>4220</v>
      </c>
      <c r="C503" s="1" t="s">
        <v>9</v>
      </c>
      <c r="D503" s="1" t="s">
        <v>35</v>
      </c>
      <c r="E503" s="209">
        <v>1353000</v>
      </c>
      <c r="F503" s="212">
        <f t="shared" si="18"/>
        <v>1312410</v>
      </c>
      <c r="G503" s="206">
        <f t="shared" si="19"/>
        <v>1271820</v>
      </c>
      <c r="H503" s="1">
        <v>402.35</v>
      </c>
      <c r="I503" s="1">
        <v>293.20999999999998</v>
      </c>
      <c r="J503" s="1">
        <v>109.15</v>
      </c>
      <c r="K503" s="1" t="s">
        <v>4248</v>
      </c>
    </row>
    <row r="504" spans="1:11">
      <c r="A504" s="61">
        <v>501</v>
      </c>
      <c r="B504" s="203" t="s">
        <v>4221</v>
      </c>
      <c r="C504" s="1" t="s">
        <v>9</v>
      </c>
      <c r="D504" s="1" t="s">
        <v>35</v>
      </c>
      <c r="E504" s="209">
        <v>1353000</v>
      </c>
      <c r="F504" s="212">
        <f t="shared" si="18"/>
        <v>1312410</v>
      </c>
      <c r="G504" s="206">
        <f t="shared" si="19"/>
        <v>1271820</v>
      </c>
      <c r="H504" s="1">
        <v>402.35</v>
      </c>
      <c r="I504" s="1">
        <v>293.20999999999998</v>
      </c>
      <c r="J504" s="1">
        <v>109.15</v>
      </c>
      <c r="K504" s="1" t="s">
        <v>4248</v>
      </c>
    </row>
    <row r="505" spans="1:11">
      <c r="A505" s="61">
        <v>502</v>
      </c>
      <c r="B505" s="203" t="s">
        <v>4222</v>
      </c>
      <c r="C505" s="1" t="s">
        <v>9</v>
      </c>
      <c r="D505" s="1" t="s">
        <v>35</v>
      </c>
      <c r="E505" s="209">
        <v>1353000</v>
      </c>
      <c r="F505" s="212">
        <f t="shared" si="18"/>
        <v>1312410</v>
      </c>
      <c r="G505" s="206">
        <f t="shared" si="19"/>
        <v>1271820</v>
      </c>
      <c r="H505" s="1">
        <v>389.65</v>
      </c>
      <c r="I505" s="1">
        <v>293.20999999999998</v>
      </c>
      <c r="J505" s="1">
        <v>96.44</v>
      </c>
      <c r="K505" s="1" t="s">
        <v>4248</v>
      </c>
    </row>
    <row r="506" spans="1:11">
      <c r="A506" s="61">
        <v>503</v>
      </c>
      <c r="B506" s="203" t="s">
        <v>4223</v>
      </c>
      <c r="C506" s="1" t="s">
        <v>9</v>
      </c>
      <c r="D506" s="1" t="s">
        <v>35</v>
      </c>
      <c r="E506" s="209">
        <v>1352000</v>
      </c>
      <c r="F506" s="212">
        <f t="shared" si="18"/>
        <v>1311440</v>
      </c>
      <c r="G506" s="206">
        <f t="shared" si="19"/>
        <v>1270880</v>
      </c>
      <c r="H506" s="1">
        <v>389.55</v>
      </c>
      <c r="I506" s="1">
        <v>293.20999999999998</v>
      </c>
      <c r="J506" s="1">
        <v>96.34</v>
      </c>
      <c r="K506" s="1" t="s">
        <v>4248</v>
      </c>
    </row>
    <row r="507" spans="1:11">
      <c r="A507" s="61">
        <v>504</v>
      </c>
      <c r="B507" s="203" t="s">
        <v>4224</v>
      </c>
      <c r="C507" s="1" t="s">
        <v>10</v>
      </c>
      <c r="D507" s="1" t="s">
        <v>35</v>
      </c>
      <c r="E507" s="209">
        <v>1354000</v>
      </c>
      <c r="F507" s="212">
        <f t="shared" si="18"/>
        <v>1313380</v>
      </c>
      <c r="G507" s="206">
        <f t="shared" si="19"/>
        <v>1272760</v>
      </c>
      <c r="H507" s="1">
        <v>362.31</v>
      </c>
      <c r="I507" s="1">
        <v>293.20999999999998</v>
      </c>
      <c r="J507" s="1">
        <v>69.099999999999994</v>
      </c>
      <c r="K507" s="1" t="s">
        <v>4248</v>
      </c>
    </row>
    <row r="508" spans="1:11">
      <c r="A508" s="61">
        <v>505</v>
      </c>
      <c r="B508" s="203" t="s">
        <v>4225</v>
      </c>
      <c r="C508" s="1" t="s">
        <v>10</v>
      </c>
      <c r="D508" s="1" t="s">
        <v>35</v>
      </c>
      <c r="E508" s="209">
        <v>1354000</v>
      </c>
      <c r="F508" s="212">
        <f t="shared" si="18"/>
        <v>1313380</v>
      </c>
      <c r="G508" s="206">
        <f t="shared" si="19"/>
        <v>1272760</v>
      </c>
      <c r="H508" s="1">
        <v>362.31</v>
      </c>
      <c r="I508" s="1">
        <v>293.20999999999998</v>
      </c>
      <c r="J508" s="1">
        <v>69.099999999999994</v>
      </c>
      <c r="K508" s="1" t="s">
        <v>4248</v>
      </c>
    </row>
    <row r="509" spans="1:11">
      <c r="A509" s="61">
        <v>506</v>
      </c>
      <c r="B509" s="203" t="s">
        <v>4226</v>
      </c>
      <c r="C509" s="1" t="s">
        <v>9</v>
      </c>
      <c r="D509" s="1" t="s">
        <v>35</v>
      </c>
      <c r="E509" s="209">
        <v>1352000</v>
      </c>
      <c r="F509" s="212">
        <f t="shared" si="18"/>
        <v>1311440</v>
      </c>
      <c r="G509" s="206">
        <f t="shared" si="19"/>
        <v>1270880</v>
      </c>
      <c r="H509" s="1">
        <v>389.33</v>
      </c>
      <c r="I509" s="1">
        <v>293.20999999999998</v>
      </c>
      <c r="J509" s="1">
        <v>96.12</v>
      </c>
      <c r="K509" s="1" t="s">
        <v>4248</v>
      </c>
    </row>
    <row r="510" spans="1:11">
      <c r="A510" s="61">
        <v>507</v>
      </c>
      <c r="B510" s="203" t="s">
        <v>4227</v>
      </c>
      <c r="C510" s="1" t="s">
        <v>9</v>
      </c>
      <c r="D510" s="1" t="s">
        <v>35</v>
      </c>
      <c r="E510" s="209">
        <v>1352000</v>
      </c>
      <c r="F510" s="212">
        <f t="shared" si="18"/>
        <v>1311440</v>
      </c>
      <c r="G510" s="206">
        <f t="shared" si="19"/>
        <v>1270880</v>
      </c>
      <c r="H510" s="1">
        <v>394.5</v>
      </c>
      <c r="I510" s="1">
        <v>293.20999999999998</v>
      </c>
      <c r="J510" s="1">
        <v>101.29</v>
      </c>
      <c r="K510" s="1" t="s">
        <v>4248</v>
      </c>
    </row>
    <row r="511" spans="1:11">
      <c r="A511" s="61">
        <v>508</v>
      </c>
      <c r="B511" s="203" t="s">
        <v>4228</v>
      </c>
      <c r="C511" s="1" t="s">
        <v>9</v>
      </c>
      <c r="D511" s="1" t="s">
        <v>35</v>
      </c>
      <c r="E511" s="209">
        <v>1352000</v>
      </c>
      <c r="F511" s="212">
        <f t="shared" si="18"/>
        <v>1311440</v>
      </c>
      <c r="G511" s="206">
        <f t="shared" si="19"/>
        <v>1270880</v>
      </c>
      <c r="H511" s="1">
        <v>394.6</v>
      </c>
      <c r="I511" s="1">
        <v>293.20999999999998</v>
      </c>
      <c r="J511" s="1">
        <v>101.4</v>
      </c>
      <c r="K511" s="1" t="s">
        <v>4248</v>
      </c>
    </row>
    <row r="512" spans="1:11">
      <c r="A512" s="61">
        <v>509</v>
      </c>
      <c r="B512" s="203" t="s">
        <v>4229</v>
      </c>
      <c r="C512" s="1" t="s">
        <v>9</v>
      </c>
      <c r="D512" s="1" t="s">
        <v>35</v>
      </c>
      <c r="E512" s="209">
        <v>1352000</v>
      </c>
      <c r="F512" s="212">
        <f t="shared" si="18"/>
        <v>1311440</v>
      </c>
      <c r="G512" s="206">
        <f t="shared" si="19"/>
        <v>1270880</v>
      </c>
      <c r="H512" s="1">
        <v>389.33</v>
      </c>
      <c r="I512" s="1">
        <v>293.20999999999998</v>
      </c>
      <c r="J512" s="1">
        <v>96.12</v>
      </c>
      <c r="K512" s="1" t="s">
        <v>4248</v>
      </c>
    </row>
    <row r="513" spans="1:11">
      <c r="A513" s="61">
        <v>510</v>
      </c>
      <c r="B513" s="203" t="s">
        <v>4230</v>
      </c>
      <c r="C513" s="1" t="s">
        <v>9</v>
      </c>
      <c r="D513" s="1" t="s">
        <v>35</v>
      </c>
      <c r="E513" s="209">
        <v>1351000</v>
      </c>
      <c r="F513" s="212">
        <f t="shared" si="18"/>
        <v>1310470</v>
      </c>
      <c r="G513" s="206">
        <f t="shared" si="19"/>
        <v>1269940</v>
      </c>
      <c r="H513" s="1">
        <v>400.53</v>
      </c>
      <c r="I513" s="1">
        <v>291.27</v>
      </c>
      <c r="J513" s="1">
        <v>109.25</v>
      </c>
      <c r="K513" s="1" t="s">
        <v>3759</v>
      </c>
    </row>
    <row r="514" spans="1:11">
      <c r="A514" s="61">
        <v>511</v>
      </c>
      <c r="B514" s="203" t="s">
        <v>4231</v>
      </c>
      <c r="C514" s="1" t="s">
        <v>9</v>
      </c>
      <c r="D514" s="1" t="s">
        <v>35</v>
      </c>
      <c r="E514" s="209">
        <v>1351000</v>
      </c>
      <c r="F514" s="212">
        <f t="shared" si="18"/>
        <v>1310470</v>
      </c>
      <c r="G514" s="206">
        <f t="shared" si="19"/>
        <v>1269940</v>
      </c>
      <c r="H514" s="1">
        <v>400.53</v>
      </c>
      <c r="I514" s="1">
        <v>291.27</v>
      </c>
      <c r="J514" s="1">
        <v>109.25</v>
      </c>
      <c r="K514" s="1" t="s">
        <v>3759</v>
      </c>
    </row>
    <row r="515" spans="1:11">
      <c r="A515" s="61">
        <v>512</v>
      </c>
      <c r="B515" s="203" t="s">
        <v>4232</v>
      </c>
      <c r="C515" s="1" t="s">
        <v>10</v>
      </c>
      <c r="D515" s="1" t="s">
        <v>35</v>
      </c>
      <c r="E515" s="209">
        <v>1351000</v>
      </c>
      <c r="F515" s="212">
        <f t="shared" si="18"/>
        <v>1310470</v>
      </c>
      <c r="G515" s="206">
        <f t="shared" si="19"/>
        <v>1269940</v>
      </c>
      <c r="H515" s="1">
        <v>403.65</v>
      </c>
      <c r="I515" s="1">
        <v>293.20999999999998</v>
      </c>
      <c r="J515" s="1">
        <v>110.44</v>
      </c>
      <c r="K515" s="1" t="s">
        <v>4248</v>
      </c>
    </row>
    <row r="516" spans="1:11">
      <c r="A516" s="61">
        <v>513</v>
      </c>
      <c r="B516" s="203" t="s">
        <v>4233</v>
      </c>
      <c r="C516" s="1" t="s">
        <v>10</v>
      </c>
      <c r="D516" s="1" t="s">
        <v>35</v>
      </c>
      <c r="E516" s="209">
        <v>1351000</v>
      </c>
      <c r="F516" s="212">
        <f t="shared" si="18"/>
        <v>1310470</v>
      </c>
      <c r="G516" s="206">
        <f t="shared" si="19"/>
        <v>1269940</v>
      </c>
      <c r="H516" s="1">
        <v>403.65</v>
      </c>
      <c r="I516" s="1">
        <v>293.20999999999998</v>
      </c>
      <c r="J516" s="1">
        <v>110.44</v>
      </c>
      <c r="K516" s="1" t="s">
        <v>4248</v>
      </c>
    </row>
    <row r="517" spans="1:11">
      <c r="A517" s="61">
        <v>514</v>
      </c>
      <c r="B517" s="203" t="s">
        <v>4234</v>
      </c>
      <c r="C517" s="1" t="s">
        <v>10</v>
      </c>
      <c r="D517" s="1" t="s">
        <v>35</v>
      </c>
      <c r="E517" s="209">
        <v>1351000</v>
      </c>
      <c r="F517" s="212">
        <f t="shared" si="18"/>
        <v>1310470</v>
      </c>
      <c r="G517" s="206">
        <f t="shared" si="19"/>
        <v>1269940</v>
      </c>
      <c r="H517" s="1">
        <v>379.75</v>
      </c>
      <c r="I517" s="1">
        <v>293.20999999999998</v>
      </c>
      <c r="J517" s="1">
        <v>86.54</v>
      </c>
      <c r="K517" s="1" t="s">
        <v>4248</v>
      </c>
    </row>
    <row r="518" spans="1:11">
      <c r="A518" s="61">
        <v>515</v>
      </c>
      <c r="B518" s="203" t="s">
        <v>4235</v>
      </c>
      <c r="C518" s="1" t="s">
        <v>10</v>
      </c>
      <c r="D518" s="1" t="s">
        <v>35</v>
      </c>
      <c r="E518" s="209">
        <v>1351000</v>
      </c>
      <c r="F518" s="212">
        <f t="shared" si="18"/>
        <v>1310470</v>
      </c>
      <c r="G518" s="206">
        <f t="shared" si="19"/>
        <v>1269940</v>
      </c>
      <c r="H518" s="1">
        <v>379.75</v>
      </c>
      <c r="I518" s="1">
        <v>293.20999999999998</v>
      </c>
      <c r="J518" s="1">
        <v>86.54</v>
      </c>
      <c r="K518" s="1" t="s">
        <v>4248</v>
      </c>
    </row>
    <row r="519" spans="1:11">
      <c r="A519" s="61">
        <v>516</v>
      </c>
      <c r="B519" s="203" t="s">
        <v>4236</v>
      </c>
      <c r="C519" s="1" t="s">
        <v>10</v>
      </c>
      <c r="D519" s="1" t="s">
        <v>35</v>
      </c>
      <c r="E519" s="209">
        <v>1351000</v>
      </c>
      <c r="F519" s="212">
        <f t="shared" si="18"/>
        <v>1310470</v>
      </c>
      <c r="G519" s="206">
        <f t="shared" si="19"/>
        <v>1269940</v>
      </c>
      <c r="H519" s="1">
        <v>385.03</v>
      </c>
      <c r="I519" s="1">
        <v>293.20999999999998</v>
      </c>
      <c r="J519" s="1">
        <v>91.82</v>
      </c>
      <c r="K519" s="1" t="s">
        <v>4248</v>
      </c>
    </row>
    <row r="520" spans="1:11">
      <c r="A520" s="61">
        <v>517</v>
      </c>
      <c r="B520" s="203" t="s">
        <v>4237</v>
      </c>
      <c r="C520" s="1" t="s">
        <v>10</v>
      </c>
      <c r="D520" s="1" t="s">
        <v>35</v>
      </c>
      <c r="E520" s="209">
        <v>1351000</v>
      </c>
      <c r="F520" s="212">
        <f t="shared" si="18"/>
        <v>1310470</v>
      </c>
      <c r="G520" s="206">
        <f t="shared" si="19"/>
        <v>1269940</v>
      </c>
      <c r="H520" s="1">
        <v>402.35</v>
      </c>
      <c r="I520" s="1">
        <v>293.20999999999998</v>
      </c>
      <c r="J520" s="1">
        <v>109.15</v>
      </c>
      <c r="K520" s="1" t="s">
        <v>4248</v>
      </c>
    </row>
    <row r="521" spans="1:11">
      <c r="A521" s="61">
        <v>518</v>
      </c>
      <c r="B521" s="203" t="s">
        <v>4238</v>
      </c>
      <c r="C521" s="1" t="s">
        <v>10</v>
      </c>
      <c r="D521" s="1" t="s">
        <v>35</v>
      </c>
      <c r="E521" s="209">
        <v>1351000</v>
      </c>
      <c r="F521" s="212">
        <f t="shared" si="18"/>
        <v>1310470</v>
      </c>
      <c r="G521" s="206">
        <f t="shared" si="19"/>
        <v>1269940</v>
      </c>
      <c r="H521" s="1">
        <v>402.35</v>
      </c>
      <c r="I521" s="1">
        <v>293.20999999999998</v>
      </c>
      <c r="J521" s="1">
        <v>109.15</v>
      </c>
      <c r="K521" s="1" t="s">
        <v>4248</v>
      </c>
    </row>
    <row r="522" spans="1:11">
      <c r="A522" s="61">
        <v>519</v>
      </c>
      <c r="B522" s="203" t="s">
        <v>4239</v>
      </c>
      <c r="C522" s="1" t="s">
        <v>10</v>
      </c>
      <c r="D522" s="1" t="s">
        <v>35</v>
      </c>
      <c r="E522" s="209">
        <v>1351000</v>
      </c>
      <c r="F522" s="212">
        <f t="shared" si="18"/>
        <v>1310470</v>
      </c>
      <c r="G522" s="206">
        <f t="shared" si="19"/>
        <v>1269940</v>
      </c>
      <c r="H522" s="1">
        <v>385.13</v>
      </c>
      <c r="I522" s="1">
        <v>293.20999999999998</v>
      </c>
      <c r="J522" s="1">
        <v>91.92</v>
      </c>
      <c r="K522" s="1" t="s">
        <v>4248</v>
      </c>
    </row>
    <row r="523" spans="1:11">
      <c r="A523" s="61">
        <v>520</v>
      </c>
      <c r="B523" s="203" t="s">
        <v>4240</v>
      </c>
      <c r="C523" s="1" t="s">
        <v>10</v>
      </c>
      <c r="D523" s="1" t="s">
        <v>35</v>
      </c>
      <c r="E523" s="209">
        <v>1350000</v>
      </c>
      <c r="F523" s="212">
        <f t="shared" si="18"/>
        <v>1309500</v>
      </c>
      <c r="G523" s="206">
        <f t="shared" si="19"/>
        <v>1269000</v>
      </c>
      <c r="H523" s="1">
        <v>389.65</v>
      </c>
      <c r="I523" s="1">
        <v>293.20999999999998</v>
      </c>
      <c r="J523" s="1">
        <v>96.44</v>
      </c>
      <c r="K523" s="1" t="s">
        <v>4248</v>
      </c>
    </row>
    <row r="524" spans="1:11">
      <c r="A524" s="61">
        <v>521</v>
      </c>
      <c r="B524" s="203" t="s">
        <v>4241</v>
      </c>
      <c r="C524" s="1" t="s">
        <v>10</v>
      </c>
      <c r="D524" s="1" t="s">
        <v>35</v>
      </c>
      <c r="E524" s="209">
        <v>1350000</v>
      </c>
      <c r="F524" s="212">
        <f t="shared" si="18"/>
        <v>1309500</v>
      </c>
      <c r="G524" s="206">
        <f t="shared" si="19"/>
        <v>1269000</v>
      </c>
      <c r="H524" s="1">
        <v>389.33</v>
      </c>
      <c r="I524" s="1">
        <v>293.20999999999998</v>
      </c>
      <c r="J524" s="1">
        <v>96.12</v>
      </c>
      <c r="K524" s="1" t="s">
        <v>4248</v>
      </c>
    </row>
    <row r="525" spans="1:11">
      <c r="A525" s="61">
        <v>522</v>
      </c>
      <c r="B525" s="203" t="s">
        <v>4242</v>
      </c>
      <c r="C525" s="1" t="s">
        <v>10</v>
      </c>
      <c r="D525" s="1" t="s">
        <v>35</v>
      </c>
      <c r="E525" s="209">
        <v>1350000</v>
      </c>
      <c r="F525" s="212">
        <f t="shared" si="18"/>
        <v>1309500</v>
      </c>
      <c r="G525" s="206">
        <f t="shared" si="19"/>
        <v>1269000</v>
      </c>
      <c r="H525" s="1">
        <v>394.5</v>
      </c>
      <c r="I525" s="1">
        <v>293.20999999999998</v>
      </c>
      <c r="J525" s="1">
        <v>101.29</v>
      </c>
      <c r="K525" s="1" t="s">
        <v>4248</v>
      </c>
    </row>
    <row r="526" spans="1:11">
      <c r="A526" s="61">
        <v>523</v>
      </c>
      <c r="B526" s="203" t="s">
        <v>4243</v>
      </c>
      <c r="C526" s="1" t="s">
        <v>10</v>
      </c>
      <c r="D526" s="1" t="s">
        <v>35</v>
      </c>
      <c r="E526" s="209">
        <v>1350000</v>
      </c>
      <c r="F526" s="212">
        <f t="shared" si="18"/>
        <v>1309500</v>
      </c>
      <c r="G526" s="206">
        <f t="shared" si="19"/>
        <v>1269000</v>
      </c>
      <c r="H526" s="1">
        <v>394.6</v>
      </c>
      <c r="I526" s="1">
        <v>293.20999999999998</v>
      </c>
      <c r="J526" s="1">
        <v>101.4</v>
      </c>
      <c r="K526" s="1" t="s">
        <v>4248</v>
      </c>
    </row>
    <row r="527" spans="1:11">
      <c r="A527" s="61">
        <v>524</v>
      </c>
      <c r="B527" s="203" t="s">
        <v>4244</v>
      </c>
      <c r="C527" s="1" t="s">
        <v>10</v>
      </c>
      <c r="D527" s="1" t="s">
        <v>35</v>
      </c>
      <c r="E527" s="209">
        <v>1350000</v>
      </c>
      <c r="F527" s="212">
        <f t="shared" si="18"/>
        <v>1309500</v>
      </c>
      <c r="G527" s="206">
        <f t="shared" si="19"/>
        <v>1269000</v>
      </c>
      <c r="H527" s="1">
        <v>389.55</v>
      </c>
      <c r="I527" s="1">
        <v>293.20999999999998</v>
      </c>
      <c r="J527" s="1">
        <v>96.34</v>
      </c>
      <c r="K527" s="1" t="s">
        <v>4248</v>
      </c>
    </row>
    <row r="528" spans="1:11">
      <c r="A528" s="61">
        <v>525</v>
      </c>
      <c r="B528" s="203" t="s">
        <v>4245</v>
      </c>
      <c r="C528" s="1" t="s">
        <v>10</v>
      </c>
      <c r="D528" s="1" t="s">
        <v>35</v>
      </c>
      <c r="E528" s="209">
        <v>1350000</v>
      </c>
      <c r="F528" s="212">
        <f t="shared" si="18"/>
        <v>1309500</v>
      </c>
      <c r="G528" s="206">
        <f t="shared" si="19"/>
        <v>1269000</v>
      </c>
      <c r="H528" s="1">
        <v>389.33</v>
      </c>
      <c r="I528" s="1">
        <v>293.20999999999998</v>
      </c>
      <c r="J528" s="1">
        <v>96.12</v>
      </c>
      <c r="K528" s="1" t="s">
        <v>4248</v>
      </c>
    </row>
    <row r="529" spans="1:11">
      <c r="A529" s="61">
        <v>526</v>
      </c>
      <c r="B529" s="203" t="s">
        <v>4246</v>
      </c>
      <c r="C529" s="1" t="s">
        <v>10</v>
      </c>
      <c r="D529" s="1" t="s">
        <v>35</v>
      </c>
      <c r="E529" s="209">
        <v>1350000</v>
      </c>
      <c r="F529" s="212">
        <f t="shared" si="18"/>
        <v>1309500</v>
      </c>
      <c r="G529" s="206">
        <f t="shared" si="19"/>
        <v>1269000</v>
      </c>
      <c r="H529" s="1">
        <v>400.53</v>
      </c>
      <c r="I529" s="1">
        <v>291.27</v>
      </c>
      <c r="J529" s="1">
        <v>109.25</v>
      </c>
      <c r="K529" s="1" t="s">
        <v>3759</v>
      </c>
    </row>
    <row r="530" spans="1:11">
      <c r="A530" s="61">
        <v>527</v>
      </c>
      <c r="B530" s="203" t="s">
        <v>4247</v>
      </c>
      <c r="C530" s="1" t="s">
        <v>10</v>
      </c>
      <c r="D530" s="1" t="s">
        <v>35</v>
      </c>
      <c r="E530" s="209">
        <v>1350000</v>
      </c>
      <c r="F530" s="212">
        <f t="shared" si="18"/>
        <v>1309500</v>
      </c>
      <c r="G530" s="206">
        <f t="shared" si="19"/>
        <v>1269000</v>
      </c>
      <c r="H530" s="1">
        <v>400.53</v>
      </c>
      <c r="I530" s="1">
        <v>291.27</v>
      </c>
      <c r="J530" s="1">
        <v>109.25</v>
      </c>
      <c r="K530" s="1" t="s">
        <v>3759</v>
      </c>
    </row>
  </sheetData>
  <mergeCells count="2">
    <mergeCell ref="A1:K1"/>
    <mergeCell ref="A2:K2"/>
  </mergeCells>
  <conditionalFormatting sqref="B1:B530">
    <cfRule type="duplicateValues" dxfId="10975" priority="249854"/>
  </conditionalFormatting>
  <conditionalFormatting sqref="B1:B1048576">
    <cfRule type="duplicateValues" dxfId="10974" priority="1"/>
  </conditionalFormatting>
  <conditionalFormatting sqref="B1:B532">
    <cfRule type="duplicateValues" dxfId="10973" priority="252068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6744-6643-4683-8702-7F397950140A}">
  <dimension ref="A1:J6"/>
  <sheetViews>
    <sheetView zoomScale="85" zoomScaleNormal="85" workbookViewId="0">
      <selection sqref="A1:J1"/>
    </sheetView>
  </sheetViews>
  <sheetFormatPr defaultRowHeight="14.4"/>
  <cols>
    <col min="1" max="1" width="8.6640625" bestFit="1" customWidth="1"/>
    <col min="2" max="2" width="13.6640625" bestFit="1" customWidth="1"/>
    <col min="3" max="3" width="9.6640625" bestFit="1" customWidth="1"/>
    <col min="4" max="4" width="13.44140625" bestFit="1" customWidth="1"/>
    <col min="5" max="5" width="17" bestFit="1" customWidth="1"/>
    <col min="6" max="6" width="17.6640625" customWidth="1"/>
    <col min="7" max="7" width="13.44140625" bestFit="1" customWidth="1"/>
    <col min="8" max="8" width="12.33203125" bestFit="1" customWidth="1"/>
    <col min="9" max="9" width="15.44140625" bestFit="1" customWidth="1"/>
    <col min="10" max="10" width="42.44140625" bestFit="1" customWidth="1"/>
  </cols>
  <sheetData>
    <row r="1" spans="1:10" ht="25.8">
      <c r="A1" s="335" t="s">
        <v>63</v>
      </c>
      <c r="B1" s="335"/>
      <c r="C1" s="335"/>
      <c r="D1" s="335"/>
      <c r="E1" s="335"/>
      <c r="F1" s="335"/>
      <c r="G1" s="335"/>
      <c r="H1" s="335"/>
      <c r="I1" s="335"/>
      <c r="J1" s="335"/>
    </row>
    <row r="2" spans="1:10" ht="17.399999999999999">
      <c r="A2" s="336" t="s">
        <v>4258</v>
      </c>
      <c r="B2" s="336"/>
      <c r="C2" s="336"/>
      <c r="D2" s="336"/>
      <c r="E2" s="336"/>
      <c r="F2" s="336"/>
      <c r="G2" s="336"/>
      <c r="H2" s="336"/>
      <c r="I2" s="336"/>
      <c r="J2" s="336"/>
    </row>
    <row r="3" spans="1:10" ht="14.25" customHeight="1">
      <c r="A3" s="48" t="s">
        <v>22</v>
      </c>
      <c r="B3" s="47" t="s">
        <v>13</v>
      </c>
      <c r="C3" s="47" t="s">
        <v>26</v>
      </c>
      <c r="D3" s="47" t="s">
        <v>14</v>
      </c>
      <c r="E3" s="47" t="s">
        <v>15</v>
      </c>
      <c r="F3" s="47" t="s">
        <v>62</v>
      </c>
      <c r="G3" s="47" t="s">
        <v>0</v>
      </c>
      <c r="H3" s="47" t="s">
        <v>1</v>
      </c>
      <c r="I3" s="47" t="s">
        <v>2</v>
      </c>
      <c r="J3" s="46" t="s">
        <v>19</v>
      </c>
    </row>
    <row r="4" spans="1:10">
      <c r="A4" s="45">
        <v>1</v>
      </c>
      <c r="B4" s="267" t="s">
        <v>5007</v>
      </c>
      <c r="C4" s="8" t="s">
        <v>6</v>
      </c>
      <c r="D4" s="8" t="s">
        <v>48</v>
      </c>
      <c r="E4" s="11">
        <v>3349999</v>
      </c>
      <c r="F4" s="9">
        <f t="shared" ref="F4:F6" si="0">E4*0.94</f>
        <v>3148999.0599999996</v>
      </c>
      <c r="G4" s="8">
        <v>1523.31</v>
      </c>
      <c r="H4" s="8">
        <v>1041.3</v>
      </c>
      <c r="I4" s="8">
        <v>482.01</v>
      </c>
      <c r="J4" s="44" t="s">
        <v>5010</v>
      </c>
    </row>
    <row r="5" spans="1:10">
      <c r="A5" s="45">
        <v>2</v>
      </c>
      <c r="B5" s="267" t="s">
        <v>5008</v>
      </c>
      <c r="C5" s="8" t="s">
        <v>3</v>
      </c>
      <c r="D5" s="8" t="s">
        <v>24</v>
      </c>
      <c r="E5" s="11">
        <v>2324999</v>
      </c>
      <c r="F5" s="9">
        <f t="shared" si="0"/>
        <v>2185499.06</v>
      </c>
      <c r="G5" s="8">
        <v>1103.19</v>
      </c>
      <c r="H5" s="8">
        <v>863.37</v>
      </c>
      <c r="I5" s="8">
        <v>239.82</v>
      </c>
      <c r="J5" s="44" t="s">
        <v>5012</v>
      </c>
    </row>
    <row r="6" spans="1:10">
      <c r="A6" s="45">
        <v>3</v>
      </c>
      <c r="B6" s="267" t="s">
        <v>5009</v>
      </c>
      <c r="C6" s="8" t="s">
        <v>3</v>
      </c>
      <c r="D6" s="8" t="s">
        <v>24</v>
      </c>
      <c r="E6" s="11">
        <v>2324999</v>
      </c>
      <c r="F6" s="9">
        <f t="shared" si="0"/>
        <v>2185499.06</v>
      </c>
      <c r="G6" s="8">
        <v>1078.44</v>
      </c>
      <c r="H6" s="8">
        <v>849.92</v>
      </c>
      <c r="I6" s="8">
        <v>228.52</v>
      </c>
      <c r="J6" s="44" t="s">
        <v>5011</v>
      </c>
    </row>
  </sheetData>
  <mergeCells count="2">
    <mergeCell ref="A1:J1"/>
    <mergeCell ref="A2:J2"/>
  </mergeCells>
  <phoneticPr fontId="24" type="noConversion"/>
  <conditionalFormatting sqref="B1:B1048576">
    <cfRule type="duplicateValues" dxfId="10972" priority="1"/>
  </conditionalFormatting>
  <conditionalFormatting sqref="B1:B3">
    <cfRule type="duplicateValues" dxfId="10971" priority="252071"/>
    <cfRule type="duplicateValues" dxfId="10970" priority="252072"/>
    <cfRule type="duplicateValues" dxfId="10969" priority="252073"/>
    <cfRule type="duplicateValues" dxfId="10968" priority="252074"/>
    <cfRule type="duplicateValues" dxfId="10967" priority="252075"/>
    <cfRule type="duplicateValues" dxfId="10966" priority="252076"/>
    <cfRule type="duplicateValues" dxfId="10965" priority="252077"/>
    <cfRule type="duplicateValues" dxfId="10964" priority="252078"/>
    <cfRule type="duplicateValues" dxfId="10963" priority="252079"/>
    <cfRule type="duplicateValues" dxfId="10962" priority="252080"/>
    <cfRule type="duplicateValues" dxfId="10961" priority="252081"/>
    <cfRule type="duplicateValues" dxfId="10960" priority="252082"/>
    <cfRule type="duplicateValues" dxfId="10959" priority="252083"/>
    <cfRule type="duplicateValues" dxfId="10958" priority="252084"/>
    <cfRule type="duplicateValues" dxfId="10957" priority="252085"/>
  </conditionalFormatting>
  <conditionalFormatting sqref="B4:B6">
    <cfRule type="duplicateValues" dxfId="10956" priority="252089"/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CEDB-39B4-4021-897B-D2DBC22B1CBC}">
  <dimension ref="A1:L56"/>
  <sheetViews>
    <sheetView zoomScale="85" zoomScaleNormal="85" workbookViewId="0">
      <selection sqref="A1:L1"/>
    </sheetView>
  </sheetViews>
  <sheetFormatPr defaultColWidth="8.109375" defaultRowHeight="14.4"/>
  <cols>
    <col min="1" max="1" width="7.5546875" style="22" customWidth="1"/>
    <col min="2" max="2" width="14.44140625" style="22" bestFit="1" customWidth="1"/>
    <col min="3" max="3" width="8.44140625" style="22" customWidth="1"/>
    <col min="4" max="4" width="20.21875" style="22" bestFit="1" customWidth="1"/>
    <col min="5" max="5" width="18.33203125" style="22" bestFit="1" customWidth="1"/>
    <col min="6" max="7" width="13.21875" style="23" bestFit="1" customWidth="1"/>
    <col min="8" max="8" width="18.44140625" style="23" bestFit="1" customWidth="1"/>
    <col min="9" max="9" width="14.88671875" style="22" bestFit="1" customWidth="1"/>
    <col min="10" max="10" width="13.44140625" style="22" bestFit="1" customWidth="1"/>
    <col min="11" max="11" width="17" style="22" bestFit="1" customWidth="1"/>
    <col min="12" max="12" width="46.88671875" style="22" bestFit="1" customWidth="1"/>
    <col min="13" max="16384" width="8.109375" style="22"/>
  </cols>
  <sheetData>
    <row r="1" spans="1:12" ht="25.8">
      <c r="A1" s="276" t="s">
        <v>64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</row>
    <row r="2" spans="1:12" ht="18">
      <c r="A2" s="337" t="s">
        <v>4532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</row>
    <row r="3" spans="1:12" s="5" customFormat="1">
      <c r="A3" s="32" t="s">
        <v>25</v>
      </c>
      <c r="B3" s="32" t="s">
        <v>13</v>
      </c>
      <c r="C3" s="32" t="s">
        <v>37</v>
      </c>
      <c r="D3" s="32" t="s">
        <v>14</v>
      </c>
      <c r="E3" s="31" t="s">
        <v>15</v>
      </c>
      <c r="F3" s="50" t="s">
        <v>28</v>
      </c>
      <c r="G3" s="30" t="s">
        <v>29</v>
      </c>
      <c r="H3" s="30" t="s">
        <v>31</v>
      </c>
      <c r="I3" s="29" t="s">
        <v>0</v>
      </c>
      <c r="J3" s="29" t="s">
        <v>1</v>
      </c>
      <c r="K3" s="29" t="s">
        <v>2</v>
      </c>
      <c r="L3" s="29" t="s">
        <v>19</v>
      </c>
    </row>
    <row r="4" spans="1:12" s="120" customFormat="1" ht="14.25" customHeight="1">
      <c r="A4" s="28">
        <v>1</v>
      </c>
      <c r="B4" s="41"/>
      <c r="C4" s="24"/>
      <c r="D4" s="41"/>
      <c r="E4" s="27"/>
      <c r="F4" s="49">
        <f t="shared" ref="F4" si="0">E4*0.85</f>
        <v>0</v>
      </c>
      <c r="G4" s="26">
        <f t="shared" ref="G4" si="1">E4*0.82</f>
        <v>0</v>
      </c>
      <c r="H4" s="25">
        <f t="shared" ref="H4" si="2">E4*0.78</f>
        <v>0</v>
      </c>
      <c r="I4" s="24">
        <v>784.15</v>
      </c>
      <c r="J4" s="24">
        <v>632.91999999999996</v>
      </c>
      <c r="K4" s="24">
        <v>151.22999999999999</v>
      </c>
      <c r="L4" s="24" t="s">
        <v>4531</v>
      </c>
    </row>
    <row r="5" spans="1:12">
      <c r="F5" s="22"/>
      <c r="G5" s="22"/>
      <c r="H5" s="22"/>
    </row>
    <row r="6" spans="1:12">
      <c r="F6" s="22"/>
      <c r="G6" s="22"/>
      <c r="H6" s="22"/>
    </row>
    <row r="7" spans="1:12">
      <c r="F7" s="22"/>
      <c r="G7" s="22"/>
      <c r="H7" s="22"/>
    </row>
    <row r="8" spans="1:12">
      <c r="F8" s="22"/>
      <c r="G8" s="22"/>
      <c r="H8" s="22"/>
    </row>
    <row r="9" spans="1:12">
      <c r="F9" s="22"/>
      <c r="G9" s="22"/>
      <c r="H9" s="22"/>
    </row>
    <row r="10" spans="1:12">
      <c r="F10" s="22"/>
      <c r="G10" s="22"/>
      <c r="H10" s="22"/>
    </row>
    <row r="11" spans="1:12">
      <c r="F11" s="22"/>
      <c r="G11" s="22"/>
      <c r="H11" s="22"/>
    </row>
    <row r="12" spans="1:12">
      <c r="F12" s="22"/>
      <c r="G12" s="22"/>
      <c r="H12" s="22"/>
    </row>
    <row r="13" spans="1:12">
      <c r="F13" s="22"/>
      <c r="G13" s="22"/>
      <c r="H13" s="22"/>
    </row>
    <row r="14" spans="1:12">
      <c r="F14" s="22"/>
      <c r="G14" s="22"/>
      <c r="H14" s="22"/>
    </row>
    <row r="15" spans="1:12">
      <c r="F15" s="22"/>
      <c r="G15" s="22"/>
      <c r="H15" s="22"/>
    </row>
    <row r="16" spans="1:12">
      <c r="F16" s="22"/>
      <c r="G16" s="22"/>
      <c r="H16" s="22"/>
    </row>
    <row r="17" s="22" customFormat="1"/>
    <row r="18" s="22" customFormat="1"/>
    <row r="19" s="22" customFormat="1"/>
    <row r="20" s="22" customFormat="1"/>
    <row r="21" s="22" customFormat="1"/>
    <row r="22" s="22" customFormat="1"/>
    <row r="23" s="22" customFormat="1"/>
    <row r="24" s="22" customFormat="1"/>
    <row r="25" s="22" customFormat="1"/>
    <row r="26" s="22" customFormat="1"/>
    <row r="27" s="22" customFormat="1"/>
    <row r="28" s="22" customFormat="1"/>
    <row r="29" s="22" customFormat="1"/>
    <row r="30" s="22" customFormat="1"/>
    <row r="31" s="22" customFormat="1"/>
    <row r="32" s="22" customFormat="1"/>
    <row r="33" s="22" customFormat="1"/>
    <row r="34" s="22" customFormat="1"/>
    <row r="35" s="22" customFormat="1"/>
    <row r="36" s="22" customFormat="1"/>
    <row r="37" s="22" customFormat="1"/>
    <row r="38" s="22" customFormat="1"/>
    <row r="39" s="22" customFormat="1"/>
    <row r="40" s="22" customFormat="1"/>
    <row r="41" s="22" customFormat="1"/>
    <row r="42" s="22" customFormat="1"/>
    <row r="43" s="22" customFormat="1"/>
    <row r="44" s="22" customFormat="1"/>
    <row r="45" s="22" customFormat="1"/>
    <row r="46" s="22" customFormat="1"/>
    <row r="47" s="22" customFormat="1"/>
    <row r="48" s="22" customFormat="1"/>
    <row r="49" s="22" customFormat="1"/>
    <row r="50" s="22" customFormat="1"/>
    <row r="51" s="22" customFormat="1"/>
    <row r="52" s="22" customFormat="1"/>
    <row r="53" s="22" customFormat="1"/>
    <row r="54" s="22" customFormat="1"/>
    <row r="55" s="22" customFormat="1"/>
    <row r="56" s="22" customFormat="1"/>
  </sheetData>
  <autoFilter ref="A3:L4" xr:uid="{00000000-0001-0000-0000-000000000000}"/>
  <mergeCells count="2">
    <mergeCell ref="A1:L1"/>
    <mergeCell ref="A2:L2"/>
  </mergeCells>
  <conditionalFormatting sqref="B1:B4">
    <cfRule type="duplicateValues" dxfId="10955" priority="231242"/>
    <cfRule type="duplicateValues" dxfId="10954" priority="231243"/>
    <cfRule type="duplicateValues" dxfId="10953" priority="231244"/>
    <cfRule type="duplicateValues" dxfId="10952" priority="231245"/>
    <cfRule type="duplicateValues" dxfId="10951" priority="231246"/>
    <cfRule type="duplicateValues" dxfId="10950" priority="231247"/>
    <cfRule type="duplicateValues" dxfId="10949" priority="231248"/>
  </conditionalFormatting>
  <conditionalFormatting sqref="B43:B1048576 B1:B4">
    <cfRule type="duplicateValues" dxfId="10948" priority="1"/>
  </conditionalFormatting>
  <conditionalFormatting sqref="B44:B1048576 B1:B4">
    <cfRule type="duplicateValues" dxfId="10947" priority="3"/>
  </conditionalFormatting>
  <conditionalFormatting sqref="B47:B1048576 B1:B4">
    <cfRule type="duplicateValues" dxfId="10946" priority="5"/>
  </conditionalFormatting>
  <conditionalFormatting sqref="B49:B1048576 B1:B4">
    <cfRule type="duplicateValues" dxfId="10945" priority="172865"/>
  </conditionalFormatting>
  <conditionalFormatting sqref="B55:B1048576 B1:B4">
    <cfRule type="duplicateValues" dxfId="10944" priority="9"/>
  </conditionalFormatting>
  <conditionalFormatting sqref="B57:B1048576 B1:B4">
    <cfRule type="duplicateValues" dxfId="10943" priority="11"/>
    <cfRule type="duplicateValues" dxfId="10942" priority="14"/>
    <cfRule type="duplicateValues" dxfId="10941" priority="16"/>
    <cfRule type="duplicateValues" dxfId="10940" priority="144977"/>
    <cfRule type="duplicateValues" dxfId="10939" priority="144978"/>
    <cfRule type="duplicateValues" dxfId="10938" priority="144983"/>
    <cfRule type="duplicateValues" dxfId="10937" priority="144987"/>
    <cfRule type="duplicateValues" dxfId="10936" priority="144988"/>
    <cfRule type="duplicateValues" dxfId="10935" priority="144989"/>
    <cfRule type="duplicateValues" dxfId="10934" priority="144990"/>
    <cfRule type="duplicateValues" dxfId="10933" priority="144991"/>
    <cfRule type="duplicateValues" dxfId="10932" priority="144992"/>
    <cfRule type="duplicateValues" dxfId="10931" priority="144993"/>
    <cfRule type="duplicateValues" dxfId="10930" priority="144994"/>
    <cfRule type="duplicateValues" dxfId="10929" priority="144995"/>
    <cfRule type="duplicateValues" dxfId="10928" priority="144996"/>
    <cfRule type="duplicateValues" dxfId="10927" priority="144997"/>
    <cfRule type="duplicateValues" dxfId="10926" priority="144998"/>
    <cfRule type="duplicateValues" dxfId="10925" priority="144999"/>
    <cfRule type="duplicateValues" dxfId="10924" priority="145000"/>
    <cfRule type="duplicateValues" dxfId="10923" priority="145001"/>
    <cfRule type="duplicateValues" dxfId="10922" priority="145002"/>
    <cfRule type="duplicateValues" dxfId="10921" priority="145003"/>
    <cfRule type="duplicateValues" dxfId="10920" priority="145004"/>
    <cfRule type="duplicateValues" dxfId="10919" priority="145005"/>
    <cfRule type="duplicateValues" dxfId="10918" priority="145006"/>
    <cfRule type="duplicateValues" dxfId="10917" priority="145007"/>
    <cfRule type="duplicateValues" dxfId="10916" priority="145008"/>
    <cfRule type="duplicateValues" dxfId="10915" priority="145009"/>
    <cfRule type="duplicateValues" dxfId="10914" priority="145010"/>
    <cfRule type="duplicateValues" dxfId="10913" priority="145011"/>
    <cfRule type="duplicateValues" dxfId="10912" priority="145012"/>
    <cfRule type="duplicateValues" dxfId="10911" priority="145013"/>
    <cfRule type="duplicateValues" dxfId="10910" priority="145014"/>
    <cfRule type="duplicateValues" dxfId="10909" priority="145015"/>
    <cfRule type="duplicateValues" dxfId="10908" priority="145016"/>
    <cfRule type="duplicateValues" dxfId="10907" priority="145017"/>
    <cfRule type="duplicateValues" dxfId="10906" priority="145018"/>
    <cfRule type="duplicateValues" dxfId="10905" priority="145019"/>
    <cfRule type="duplicateValues" dxfId="10904" priority="145020"/>
    <cfRule type="duplicateValues" dxfId="10903" priority="145021"/>
    <cfRule type="duplicateValues" dxfId="10902" priority="145022"/>
  </conditionalFormatting>
  <conditionalFormatting sqref="B57:B1048576">
    <cfRule type="duplicateValues" dxfId="10901" priority="145095"/>
    <cfRule type="duplicateValues" dxfId="10900" priority="145096"/>
    <cfRule type="duplicateValues" dxfId="10899" priority="145097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F6C8-7D83-4B87-8F5C-68A5835A72A9}">
  <dimension ref="A1:K839"/>
  <sheetViews>
    <sheetView workbookViewId="0">
      <selection sqref="A1:K1"/>
    </sheetView>
  </sheetViews>
  <sheetFormatPr defaultRowHeight="14.4"/>
  <cols>
    <col min="1" max="1" width="5.109375" customWidth="1"/>
    <col min="2" max="2" width="13.33203125" customWidth="1"/>
    <col min="4" max="4" width="13.6640625" customWidth="1"/>
    <col min="5" max="5" width="17.77734375" customWidth="1"/>
    <col min="6" max="6" width="14.44140625" customWidth="1"/>
    <col min="7" max="7" width="14.33203125" customWidth="1"/>
    <col min="11" max="11" width="38.88671875" customWidth="1"/>
  </cols>
  <sheetData>
    <row r="1" spans="1:11" ht="26.4" thickBot="1">
      <c r="A1" s="338" t="s">
        <v>1541</v>
      </c>
      <c r="B1" s="339"/>
      <c r="C1" s="339"/>
      <c r="D1" s="339"/>
      <c r="E1" s="339"/>
      <c r="F1" s="339"/>
      <c r="G1" s="339"/>
      <c r="H1" s="339"/>
      <c r="I1" s="339"/>
      <c r="J1" s="339"/>
      <c r="K1" s="340"/>
    </row>
    <row r="2" spans="1:11">
      <c r="A2" s="341" t="s">
        <v>1542</v>
      </c>
      <c r="B2" s="342"/>
      <c r="C2" s="342"/>
      <c r="D2" s="342"/>
      <c r="E2" s="342"/>
      <c r="F2" s="342"/>
      <c r="G2" s="342"/>
      <c r="H2" s="342"/>
      <c r="I2" s="342"/>
      <c r="J2" s="342"/>
      <c r="K2" s="343"/>
    </row>
    <row r="3" spans="1:11">
      <c r="A3" s="208" t="s">
        <v>22</v>
      </c>
      <c r="B3" s="142" t="s">
        <v>13</v>
      </c>
      <c r="C3" s="142" t="s">
        <v>26</v>
      </c>
      <c r="D3" s="142" t="s">
        <v>14</v>
      </c>
      <c r="E3" s="142" t="s">
        <v>28</v>
      </c>
      <c r="F3" s="142" t="s">
        <v>29</v>
      </c>
      <c r="G3" s="142" t="s">
        <v>43</v>
      </c>
      <c r="H3" s="142" t="s">
        <v>0</v>
      </c>
      <c r="I3" s="142" t="s">
        <v>1</v>
      </c>
      <c r="J3" s="142" t="s">
        <v>2</v>
      </c>
      <c r="K3" s="142" t="s">
        <v>19</v>
      </c>
    </row>
    <row r="4" spans="1:11">
      <c r="A4" s="202">
        <v>1</v>
      </c>
      <c r="B4" s="203" t="s">
        <v>1543</v>
      </c>
      <c r="C4" s="61" t="s">
        <v>4487</v>
      </c>
      <c r="D4" s="61" t="s">
        <v>4503</v>
      </c>
      <c r="E4" s="209">
        <v>13000000</v>
      </c>
      <c r="F4" s="205">
        <f>E4*0.97</f>
        <v>12610000</v>
      </c>
      <c r="G4" s="206">
        <f>E4*0.94</f>
        <v>12220000</v>
      </c>
      <c r="H4" s="210">
        <v>3057.27</v>
      </c>
      <c r="I4" s="210">
        <v>1720.83</v>
      </c>
      <c r="J4" s="210">
        <v>1336.45</v>
      </c>
      <c r="K4" s="61" t="s">
        <v>1544</v>
      </c>
    </row>
    <row r="5" spans="1:11">
      <c r="A5" s="202">
        <v>2</v>
      </c>
      <c r="B5" s="203" t="s">
        <v>1545</v>
      </c>
      <c r="C5" s="61" t="s">
        <v>4488</v>
      </c>
      <c r="D5" s="61" t="s">
        <v>4503</v>
      </c>
      <c r="E5" s="209">
        <v>12988000</v>
      </c>
      <c r="F5" s="205">
        <f t="shared" ref="F5:F68" si="0">E5*0.97</f>
        <v>12598360</v>
      </c>
      <c r="G5" s="206">
        <f t="shared" ref="G5:G68" si="1">E5*0.94</f>
        <v>12208720</v>
      </c>
      <c r="H5" s="210">
        <v>3057.27</v>
      </c>
      <c r="I5" s="210">
        <v>1720.83</v>
      </c>
      <c r="J5" s="210">
        <v>1336.45</v>
      </c>
      <c r="K5" s="61" t="s">
        <v>1544</v>
      </c>
    </row>
    <row r="6" spans="1:11">
      <c r="A6" s="202">
        <v>3</v>
      </c>
      <c r="B6" s="203" t="s">
        <v>1546</v>
      </c>
      <c r="C6" s="61" t="s">
        <v>4490</v>
      </c>
      <c r="D6" s="61" t="s">
        <v>4503</v>
      </c>
      <c r="E6" s="209">
        <v>12560000</v>
      </c>
      <c r="F6" s="205">
        <f t="shared" si="0"/>
        <v>12183200</v>
      </c>
      <c r="G6" s="206">
        <f t="shared" si="1"/>
        <v>11806400</v>
      </c>
      <c r="H6" s="210">
        <v>2076.79</v>
      </c>
      <c r="I6" s="210">
        <v>1730.84</v>
      </c>
      <c r="J6" s="210">
        <v>345.95</v>
      </c>
      <c r="K6" s="61" t="s">
        <v>1544</v>
      </c>
    </row>
    <row r="7" spans="1:11">
      <c r="A7" s="202">
        <v>4</v>
      </c>
      <c r="B7" s="203" t="s">
        <v>1547</v>
      </c>
      <c r="C7" s="61" t="s">
        <v>4489</v>
      </c>
      <c r="D7" s="61" t="s">
        <v>4503</v>
      </c>
      <c r="E7" s="209">
        <v>12548000</v>
      </c>
      <c r="F7" s="205">
        <f t="shared" si="0"/>
        <v>12171560</v>
      </c>
      <c r="G7" s="206">
        <f t="shared" si="1"/>
        <v>11795120</v>
      </c>
      <c r="H7" s="210">
        <v>2076.79</v>
      </c>
      <c r="I7" s="210">
        <v>1730.84</v>
      </c>
      <c r="J7" s="210">
        <v>345.95</v>
      </c>
      <c r="K7" s="61" t="s">
        <v>1544</v>
      </c>
    </row>
    <row r="8" spans="1:11">
      <c r="A8" s="202">
        <v>5</v>
      </c>
      <c r="B8" s="203" t="s">
        <v>1548</v>
      </c>
      <c r="C8" s="61" t="s">
        <v>4487</v>
      </c>
      <c r="D8" s="61" t="s">
        <v>4503</v>
      </c>
      <c r="E8" s="209">
        <v>12537000</v>
      </c>
      <c r="F8" s="205">
        <f t="shared" si="0"/>
        <v>12160890</v>
      </c>
      <c r="G8" s="206">
        <f t="shared" si="1"/>
        <v>11784780</v>
      </c>
      <c r="H8" s="210">
        <v>2076.79</v>
      </c>
      <c r="I8" s="210">
        <v>1730.84</v>
      </c>
      <c r="J8" s="210">
        <v>345.95</v>
      </c>
      <c r="K8" s="61" t="s">
        <v>1544</v>
      </c>
    </row>
    <row r="9" spans="1:11">
      <c r="A9" s="202">
        <v>6</v>
      </c>
      <c r="B9" s="203" t="s">
        <v>1549</v>
      </c>
      <c r="C9" s="61" t="s">
        <v>4488</v>
      </c>
      <c r="D9" s="61" t="s">
        <v>4503</v>
      </c>
      <c r="E9" s="209">
        <v>12525000</v>
      </c>
      <c r="F9" s="205">
        <f t="shared" si="0"/>
        <v>12149250</v>
      </c>
      <c r="G9" s="206">
        <f t="shared" si="1"/>
        <v>11773500</v>
      </c>
      <c r="H9" s="210">
        <v>2076.79</v>
      </c>
      <c r="I9" s="210">
        <v>1730.84</v>
      </c>
      <c r="J9" s="210">
        <v>345.95</v>
      </c>
      <c r="K9" s="61" t="s">
        <v>1544</v>
      </c>
    </row>
    <row r="10" spans="1:11">
      <c r="A10" s="202">
        <v>7</v>
      </c>
      <c r="B10" s="203" t="s">
        <v>4514</v>
      </c>
      <c r="C10" s="61" t="s">
        <v>4486</v>
      </c>
      <c r="D10" s="61" t="s">
        <v>4503</v>
      </c>
      <c r="E10" s="209">
        <v>12500000</v>
      </c>
      <c r="F10" s="205">
        <f t="shared" si="0"/>
        <v>12125000</v>
      </c>
      <c r="G10" s="206">
        <f t="shared" si="1"/>
        <v>11750000</v>
      </c>
      <c r="H10" s="210">
        <v>2076.79</v>
      </c>
      <c r="I10" s="210">
        <v>1730.84</v>
      </c>
      <c r="J10" s="210">
        <v>345.95</v>
      </c>
      <c r="K10" s="61" t="s">
        <v>1544</v>
      </c>
    </row>
    <row r="11" spans="1:11">
      <c r="A11" s="202">
        <v>8</v>
      </c>
      <c r="B11" s="203" t="s">
        <v>1550</v>
      </c>
      <c r="C11" s="61" t="s">
        <v>4464</v>
      </c>
      <c r="D11" s="61" t="s">
        <v>4515</v>
      </c>
      <c r="E11" s="209">
        <v>7449000</v>
      </c>
      <c r="F11" s="205">
        <f t="shared" si="0"/>
        <v>7225530</v>
      </c>
      <c r="G11" s="206">
        <f t="shared" si="1"/>
        <v>7002060</v>
      </c>
      <c r="H11" s="210">
        <v>2532.5300000000002</v>
      </c>
      <c r="I11" s="210">
        <v>983.93</v>
      </c>
      <c r="J11" s="210">
        <v>1548.6</v>
      </c>
      <c r="K11" s="61" t="s">
        <v>2353</v>
      </c>
    </row>
    <row r="12" spans="1:11">
      <c r="A12" s="202">
        <v>9</v>
      </c>
      <c r="B12" s="203" t="s">
        <v>1551</v>
      </c>
      <c r="C12" s="61" t="s">
        <v>4461</v>
      </c>
      <c r="D12" s="61" t="s">
        <v>4515</v>
      </c>
      <c r="E12" s="209">
        <v>7399000</v>
      </c>
      <c r="F12" s="205">
        <f t="shared" si="0"/>
        <v>7177030</v>
      </c>
      <c r="G12" s="206">
        <f t="shared" si="1"/>
        <v>6955060</v>
      </c>
      <c r="H12" s="210">
        <v>2532.5300000000002</v>
      </c>
      <c r="I12" s="210">
        <v>983.93</v>
      </c>
      <c r="J12" s="210">
        <v>1548.6</v>
      </c>
      <c r="K12" s="61" t="s">
        <v>2353</v>
      </c>
    </row>
    <row r="13" spans="1:11">
      <c r="A13" s="202">
        <v>10</v>
      </c>
      <c r="B13" s="203" t="s">
        <v>1552</v>
      </c>
      <c r="C13" s="61" t="s">
        <v>4460</v>
      </c>
      <c r="D13" s="61" t="s">
        <v>4515</v>
      </c>
      <c r="E13" s="209">
        <v>7286000</v>
      </c>
      <c r="F13" s="205">
        <f t="shared" si="0"/>
        <v>7067420</v>
      </c>
      <c r="G13" s="206">
        <f t="shared" si="1"/>
        <v>6848840</v>
      </c>
      <c r="H13" s="210">
        <v>2532.5300000000002</v>
      </c>
      <c r="I13" s="210">
        <v>983.93</v>
      </c>
      <c r="J13" s="210">
        <v>1548.6</v>
      </c>
      <c r="K13" s="61" t="s">
        <v>2354</v>
      </c>
    </row>
    <row r="14" spans="1:11">
      <c r="A14" s="202">
        <v>11</v>
      </c>
      <c r="B14" s="203" t="s">
        <v>1553</v>
      </c>
      <c r="C14" s="61" t="s">
        <v>4</v>
      </c>
      <c r="D14" s="61" t="s">
        <v>4515</v>
      </c>
      <c r="E14" s="209">
        <v>7279000</v>
      </c>
      <c r="F14" s="205">
        <f t="shared" si="0"/>
        <v>7060630</v>
      </c>
      <c r="G14" s="206">
        <f t="shared" si="1"/>
        <v>6842260</v>
      </c>
      <c r="H14" s="210">
        <v>2532.5300000000002</v>
      </c>
      <c r="I14" s="210">
        <v>983.93</v>
      </c>
      <c r="J14" s="210">
        <v>1548.6</v>
      </c>
      <c r="K14" s="61" t="s">
        <v>2355</v>
      </c>
    </row>
    <row r="15" spans="1:11">
      <c r="A15" s="202">
        <v>12</v>
      </c>
      <c r="B15" s="203" t="s">
        <v>1554</v>
      </c>
      <c r="C15" s="61" t="s">
        <v>11</v>
      </c>
      <c r="D15" s="61" t="s">
        <v>4515</v>
      </c>
      <c r="E15" s="209">
        <v>7279000</v>
      </c>
      <c r="F15" s="205">
        <f t="shared" si="0"/>
        <v>7060630</v>
      </c>
      <c r="G15" s="206">
        <f t="shared" si="1"/>
        <v>6842260</v>
      </c>
      <c r="H15" s="210">
        <v>2532.5300000000002</v>
      </c>
      <c r="I15" s="210">
        <v>983.93</v>
      </c>
      <c r="J15" s="210">
        <v>1548.6</v>
      </c>
      <c r="K15" s="61" t="s">
        <v>2354</v>
      </c>
    </row>
    <row r="16" spans="1:11">
      <c r="A16" s="202">
        <v>13</v>
      </c>
      <c r="B16" s="203" t="s">
        <v>1555</v>
      </c>
      <c r="C16" s="61" t="s">
        <v>4458</v>
      </c>
      <c r="D16" s="61" t="s">
        <v>4515</v>
      </c>
      <c r="E16" s="209">
        <v>7272000</v>
      </c>
      <c r="F16" s="205">
        <f t="shared" si="0"/>
        <v>7053840</v>
      </c>
      <c r="G16" s="206">
        <f t="shared" si="1"/>
        <v>6835680</v>
      </c>
      <c r="H16" s="210">
        <v>2532.5300000000002</v>
      </c>
      <c r="I16" s="210">
        <v>983.93</v>
      </c>
      <c r="J16" s="210">
        <v>1548.6</v>
      </c>
      <c r="K16" s="61" t="s">
        <v>2355</v>
      </c>
    </row>
    <row r="17" spans="1:11">
      <c r="A17" s="202">
        <v>14</v>
      </c>
      <c r="B17" s="203" t="s">
        <v>1556</v>
      </c>
      <c r="C17" s="61" t="s">
        <v>6</v>
      </c>
      <c r="D17" s="61" t="s">
        <v>4515</v>
      </c>
      <c r="E17" s="209">
        <v>7265000</v>
      </c>
      <c r="F17" s="205">
        <f t="shared" si="0"/>
        <v>7047050</v>
      </c>
      <c r="G17" s="206">
        <f t="shared" si="1"/>
        <v>6829100</v>
      </c>
      <c r="H17" s="210">
        <v>2532.5300000000002</v>
      </c>
      <c r="I17" s="210">
        <v>983.93</v>
      </c>
      <c r="J17" s="210">
        <v>1548.6</v>
      </c>
      <c r="K17" s="61" t="s">
        <v>2355</v>
      </c>
    </row>
    <row r="18" spans="1:11">
      <c r="A18" s="202">
        <v>15</v>
      </c>
      <c r="B18" s="203" t="s">
        <v>1557</v>
      </c>
      <c r="C18" s="61" t="s">
        <v>5</v>
      </c>
      <c r="D18" s="61" t="s">
        <v>4515</v>
      </c>
      <c r="E18" s="209">
        <v>7250000</v>
      </c>
      <c r="F18" s="205">
        <f t="shared" si="0"/>
        <v>7032500</v>
      </c>
      <c r="G18" s="206">
        <f t="shared" si="1"/>
        <v>6815000</v>
      </c>
      <c r="H18" s="210">
        <v>2532.5300000000002</v>
      </c>
      <c r="I18" s="210">
        <v>983.93</v>
      </c>
      <c r="J18" s="210">
        <v>1548.6</v>
      </c>
      <c r="K18" s="61" t="s">
        <v>2354</v>
      </c>
    </row>
    <row r="19" spans="1:11">
      <c r="A19" s="202">
        <v>16</v>
      </c>
      <c r="B19" s="203" t="s">
        <v>1558</v>
      </c>
      <c r="C19" s="61" t="s">
        <v>4485</v>
      </c>
      <c r="D19" s="61" t="s">
        <v>48</v>
      </c>
      <c r="E19" s="209">
        <v>6800000</v>
      </c>
      <c r="F19" s="205">
        <f t="shared" si="0"/>
        <v>6596000</v>
      </c>
      <c r="G19" s="206">
        <f t="shared" si="1"/>
        <v>6392000</v>
      </c>
      <c r="H19" s="210">
        <v>1269.3900000000001</v>
      </c>
      <c r="I19" s="210">
        <v>1013.75</v>
      </c>
      <c r="J19" s="210">
        <v>255.64</v>
      </c>
      <c r="K19" s="61" t="s">
        <v>2356</v>
      </c>
    </row>
    <row r="20" spans="1:11">
      <c r="A20" s="202">
        <v>17</v>
      </c>
      <c r="B20" s="203" t="s">
        <v>1559</v>
      </c>
      <c r="C20" s="61" t="s">
        <v>4484</v>
      </c>
      <c r="D20" s="61" t="s">
        <v>48</v>
      </c>
      <c r="E20" s="209">
        <v>6784000</v>
      </c>
      <c r="F20" s="205">
        <f t="shared" si="0"/>
        <v>6580480</v>
      </c>
      <c r="G20" s="206">
        <f t="shared" si="1"/>
        <v>6376960</v>
      </c>
      <c r="H20" s="210">
        <v>1269.3900000000001</v>
      </c>
      <c r="I20" s="210">
        <v>1013.75</v>
      </c>
      <c r="J20" s="210">
        <v>255.64</v>
      </c>
      <c r="K20" s="61" t="s">
        <v>2356</v>
      </c>
    </row>
    <row r="21" spans="1:11">
      <c r="A21" s="202">
        <v>18</v>
      </c>
      <c r="B21" s="203" t="s">
        <v>1560</v>
      </c>
      <c r="C21" s="61" t="s">
        <v>4516</v>
      </c>
      <c r="D21" s="61" t="s">
        <v>48</v>
      </c>
      <c r="E21" s="209">
        <v>6778000</v>
      </c>
      <c r="F21" s="205">
        <f t="shared" si="0"/>
        <v>6574660</v>
      </c>
      <c r="G21" s="206">
        <f t="shared" si="1"/>
        <v>6371320</v>
      </c>
      <c r="H21" s="210">
        <v>1269.3900000000001</v>
      </c>
      <c r="I21" s="210">
        <v>1013.75</v>
      </c>
      <c r="J21" s="210">
        <v>255.64</v>
      </c>
      <c r="K21" s="61" t="s">
        <v>2356</v>
      </c>
    </row>
    <row r="22" spans="1:11">
      <c r="A22" s="202">
        <v>19</v>
      </c>
      <c r="B22" s="203" t="s">
        <v>1561</v>
      </c>
      <c r="C22" s="61" t="s">
        <v>4502</v>
      </c>
      <c r="D22" s="61" t="s">
        <v>48</v>
      </c>
      <c r="E22" s="209">
        <v>6772000</v>
      </c>
      <c r="F22" s="205">
        <f t="shared" si="0"/>
        <v>6568840</v>
      </c>
      <c r="G22" s="206">
        <f t="shared" si="1"/>
        <v>6365680</v>
      </c>
      <c r="H22" s="210">
        <v>1269.3900000000001</v>
      </c>
      <c r="I22" s="210">
        <v>1013.75</v>
      </c>
      <c r="J22" s="210">
        <v>255.64</v>
      </c>
      <c r="K22" s="61" t="s">
        <v>2356</v>
      </c>
    </row>
    <row r="23" spans="1:11">
      <c r="A23" s="202">
        <v>20</v>
      </c>
      <c r="B23" s="203" t="s">
        <v>1562</v>
      </c>
      <c r="C23" s="61" t="s">
        <v>4501</v>
      </c>
      <c r="D23" s="61" t="s">
        <v>48</v>
      </c>
      <c r="E23" s="209">
        <v>6759000</v>
      </c>
      <c r="F23" s="205">
        <f t="shared" si="0"/>
        <v>6556230</v>
      </c>
      <c r="G23" s="206">
        <f t="shared" si="1"/>
        <v>6353460</v>
      </c>
      <c r="H23" s="210">
        <v>1269.3900000000001</v>
      </c>
      <c r="I23" s="210">
        <v>1013.75</v>
      </c>
      <c r="J23" s="210">
        <v>255.64</v>
      </c>
      <c r="K23" s="61" t="s">
        <v>2356</v>
      </c>
    </row>
    <row r="24" spans="1:11">
      <c r="A24" s="202">
        <v>21</v>
      </c>
      <c r="B24" s="203" t="s">
        <v>1563</v>
      </c>
      <c r="C24" s="61" t="s">
        <v>179</v>
      </c>
      <c r="D24" s="61" t="s">
        <v>48</v>
      </c>
      <c r="E24" s="209">
        <v>6753000</v>
      </c>
      <c r="F24" s="205">
        <f t="shared" si="0"/>
        <v>6550410</v>
      </c>
      <c r="G24" s="206">
        <f t="shared" si="1"/>
        <v>6347820</v>
      </c>
      <c r="H24" s="210">
        <v>1269.3900000000001</v>
      </c>
      <c r="I24" s="210">
        <v>1013.75</v>
      </c>
      <c r="J24" s="210">
        <v>255.64</v>
      </c>
      <c r="K24" s="61" t="s">
        <v>2356</v>
      </c>
    </row>
    <row r="25" spans="1:11">
      <c r="A25" s="202">
        <v>22</v>
      </c>
      <c r="B25" s="203" t="s">
        <v>1564</v>
      </c>
      <c r="C25" s="61" t="s">
        <v>218</v>
      </c>
      <c r="D25" s="61" t="s">
        <v>48</v>
      </c>
      <c r="E25" s="209">
        <v>6746000</v>
      </c>
      <c r="F25" s="205">
        <f t="shared" si="0"/>
        <v>6543620</v>
      </c>
      <c r="G25" s="206">
        <f t="shared" si="1"/>
        <v>6341240</v>
      </c>
      <c r="H25" s="210">
        <v>1269.3900000000001</v>
      </c>
      <c r="I25" s="210">
        <v>1013.75</v>
      </c>
      <c r="J25" s="210">
        <v>255.64</v>
      </c>
      <c r="K25" s="61" t="s">
        <v>2356</v>
      </c>
    </row>
    <row r="26" spans="1:11">
      <c r="A26" s="202">
        <v>23</v>
      </c>
      <c r="B26" s="203" t="s">
        <v>1565</v>
      </c>
      <c r="C26" s="61" t="s">
        <v>4484</v>
      </c>
      <c r="D26" s="61" t="s">
        <v>48</v>
      </c>
      <c r="E26" s="209">
        <v>6699000</v>
      </c>
      <c r="F26" s="205">
        <f t="shared" si="0"/>
        <v>6498030</v>
      </c>
      <c r="G26" s="206">
        <f t="shared" si="1"/>
        <v>6297060</v>
      </c>
      <c r="H26" s="210">
        <v>1203.3</v>
      </c>
      <c r="I26" s="210">
        <v>984.47</v>
      </c>
      <c r="J26" s="210">
        <v>218.83</v>
      </c>
      <c r="K26" s="61" t="s">
        <v>2353</v>
      </c>
    </row>
    <row r="27" spans="1:11">
      <c r="A27" s="202">
        <v>24</v>
      </c>
      <c r="B27" s="203" t="s">
        <v>1566</v>
      </c>
      <c r="C27" s="61" t="s">
        <v>4516</v>
      </c>
      <c r="D27" s="61" t="s">
        <v>48</v>
      </c>
      <c r="E27" s="209">
        <v>6693000</v>
      </c>
      <c r="F27" s="205">
        <f t="shared" si="0"/>
        <v>6492210</v>
      </c>
      <c r="G27" s="206">
        <f t="shared" si="1"/>
        <v>6291420</v>
      </c>
      <c r="H27" s="210">
        <v>1203.3</v>
      </c>
      <c r="I27" s="210">
        <v>984.47</v>
      </c>
      <c r="J27" s="210">
        <v>218.83</v>
      </c>
      <c r="K27" s="61" t="s">
        <v>2353</v>
      </c>
    </row>
    <row r="28" spans="1:11">
      <c r="A28" s="202">
        <v>25</v>
      </c>
      <c r="B28" s="203" t="s">
        <v>1567</v>
      </c>
      <c r="C28" s="61" t="s">
        <v>181</v>
      </c>
      <c r="D28" s="61" t="s">
        <v>48</v>
      </c>
      <c r="E28" s="209">
        <v>6685000</v>
      </c>
      <c r="F28" s="205">
        <f t="shared" si="0"/>
        <v>6484450</v>
      </c>
      <c r="G28" s="206">
        <f t="shared" si="1"/>
        <v>6283900</v>
      </c>
      <c r="H28" s="210">
        <v>1269.3900000000001</v>
      </c>
      <c r="I28" s="210">
        <v>1013.75</v>
      </c>
      <c r="J28" s="210">
        <v>255.64</v>
      </c>
      <c r="K28" s="61" t="s">
        <v>2356</v>
      </c>
    </row>
    <row r="29" spans="1:11">
      <c r="A29" s="202">
        <v>26</v>
      </c>
      <c r="B29" s="203" t="s">
        <v>1568</v>
      </c>
      <c r="C29" s="61" t="s">
        <v>4454</v>
      </c>
      <c r="D29" s="61" t="s">
        <v>48</v>
      </c>
      <c r="E29" s="209">
        <v>6678000</v>
      </c>
      <c r="F29" s="205">
        <f t="shared" si="0"/>
        <v>6477660</v>
      </c>
      <c r="G29" s="206">
        <f t="shared" si="1"/>
        <v>6277320</v>
      </c>
      <c r="H29" s="210">
        <v>1269.3900000000001</v>
      </c>
      <c r="I29" s="210">
        <v>1013.75</v>
      </c>
      <c r="J29" s="210">
        <v>255.64</v>
      </c>
      <c r="K29" s="61" t="s">
        <v>2356</v>
      </c>
    </row>
    <row r="30" spans="1:11">
      <c r="A30" s="202">
        <v>27</v>
      </c>
      <c r="B30" s="203" t="s">
        <v>1569</v>
      </c>
      <c r="C30" s="61" t="s">
        <v>4501</v>
      </c>
      <c r="D30" s="61" t="s">
        <v>48</v>
      </c>
      <c r="E30" s="209">
        <v>6674000</v>
      </c>
      <c r="F30" s="205">
        <f t="shared" si="0"/>
        <v>6473780</v>
      </c>
      <c r="G30" s="206">
        <f t="shared" si="1"/>
        <v>6273560</v>
      </c>
      <c r="H30" s="210">
        <v>1203.3</v>
      </c>
      <c r="I30" s="210">
        <v>984.47</v>
      </c>
      <c r="J30" s="210">
        <v>218.83</v>
      </c>
      <c r="K30" s="61" t="s">
        <v>2353</v>
      </c>
    </row>
    <row r="31" spans="1:11">
      <c r="A31" s="202">
        <v>28</v>
      </c>
      <c r="B31" s="203" t="s">
        <v>1570</v>
      </c>
      <c r="C31" s="61" t="s">
        <v>179</v>
      </c>
      <c r="D31" s="61" t="s">
        <v>48</v>
      </c>
      <c r="E31" s="209">
        <v>6668000</v>
      </c>
      <c r="F31" s="205">
        <f t="shared" si="0"/>
        <v>6467960</v>
      </c>
      <c r="G31" s="206">
        <f t="shared" si="1"/>
        <v>6267920</v>
      </c>
      <c r="H31" s="210">
        <v>1203.3</v>
      </c>
      <c r="I31" s="210">
        <v>984.47</v>
      </c>
      <c r="J31" s="210">
        <v>218.83</v>
      </c>
      <c r="K31" s="61" t="s">
        <v>2353</v>
      </c>
    </row>
    <row r="32" spans="1:11">
      <c r="A32" s="202">
        <v>29</v>
      </c>
      <c r="B32" s="203" t="s">
        <v>1571</v>
      </c>
      <c r="C32" s="61" t="s">
        <v>4499</v>
      </c>
      <c r="D32" s="61" t="s">
        <v>48</v>
      </c>
      <c r="E32" s="209">
        <v>6666000</v>
      </c>
      <c r="F32" s="205">
        <f t="shared" si="0"/>
        <v>6466020</v>
      </c>
      <c r="G32" s="206">
        <f t="shared" si="1"/>
        <v>6266040</v>
      </c>
      <c r="H32" s="210">
        <v>1269.3900000000001</v>
      </c>
      <c r="I32" s="210">
        <v>1013.75</v>
      </c>
      <c r="J32" s="210">
        <v>255.64</v>
      </c>
      <c r="K32" s="61" t="s">
        <v>2356</v>
      </c>
    </row>
    <row r="33" spans="1:11">
      <c r="A33" s="202">
        <v>30</v>
      </c>
      <c r="B33" s="203" t="s">
        <v>1572</v>
      </c>
      <c r="C33" s="61" t="s">
        <v>218</v>
      </c>
      <c r="D33" s="61" t="s">
        <v>48</v>
      </c>
      <c r="E33" s="209">
        <v>6662000</v>
      </c>
      <c r="F33" s="205">
        <f t="shared" si="0"/>
        <v>6462140</v>
      </c>
      <c r="G33" s="206">
        <f t="shared" si="1"/>
        <v>6262280</v>
      </c>
      <c r="H33" s="210">
        <v>1203.3</v>
      </c>
      <c r="I33" s="210">
        <v>984.47</v>
      </c>
      <c r="J33" s="210">
        <v>218.83</v>
      </c>
      <c r="K33" s="61" t="s">
        <v>2353</v>
      </c>
    </row>
    <row r="34" spans="1:11">
      <c r="A34" s="202">
        <v>31</v>
      </c>
      <c r="B34" s="203" t="s">
        <v>1573</v>
      </c>
      <c r="C34" s="61" t="s">
        <v>4480</v>
      </c>
      <c r="D34" s="61" t="s">
        <v>48</v>
      </c>
      <c r="E34" s="209">
        <v>6660000</v>
      </c>
      <c r="F34" s="205">
        <f t="shared" si="0"/>
        <v>6460200</v>
      </c>
      <c r="G34" s="206">
        <f t="shared" si="1"/>
        <v>6260400</v>
      </c>
      <c r="H34" s="210">
        <v>1269.3900000000001</v>
      </c>
      <c r="I34" s="210">
        <v>1013.75</v>
      </c>
      <c r="J34" s="210">
        <v>255.64</v>
      </c>
      <c r="K34" s="61" t="s">
        <v>2356</v>
      </c>
    </row>
    <row r="35" spans="1:11">
      <c r="A35" s="202">
        <v>32</v>
      </c>
      <c r="B35" s="203" t="s">
        <v>1574</v>
      </c>
      <c r="C35" s="61" t="s">
        <v>4497</v>
      </c>
      <c r="D35" s="61" t="s">
        <v>48</v>
      </c>
      <c r="E35" s="209">
        <v>6653000</v>
      </c>
      <c r="F35" s="205">
        <f t="shared" si="0"/>
        <v>6453410</v>
      </c>
      <c r="G35" s="206">
        <f t="shared" si="1"/>
        <v>6253820</v>
      </c>
      <c r="H35" s="210">
        <v>1269.3900000000001</v>
      </c>
      <c r="I35" s="210">
        <v>1013.75</v>
      </c>
      <c r="J35" s="210">
        <v>255.64</v>
      </c>
      <c r="K35" s="61" t="s">
        <v>2356</v>
      </c>
    </row>
    <row r="36" spans="1:11">
      <c r="A36" s="202">
        <v>33</v>
      </c>
      <c r="B36" s="203" t="s">
        <v>1575</v>
      </c>
      <c r="C36" s="61" t="s">
        <v>4476</v>
      </c>
      <c r="D36" s="61" t="s">
        <v>48</v>
      </c>
      <c r="E36" s="209">
        <v>6634000</v>
      </c>
      <c r="F36" s="205">
        <f t="shared" si="0"/>
        <v>6434980</v>
      </c>
      <c r="G36" s="206">
        <f t="shared" si="1"/>
        <v>6235960</v>
      </c>
      <c r="H36" s="210">
        <v>1269.3900000000001</v>
      </c>
      <c r="I36" s="210">
        <v>1013.75</v>
      </c>
      <c r="J36" s="210">
        <v>255.64</v>
      </c>
      <c r="K36" s="61" t="s">
        <v>2356</v>
      </c>
    </row>
    <row r="37" spans="1:11">
      <c r="A37" s="202">
        <v>34</v>
      </c>
      <c r="B37" s="203" t="s">
        <v>1576</v>
      </c>
      <c r="C37" s="61" t="s">
        <v>4475</v>
      </c>
      <c r="D37" s="61" t="s">
        <v>48</v>
      </c>
      <c r="E37" s="209">
        <v>6628000</v>
      </c>
      <c r="F37" s="205">
        <f t="shared" si="0"/>
        <v>6429160</v>
      </c>
      <c r="G37" s="206">
        <f t="shared" si="1"/>
        <v>6230320</v>
      </c>
      <c r="H37" s="210">
        <v>1269.3900000000001</v>
      </c>
      <c r="I37" s="210">
        <v>1013.75</v>
      </c>
      <c r="J37" s="210">
        <v>255.64</v>
      </c>
      <c r="K37" s="61" t="s">
        <v>2356</v>
      </c>
    </row>
    <row r="38" spans="1:11">
      <c r="A38" s="202">
        <v>35</v>
      </c>
      <c r="B38" s="203" t="s">
        <v>1577</v>
      </c>
      <c r="C38" s="61" t="s">
        <v>4454</v>
      </c>
      <c r="D38" s="61" t="s">
        <v>48</v>
      </c>
      <c r="E38" s="209">
        <v>6625000</v>
      </c>
      <c r="F38" s="205">
        <f t="shared" si="0"/>
        <v>6426250</v>
      </c>
      <c r="G38" s="206">
        <f t="shared" si="1"/>
        <v>6227500</v>
      </c>
      <c r="H38" s="210">
        <v>1203.3</v>
      </c>
      <c r="I38" s="210">
        <v>984.47</v>
      </c>
      <c r="J38" s="210">
        <v>218.83</v>
      </c>
      <c r="K38" s="61" t="s">
        <v>2353</v>
      </c>
    </row>
    <row r="39" spans="1:11">
      <c r="A39" s="202">
        <v>36</v>
      </c>
      <c r="B39" s="203" t="s">
        <v>1578</v>
      </c>
      <c r="C39" s="61" t="s">
        <v>4473</v>
      </c>
      <c r="D39" s="61" t="s">
        <v>48</v>
      </c>
      <c r="E39" s="209">
        <v>6615000</v>
      </c>
      <c r="F39" s="205">
        <f t="shared" si="0"/>
        <v>6416550</v>
      </c>
      <c r="G39" s="206">
        <f t="shared" si="1"/>
        <v>6218100</v>
      </c>
      <c r="H39" s="210">
        <v>1269.3900000000001</v>
      </c>
      <c r="I39" s="210">
        <v>1013.75</v>
      </c>
      <c r="J39" s="210">
        <v>255.64</v>
      </c>
      <c r="K39" s="61" t="s">
        <v>2356</v>
      </c>
    </row>
    <row r="40" spans="1:11">
      <c r="A40" s="202">
        <v>37</v>
      </c>
      <c r="B40" s="203" t="s">
        <v>1579</v>
      </c>
      <c r="C40" s="61" t="s">
        <v>4499</v>
      </c>
      <c r="D40" s="61" t="s">
        <v>48</v>
      </c>
      <c r="E40" s="209">
        <v>6613000</v>
      </c>
      <c r="F40" s="205">
        <f t="shared" si="0"/>
        <v>6414610</v>
      </c>
      <c r="G40" s="206">
        <f t="shared" si="1"/>
        <v>6216220</v>
      </c>
      <c r="H40" s="210">
        <v>1203.3</v>
      </c>
      <c r="I40" s="210">
        <v>984.47</v>
      </c>
      <c r="J40" s="210">
        <v>218.83</v>
      </c>
      <c r="K40" s="61" t="s">
        <v>2353</v>
      </c>
    </row>
    <row r="41" spans="1:11">
      <c r="A41" s="202">
        <v>38</v>
      </c>
      <c r="B41" s="203" t="s">
        <v>1580</v>
      </c>
      <c r="C41" s="61" t="s">
        <v>4471</v>
      </c>
      <c r="D41" s="61" t="s">
        <v>48</v>
      </c>
      <c r="E41" s="209">
        <v>6603000</v>
      </c>
      <c r="F41" s="205">
        <f t="shared" si="0"/>
        <v>6404910</v>
      </c>
      <c r="G41" s="206">
        <f t="shared" si="1"/>
        <v>6206820</v>
      </c>
      <c r="H41" s="210">
        <v>1269.3900000000001</v>
      </c>
      <c r="I41" s="210">
        <v>1013.75</v>
      </c>
      <c r="J41" s="210">
        <v>255.64</v>
      </c>
      <c r="K41" s="61" t="s">
        <v>2356</v>
      </c>
    </row>
    <row r="42" spans="1:11">
      <c r="A42" s="202">
        <v>39</v>
      </c>
      <c r="B42" s="203" t="s">
        <v>1581</v>
      </c>
      <c r="C42" s="61" t="s">
        <v>4497</v>
      </c>
      <c r="D42" s="61" t="s">
        <v>48</v>
      </c>
      <c r="E42" s="209">
        <v>6600000</v>
      </c>
      <c r="F42" s="205">
        <f t="shared" si="0"/>
        <v>6402000</v>
      </c>
      <c r="G42" s="206">
        <f t="shared" si="1"/>
        <v>6204000</v>
      </c>
      <c r="H42" s="210">
        <v>1203.3</v>
      </c>
      <c r="I42" s="210">
        <v>984.47</v>
      </c>
      <c r="J42" s="210">
        <v>218.83</v>
      </c>
      <c r="K42" s="61" t="s">
        <v>2353</v>
      </c>
    </row>
    <row r="43" spans="1:11">
      <c r="A43" s="202">
        <v>40</v>
      </c>
      <c r="B43" s="203" t="s">
        <v>1582</v>
      </c>
      <c r="C43" s="61" t="s">
        <v>4470</v>
      </c>
      <c r="D43" s="61" t="s">
        <v>48</v>
      </c>
      <c r="E43" s="209">
        <v>6596000</v>
      </c>
      <c r="F43" s="205">
        <f t="shared" si="0"/>
        <v>6398120</v>
      </c>
      <c r="G43" s="206">
        <f t="shared" si="1"/>
        <v>6200240</v>
      </c>
      <c r="H43" s="210">
        <v>1269.3900000000001</v>
      </c>
      <c r="I43" s="210">
        <v>1013.75</v>
      </c>
      <c r="J43" s="210">
        <v>255.64</v>
      </c>
      <c r="K43" s="61" t="s">
        <v>2356</v>
      </c>
    </row>
    <row r="44" spans="1:11">
      <c r="A44" s="202">
        <v>41</v>
      </c>
      <c r="B44" s="203" t="s">
        <v>4567</v>
      </c>
      <c r="C44" s="61" t="s">
        <v>4468</v>
      </c>
      <c r="D44" s="61" t="s">
        <v>48</v>
      </c>
      <c r="E44" s="209">
        <v>6584000</v>
      </c>
      <c r="F44" s="205">
        <f t="shared" si="0"/>
        <v>6386480</v>
      </c>
      <c r="G44" s="206">
        <f t="shared" si="1"/>
        <v>6188960</v>
      </c>
      <c r="H44" s="210">
        <v>1269.3900000000001</v>
      </c>
      <c r="I44" s="210">
        <v>1013.75</v>
      </c>
      <c r="J44" s="210">
        <v>255.64</v>
      </c>
      <c r="K44" s="61" t="s">
        <v>2356</v>
      </c>
    </row>
    <row r="45" spans="1:11">
      <c r="A45" s="202">
        <v>42</v>
      </c>
      <c r="B45" s="203" t="s">
        <v>1583</v>
      </c>
      <c r="C45" s="61" t="s">
        <v>4467</v>
      </c>
      <c r="D45" s="61" t="s">
        <v>48</v>
      </c>
      <c r="E45" s="209">
        <v>6577000</v>
      </c>
      <c r="F45" s="205">
        <f t="shared" si="0"/>
        <v>6379690</v>
      </c>
      <c r="G45" s="206">
        <f t="shared" si="1"/>
        <v>6182380</v>
      </c>
      <c r="H45" s="210">
        <v>1269.3900000000001</v>
      </c>
      <c r="I45" s="210">
        <v>1013.75</v>
      </c>
      <c r="J45" s="210">
        <v>255.64</v>
      </c>
      <c r="K45" s="61" t="s">
        <v>2356</v>
      </c>
    </row>
    <row r="46" spans="1:11">
      <c r="A46" s="202">
        <v>43</v>
      </c>
      <c r="B46" s="203" t="s">
        <v>1584</v>
      </c>
      <c r="C46" s="61" t="s">
        <v>4475</v>
      </c>
      <c r="D46" s="61" t="s">
        <v>48</v>
      </c>
      <c r="E46" s="209">
        <v>6576000</v>
      </c>
      <c r="F46" s="205">
        <f t="shared" si="0"/>
        <v>6378720</v>
      </c>
      <c r="G46" s="206">
        <f t="shared" si="1"/>
        <v>6181440</v>
      </c>
      <c r="H46" s="210">
        <v>1203.4100000000001</v>
      </c>
      <c r="I46" s="210">
        <v>984.57</v>
      </c>
      <c r="J46" s="210">
        <v>218.83</v>
      </c>
      <c r="K46" s="61" t="s">
        <v>2353</v>
      </c>
    </row>
    <row r="47" spans="1:11">
      <c r="A47" s="202">
        <v>44</v>
      </c>
      <c r="B47" s="203" t="s">
        <v>1585</v>
      </c>
      <c r="C47" s="61" t="s">
        <v>4465</v>
      </c>
      <c r="D47" s="61" t="s">
        <v>48</v>
      </c>
      <c r="E47" s="209">
        <v>6565000</v>
      </c>
      <c r="F47" s="205">
        <f t="shared" si="0"/>
        <v>6368050</v>
      </c>
      <c r="G47" s="206">
        <f t="shared" si="1"/>
        <v>6171100</v>
      </c>
      <c r="H47" s="210">
        <v>1269.3900000000001</v>
      </c>
      <c r="I47" s="210">
        <v>1013.75</v>
      </c>
      <c r="J47" s="210">
        <v>255.64</v>
      </c>
      <c r="K47" s="61" t="s">
        <v>2356</v>
      </c>
    </row>
    <row r="48" spans="1:11">
      <c r="A48" s="202">
        <v>45</v>
      </c>
      <c r="B48" s="203" t="s">
        <v>1586</v>
      </c>
      <c r="C48" s="61" t="s">
        <v>4473</v>
      </c>
      <c r="D48" s="61" t="s">
        <v>48</v>
      </c>
      <c r="E48" s="209">
        <v>6563000</v>
      </c>
      <c r="F48" s="205">
        <f t="shared" si="0"/>
        <v>6366110</v>
      </c>
      <c r="G48" s="206">
        <f t="shared" si="1"/>
        <v>6169220</v>
      </c>
      <c r="H48" s="210">
        <v>1203.3</v>
      </c>
      <c r="I48" s="210">
        <v>984.47</v>
      </c>
      <c r="J48" s="210">
        <v>218.83</v>
      </c>
      <c r="K48" s="61" t="s">
        <v>2353</v>
      </c>
    </row>
    <row r="49" spans="1:11">
      <c r="A49" s="202">
        <v>46</v>
      </c>
      <c r="B49" s="203" t="s">
        <v>1587</v>
      </c>
      <c r="C49" s="61" t="s">
        <v>4464</v>
      </c>
      <c r="D49" s="61" t="s">
        <v>48</v>
      </c>
      <c r="E49" s="209">
        <v>6558000</v>
      </c>
      <c r="F49" s="205">
        <f t="shared" si="0"/>
        <v>6361260</v>
      </c>
      <c r="G49" s="206">
        <f t="shared" si="1"/>
        <v>6164520</v>
      </c>
      <c r="H49" s="210">
        <v>1269.3900000000001</v>
      </c>
      <c r="I49" s="210">
        <v>1013.75</v>
      </c>
      <c r="J49" s="210">
        <v>255.64</v>
      </c>
      <c r="K49" s="61" t="s">
        <v>2356</v>
      </c>
    </row>
    <row r="50" spans="1:11">
      <c r="A50" s="202">
        <v>47</v>
      </c>
      <c r="B50" s="203" t="s">
        <v>1588</v>
      </c>
      <c r="C50" s="61" t="s">
        <v>4463</v>
      </c>
      <c r="D50" s="61" t="s">
        <v>48</v>
      </c>
      <c r="E50" s="209">
        <v>6552000</v>
      </c>
      <c r="F50" s="205">
        <f t="shared" si="0"/>
        <v>6355440</v>
      </c>
      <c r="G50" s="206">
        <f t="shared" si="1"/>
        <v>6158880</v>
      </c>
      <c r="H50" s="210">
        <v>1269.3900000000001</v>
      </c>
      <c r="I50" s="210">
        <v>1013.75</v>
      </c>
      <c r="J50" s="210">
        <v>255.64</v>
      </c>
      <c r="K50" s="61" t="s">
        <v>2356</v>
      </c>
    </row>
    <row r="51" spans="1:11">
      <c r="A51" s="202">
        <v>48</v>
      </c>
      <c r="B51" s="203" t="s">
        <v>1589</v>
      </c>
      <c r="C51" s="61" t="s">
        <v>4471</v>
      </c>
      <c r="D51" s="61" t="s">
        <v>48</v>
      </c>
      <c r="E51" s="209">
        <v>6551000</v>
      </c>
      <c r="F51" s="205">
        <f t="shared" si="0"/>
        <v>6354470</v>
      </c>
      <c r="G51" s="206">
        <f t="shared" si="1"/>
        <v>6157940</v>
      </c>
      <c r="H51" s="210">
        <v>1203.3</v>
      </c>
      <c r="I51" s="210">
        <v>984.47</v>
      </c>
      <c r="J51" s="210">
        <v>218.83</v>
      </c>
      <c r="K51" s="61" t="s">
        <v>2353</v>
      </c>
    </row>
    <row r="52" spans="1:11">
      <c r="A52" s="202">
        <v>49</v>
      </c>
      <c r="B52" s="203" t="s">
        <v>1590</v>
      </c>
      <c r="C52" s="61" t="s">
        <v>4495</v>
      </c>
      <c r="D52" s="61" t="s">
        <v>48</v>
      </c>
      <c r="E52" s="209">
        <v>6539000</v>
      </c>
      <c r="F52" s="205">
        <f t="shared" si="0"/>
        <v>6342830</v>
      </c>
      <c r="G52" s="206">
        <f t="shared" si="1"/>
        <v>6146660</v>
      </c>
      <c r="H52" s="210">
        <v>1269.3900000000001</v>
      </c>
      <c r="I52" s="210">
        <v>1013.75</v>
      </c>
      <c r="J52" s="210">
        <v>255.64</v>
      </c>
      <c r="K52" s="61" t="s">
        <v>2356</v>
      </c>
    </row>
    <row r="53" spans="1:11">
      <c r="A53" s="202">
        <v>50</v>
      </c>
      <c r="B53" s="203" t="s">
        <v>1591</v>
      </c>
      <c r="C53" s="61" t="s">
        <v>33</v>
      </c>
      <c r="D53" s="61" t="s">
        <v>48</v>
      </c>
      <c r="E53" s="209">
        <v>6527000</v>
      </c>
      <c r="F53" s="205">
        <f t="shared" si="0"/>
        <v>6331190</v>
      </c>
      <c r="G53" s="206">
        <f t="shared" si="1"/>
        <v>6135380</v>
      </c>
      <c r="H53" s="210">
        <v>1269.3900000000001</v>
      </c>
      <c r="I53" s="210">
        <v>1013.75</v>
      </c>
      <c r="J53" s="210">
        <v>255.64</v>
      </c>
      <c r="K53" s="61" t="s">
        <v>2356</v>
      </c>
    </row>
    <row r="54" spans="1:11">
      <c r="A54" s="202">
        <v>51</v>
      </c>
      <c r="B54" s="203" t="s">
        <v>1592</v>
      </c>
      <c r="C54" s="61" t="s">
        <v>4467</v>
      </c>
      <c r="D54" s="61" t="s">
        <v>48</v>
      </c>
      <c r="E54" s="209">
        <v>6526000</v>
      </c>
      <c r="F54" s="205">
        <f t="shared" si="0"/>
        <v>6330220</v>
      </c>
      <c r="G54" s="206">
        <f t="shared" si="1"/>
        <v>6134440</v>
      </c>
      <c r="H54" s="210">
        <v>1203.3</v>
      </c>
      <c r="I54" s="210">
        <v>984.47</v>
      </c>
      <c r="J54" s="210">
        <v>218.83</v>
      </c>
      <c r="K54" s="61" t="s">
        <v>2353</v>
      </c>
    </row>
    <row r="55" spans="1:11">
      <c r="A55" s="202">
        <v>52</v>
      </c>
      <c r="B55" s="203" t="s">
        <v>1593</v>
      </c>
      <c r="C55" s="61" t="s">
        <v>4461</v>
      </c>
      <c r="D55" s="61" t="s">
        <v>48</v>
      </c>
      <c r="E55" s="209">
        <v>6514000</v>
      </c>
      <c r="F55" s="205">
        <f t="shared" si="0"/>
        <v>6318580</v>
      </c>
      <c r="G55" s="206">
        <f t="shared" si="1"/>
        <v>6123160</v>
      </c>
      <c r="H55" s="210">
        <v>1269.3900000000001</v>
      </c>
      <c r="I55" s="210">
        <v>1013.75</v>
      </c>
      <c r="J55" s="210">
        <v>255.64</v>
      </c>
      <c r="K55" s="61" t="s">
        <v>2356</v>
      </c>
    </row>
    <row r="56" spans="1:11">
      <c r="A56" s="202">
        <v>53</v>
      </c>
      <c r="B56" s="203" t="s">
        <v>1594</v>
      </c>
      <c r="C56" s="61" t="s">
        <v>4465</v>
      </c>
      <c r="D56" s="61" t="s">
        <v>48</v>
      </c>
      <c r="E56" s="209">
        <v>6514000</v>
      </c>
      <c r="F56" s="205">
        <f t="shared" si="0"/>
        <v>6318580</v>
      </c>
      <c r="G56" s="206">
        <f t="shared" si="1"/>
        <v>6123160</v>
      </c>
      <c r="H56" s="210">
        <v>1203.3</v>
      </c>
      <c r="I56" s="210">
        <v>984.47</v>
      </c>
      <c r="J56" s="210">
        <v>218.83</v>
      </c>
      <c r="K56" s="61" t="s">
        <v>2353</v>
      </c>
    </row>
    <row r="57" spans="1:11">
      <c r="A57" s="202">
        <v>54</v>
      </c>
      <c r="B57" s="203" t="s">
        <v>1595</v>
      </c>
      <c r="C57" s="61" t="s">
        <v>4460</v>
      </c>
      <c r="D57" s="61" t="s">
        <v>48</v>
      </c>
      <c r="E57" s="209">
        <v>6508000</v>
      </c>
      <c r="F57" s="205">
        <f t="shared" si="0"/>
        <v>6312760</v>
      </c>
      <c r="G57" s="206">
        <f t="shared" si="1"/>
        <v>6117520</v>
      </c>
      <c r="H57" s="210">
        <v>1269.3900000000001</v>
      </c>
      <c r="I57" s="210">
        <v>1013.75</v>
      </c>
      <c r="J57" s="210">
        <v>255.64</v>
      </c>
      <c r="K57" s="61" t="s">
        <v>2356</v>
      </c>
    </row>
    <row r="58" spans="1:11">
      <c r="A58" s="202">
        <v>55</v>
      </c>
      <c r="B58" s="203" t="s">
        <v>1596</v>
      </c>
      <c r="C58" s="61" t="s">
        <v>4463</v>
      </c>
      <c r="D58" s="61" t="s">
        <v>48</v>
      </c>
      <c r="E58" s="209">
        <v>6502000</v>
      </c>
      <c r="F58" s="205">
        <f t="shared" si="0"/>
        <v>6306940</v>
      </c>
      <c r="G58" s="206">
        <f t="shared" si="1"/>
        <v>6111880</v>
      </c>
      <c r="H58" s="210">
        <v>1203.3</v>
      </c>
      <c r="I58" s="210">
        <v>984.47</v>
      </c>
      <c r="J58" s="210">
        <v>218.83</v>
      </c>
      <c r="K58" s="61" t="s">
        <v>2353</v>
      </c>
    </row>
    <row r="59" spans="1:11">
      <c r="A59" s="202">
        <v>56</v>
      </c>
      <c r="B59" s="203" t="s">
        <v>1597</v>
      </c>
      <c r="C59" s="61" t="s">
        <v>11</v>
      </c>
      <c r="D59" s="61" t="s">
        <v>48</v>
      </c>
      <c r="E59" s="209">
        <v>6501000</v>
      </c>
      <c r="F59" s="205">
        <f t="shared" si="0"/>
        <v>6305970</v>
      </c>
      <c r="G59" s="206">
        <f t="shared" si="1"/>
        <v>6110940</v>
      </c>
      <c r="H59" s="210">
        <v>1269.3900000000001</v>
      </c>
      <c r="I59" s="210">
        <v>1013.75</v>
      </c>
      <c r="J59" s="210">
        <v>255.64</v>
      </c>
      <c r="K59" s="61" t="s">
        <v>2356</v>
      </c>
    </row>
    <row r="60" spans="1:11">
      <c r="A60" s="202">
        <v>57</v>
      </c>
      <c r="B60" s="203" t="s">
        <v>1598</v>
      </c>
      <c r="C60" s="61" t="s">
        <v>33</v>
      </c>
      <c r="D60" s="61" t="s">
        <v>48</v>
      </c>
      <c r="E60" s="209">
        <v>6477000</v>
      </c>
      <c r="F60" s="205">
        <f t="shared" si="0"/>
        <v>6282690</v>
      </c>
      <c r="G60" s="206">
        <f t="shared" si="1"/>
        <v>6088380</v>
      </c>
      <c r="H60" s="210">
        <v>1203.3</v>
      </c>
      <c r="I60" s="210">
        <v>984.47</v>
      </c>
      <c r="J60" s="210">
        <v>218.83</v>
      </c>
      <c r="K60" s="61" t="s">
        <v>2353</v>
      </c>
    </row>
    <row r="61" spans="1:11">
      <c r="A61" s="202">
        <v>58</v>
      </c>
      <c r="B61" s="203" t="s">
        <v>1599</v>
      </c>
      <c r="C61" s="61" t="s">
        <v>5</v>
      </c>
      <c r="D61" s="61" t="s">
        <v>48</v>
      </c>
      <c r="E61" s="209">
        <v>6476000</v>
      </c>
      <c r="F61" s="205">
        <f t="shared" si="0"/>
        <v>6281720</v>
      </c>
      <c r="G61" s="206">
        <f t="shared" si="1"/>
        <v>6087440</v>
      </c>
      <c r="H61" s="210">
        <v>1269.3900000000001</v>
      </c>
      <c r="I61" s="210">
        <v>1013.75</v>
      </c>
      <c r="J61" s="210">
        <v>255.64</v>
      </c>
      <c r="K61" s="61" t="s">
        <v>2356</v>
      </c>
    </row>
    <row r="62" spans="1:11">
      <c r="A62" s="202">
        <v>59</v>
      </c>
      <c r="B62" s="203" t="s">
        <v>1600</v>
      </c>
      <c r="C62" s="61" t="s">
        <v>4</v>
      </c>
      <c r="D62" s="61" t="s">
        <v>48</v>
      </c>
      <c r="E62" s="209">
        <v>6470000</v>
      </c>
      <c r="F62" s="205">
        <f t="shared" si="0"/>
        <v>6275900</v>
      </c>
      <c r="G62" s="206">
        <f t="shared" si="1"/>
        <v>6081800</v>
      </c>
      <c r="H62" s="210">
        <v>1269.3900000000001</v>
      </c>
      <c r="I62" s="210">
        <v>1013.75</v>
      </c>
      <c r="J62" s="210">
        <v>255.64</v>
      </c>
      <c r="K62" s="61" t="s">
        <v>2356</v>
      </c>
    </row>
    <row r="63" spans="1:11">
      <c r="A63" s="202">
        <v>60</v>
      </c>
      <c r="B63" s="203" t="s">
        <v>1601</v>
      </c>
      <c r="C63" s="61" t="s">
        <v>4458</v>
      </c>
      <c r="D63" s="61" t="s">
        <v>48</v>
      </c>
      <c r="E63" s="209">
        <v>6463000</v>
      </c>
      <c r="F63" s="205">
        <f t="shared" si="0"/>
        <v>6269110</v>
      </c>
      <c r="G63" s="206">
        <f t="shared" si="1"/>
        <v>6075220</v>
      </c>
      <c r="H63" s="210">
        <v>1269.3900000000001</v>
      </c>
      <c r="I63" s="210">
        <v>1013.75</v>
      </c>
      <c r="J63" s="210">
        <v>255.64</v>
      </c>
      <c r="K63" s="61" t="s">
        <v>2356</v>
      </c>
    </row>
    <row r="64" spans="1:11">
      <c r="A64" s="202">
        <v>61</v>
      </c>
      <c r="B64" s="203" t="s">
        <v>1602</v>
      </c>
      <c r="C64" s="61" t="s">
        <v>6</v>
      </c>
      <c r="D64" s="61" t="s">
        <v>48</v>
      </c>
      <c r="E64" s="209">
        <v>6457000</v>
      </c>
      <c r="F64" s="205">
        <f t="shared" si="0"/>
        <v>6263290</v>
      </c>
      <c r="G64" s="206">
        <f t="shared" si="1"/>
        <v>6069580</v>
      </c>
      <c r="H64" s="210">
        <v>1269.3900000000001</v>
      </c>
      <c r="I64" s="210">
        <v>1013.75</v>
      </c>
      <c r="J64" s="210">
        <v>255.64</v>
      </c>
      <c r="K64" s="61" t="s">
        <v>2356</v>
      </c>
    </row>
    <row r="65" spans="1:11">
      <c r="A65" s="202">
        <v>62</v>
      </c>
      <c r="B65" s="203" t="s">
        <v>1603</v>
      </c>
      <c r="C65" s="61" t="s">
        <v>7</v>
      </c>
      <c r="D65" s="61" t="s">
        <v>48</v>
      </c>
      <c r="E65" s="209">
        <v>6451000</v>
      </c>
      <c r="F65" s="205">
        <f t="shared" si="0"/>
        <v>6257470</v>
      </c>
      <c r="G65" s="206">
        <f t="shared" si="1"/>
        <v>6063940</v>
      </c>
      <c r="H65" s="210">
        <v>1269.3900000000001</v>
      </c>
      <c r="I65" s="210">
        <v>1013.75</v>
      </c>
      <c r="J65" s="210">
        <v>255.64</v>
      </c>
      <c r="K65" s="61" t="s">
        <v>2356</v>
      </c>
    </row>
    <row r="66" spans="1:11">
      <c r="A66" s="202">
        <v>63</v>
      </c>
      <c r="B66" s="203" t="s">
        <v>1604</v>
      </c>
      <c r="C66" s="61" t="s">
        <v>8</v>
      </c>
      <c r="D66" s="61" t="s">
        <v>48</v>
      </c>
      <c r="E66" s="209">
        <v>6444000</v>
      </c>
      <c r="F66" s="205">
        <f t="shared" si="0"/>
        <v>6250680</v>
      </c>
      <c r="G66" s="206">
        <f t="shared" si="1"/>
        <v>6057360</v>
      </c>
      <c r="H66" s="210">
        <v>1269.3900000000001</v>
      </c>
      <c r="I66" s="210">
        <v>1013.75</v>
      </c>
      <c r="J66" s="210">
        <v>255.64</v>
      </c>
      <c r="K66" s="61" t="s">
        <v>2356</v>
      </c>
    </row>
    <row r="67" spans="1:11">
      <c r="A67" s="202">
        <v>64</v>
      </c>
      <c r="B67" s="203" t="s">
        <v>1605</v>
      </c>
      <c r="C67" s="61" t="s">
        <v>10</v>
      </c>
      <c r="D67" s="61" t="s">
        <v>48</v>
      </c>
      <c r="E67" s="209">
        <v>6432000</v>
      </c>
      <c r="F67" s="205">
        <f t="shared" si="0"/>
        <v>6239040</v>
      </c>
      <c r="G67" s="206">
        <f t="shared" si="1"/>
        <v>6046080</v>
      </c>
      <c r="H67" s="210">
        <v>1269.3900000000001</v>
      </c>
      <c r="I67" s="210">
        <v>1013.75</v>
      </c>
      <c r="J67" s="210">
        <v>255.64</v>
      </c>
      <c r="K67" s="61" t="s">
        <v>2356</v>
      </c>
    </row>
    <row r="68" spans="1:11">
      <c r="A68" s="202">
        <v>65</v>
      </c>
      <c r="B68" s="203" t="s">
        <v>1606</v>
      </c>
      <c r="C68" s="61" t="s">
        <v>3</v>
      </c>
      <c r="D68" s="61" t="s">
        <v>48</v>
      </c>
      <c r="E68" s="209">
        <v>6426000</v>
      </c>
      <c r="F68" s="205">
        <f t="shared" si="0"/>
        <v>6233220</v>
      </c>
      <c r="G68" s="206">
        <f t="shared" si="1"/>
        <v>6040440</v>
      </c>
      <c r="H68" s="210">
        <v>1269.3900000000001</v>
      </c>
      <c r="I68" s="210">
        <v>1013.75</v>
      </c>
      <c r="J68" s="210">
        <v>255.64</v>
      </c>
      <c r="K68" s="61" t="s">
        <v>2356</v>
      </c>
    </row>
    <row r="69" spans="1:11">
      <c r="A69" s="202">
        <v>66</v>
      </c>
      <c r="B69" s="203" t="s">
        <v>1607</v>
      </c>
      <c r="C69" s="61" t="s">
        <v>7</v>
      </c>
      <c r="D69" s="61" t="s">
        <v>48</v>
      </c>
      <c r="E69" s="209">
        <v>6316000</v>
      </c>
      <c r="F69" s="205">
        <f t="shared" ref="F69:F132" si="2">E69*0.97</f>
        <v>6126520</v>
      </c>
      <c r="G69" s="206">
        <f t="shared" ref="G69:G132" si="3">E69*0.94</f>
        <v>5937040</v>
      </c>
      <c r="H69" s="210">
        <v>1203.3</v>
      </c>
      <c r="I69" s="210">
        <v>984.47</v>
      </c>
      <c r="J69" s="210">
        <v>218.83</v>
      </c>
      <c r="K69" s="61" t="s">
        <v>2355</v>
      </c>
    </row>
    <row r="70" spans="1:11">
      <c r="A70" s="202">
        <v>67</v>
      </c>
      <c r="B70" s="203" t="s">
        <v>1608</v>
      </c>
      <c r="C70" s="61" t="s">
        <v>8</v>
      </c>
      <c r="D70" s="61" t="s">
        <v>48</v>
      </c>
      <c r="E70" s="209">
        <v>6310000</v>
      </c>
      <c r="F70" s="205">
        <f t="shared" si="2"/>
        <v>6120700</v>
      </c>
      <c r="G70" s="206">
        <f t="shared" si="3"/>
        <v>5931400</v>
      </c>
      <c r="H70" s="210">
        <v>1203.3</v>
      </c>
      <c r="I70" s="210">
        <v>984.47</v>
      </c>
      <c r="J70" s="210">
        <v>218.83</v>
      </c>
      <c r="K70" s="61" t="s">
        <v>2355</v>
      </c>
    </row>
    <row r="71" spans="1:11">
      <c r="A71" s="202">
        <v>68</v>
      </c>
      <c r="B71" s="203" t="s">
        <v>1609</v>
      </c>
      <c r="C71" s="61" t="s">
        <v>10</v>
      </c>
      <c r="D71" s="61" t="s">
        <v>48</v>
      </c>
      <c r="E71" s="209">
        <v>6298000</v>
      </c>
      <c r="F71" s="205">
        <f t="shared" si="2"/>
        <v>6109060</v>
      </c>
      <c r="G71" s="206">
        <f t="shared" si="3"/>
        <v>5920120</v>
      </c>
      <c r="H71" s="210">
        <v>1203.3</v>
      </c>
      <c r="I71" s="210">
        <v>984.47</v>
      </c>
      <c r="J71" s="210">
        <v>218.83</v>
      </c>
      <c r="K71" s="61" t="s">
        <v>2355</v>
      </c>
    </row>
    <row r="72" spans="1:11">
      <c r="A72" s="202">
        <v>69</v>
      </c>
      <c r="B72" s="203" t="s">
        <v>1610</v>
      </c>
      <c r="C72" s="61" t="s">
        <v>3</v>
      </c>
      <c r="D72" s="61" t="s">
        <v>48</v>
      </c>
      <c r="E72" s="209">
        <v>6250000</v>
      </c>
      <c r="F72" s="205">
        <f t="shared" si="2"/>
        <v>6062500</v>
      </c>
      <c r="G72" s="206">
        <f t="shared" si="3"/>
        <v>5875000</v>
      </c>
      <c r="H72" s="210">
        <v>1257.8699999999999</v>
      </c>
      <c r="I72" s="210">
        <v>984.47</v>
      </c>
      <c r="J72" s="210">
        <v>273.39999999999998</v>
      </c>
      <c r="K72" s="61" t="s">
        <v>2355</v>
      </c>
    </row>
    <row r="73" spans="1:11">
      <c r="A73" s="202">
        <v>70</v>
      </c>
      <c r="B73" s="203" t="s">
        <v>4568</v>
      </c>
      <c r="C73" s="61" t="s">
        <v>4477</v>
      </c>
      <c r="D73" s="61" t="s">
        <v>4504</v>
      </c>
      <c r="E73" s="209">
        <v>5086000</v>
      </c>
      <c r="F73" s="205">
        <f t="shared" si="2"/>
        <v>4933420</v>
      </c>
      <c r="G73" s="206">
        <f t="shared" si="3"/>
        <v>4780840</v>
      </c>
      <c r="H73" s="210">
        <v>2053.2199999999998</v>
      </c>
      <c r="I73" s="210">
        <v>850.89</v>
      </c>
      <c r="J73" s="210">
        <v>1202.33</v>
      </c>
      <c r="K73" s="61" t="s">
        <v>1544</v>
      </c>
    </row>
    <row r="74" spans="1:11">
      <c r="A74" s="202">
        <v>71</v>
      </c>
      <c r="B74" s="203" t="s">
        <v>1611</v>
      </c>
      <c r="C74" s="61" t="s">
        <v>5</v>
      </c>
      <c r="D74" s="61" t="s">
        <v>4504</v>
      </c>
      <c r="E74" s="209">
        <v>4912000</v>
      </c>
      <c r="F74" s="205">
        <f t="shared" si="2"/>
        <v>4764640</v>
      </c>
      <c r="G74" s="206">
        <f t="shared" si="3"/>
        <v>4617280</v>
      </c>
      <c r="H74" s="210">
        <v>2053.2199999999998</v>
      </c>
      <c r="I74" s="210">
        <v>850.89</v>
      </c>
      <c r="J74" s="210">
        <v>1202.33</v>
      </c>
      <c r="K74" s="61" t="s">
        <v>1544</v>
      </c>
    </row>
    <row r="75" spans="1:11">
      <c r="A75" s="202">
        <v>72</v>
      </c>
      <c r="B75" s="203" t="s">
        <v>1612</v>
      </c>
      <c r="C75" s="61" t="s">
        <v>4</v>
      </c>
      <c r="D75" s="61" t="s">
        <v>4504</v>
      </c>
      <c r="E75" s="209">
        <v>4907000</v>
      </c>
      <c r="F75" s="205">
        <f t="shared" si="2"/>
        <v>4759790</v>
      </c>
      <c r="G75" s="206">
        <f t="shared" si="3"/>
        <v>4612580</v>
      </c>
      <c r="H75" s="210">
        <v>2053.2199999999998</v>
      </c>
      <c r="I75" s="210">
        <v>850.89</v>
      </c>
      <c r="J75" s="210">
        <v>1202.33</v>
      </c>
      <c r="K75" s="61" t="s">
        <v>1544</v>
      </c>
    </row>
    <row r="76" spans="1:11">
      <c r="A76" s="202">
        <v>73</v>
      </c>
      <c r="B76" s="203" t="s">
        <v>1613</v>
      </c>
      <c r="C76" s="61" t="s">
        <v>4458</v>
      </c>
      <c r="D76" s="61" t="s">
        <v>4504</v>
      </c>
      <c r="E76" s="209">
        <v>4900000</v>
      </c>
      <c r="F76" s="205">
        <f t="shared" si="2"/>
        <v>4753000</v>
      </c>
      <c r="G76" s="206">
        <f t="shared" si="3"/>
        <v>4606000</v>
      </c>
      <c r="H76" s="210">
        <v>2053.2199999999998</v>
      </c>
      <c r="I76" s="210">
        <v>850.89</v>
      </c>
      <c r="J76" s="210">
        <v>1202.33</v>
      </c>
      <c r="K76" s="61" t="s">
        <v>1544</v>
      </c>
    </row>
    <row r="77" spans="1:11">
      <c r="A77" s="202">
        <v>74</v>
      </c>
      <c r="B77" s="203" t="s">
        <v>1614</v>
      </c>
      <c r="C77" s="61" t="s">
        <v>6</v>
      </c>
      <c r="D77" s="61" t="s">
        <v>4504</v>
      </c>
      <c r="E77" s="209">
        <v>4898000</v>
      </c>
      <c r="F77" s="205">
        <f t="shared" si="2"/>
        <v>4751060</v>
      </c>
      <c r="G77" s="206">
        <f t="shared" si="3"/>
        <v>4604120</v>
      </c>
      <c r="H77" s="210">
        <v>2053.2199999999998</v>
      </c>
      <c r="I77" s="210">
        <v>850.89</v>
      </c>
      <c r="J77" s="210">
        <v>1202.33</v>
      </c>
      <c r="K77" s="61" t="s">
        <v>1544</v>
      </c>
    </row>
    <row r="78" spans="1:11">
      <c r="A78" s="202">
        <v>75</v>
      </c>
      <c r="B78" s="203" t="s">
        <v>1615</v>
      </c>
      <c r="C78" s="61" t="s">
        <v>179</v>
      </c>
      <c r="D78" s="61" t="s">
        <v>24</v>
      </c>
      <c r="E78" s="209">
        <v>4193000</v>
      </c>
      <c r="F78" s="205">
        <f t="shared" si="2"/>
        <v>4067210</v>
      </c>
      <c r="G78" s="206">
        <f t="shared" si="3"/>
        <v>3941420</v>
      </c>
      <c r="H78" s="210">
        <v>978.76</v>
      </c>
      <c r="I78" s="210">
        <v>844.64</v>
      </c>
      <c r="J78" s="210">
        <v>134.12</v>
      </c>
      <c r="K78" s="61" t="s">
        <v>1544</v>
      </c>
    </row>
    <row r="79" spans="1:11">
      <c r="A79" s="202">
        <v>76</v>
      </c>
      <c r="B79" s="203" t="s">
        <v>1616</v>
      </c>
      <c r="C79" s="61" t="s">
        <v>218</v>
      </c>
      <c r="D79" s="61" t="s">
        <v>24</v>
      </c>
      <c r="E79" s="209">
        <v>4189000</v>
      </c>
      <c r="F79" s="205">
        <f t="shared" si="2"/>
        <v>4063330</v>
      </c>
      <c r="G79" s="206">
        <f t="shared" si="3"/>
        <v>3937660</v>
      </c>
      <c r="H79" s="210">
        <v>978.76</v>
      </c>
      <c r="I79" s="210">
        <v>844.64</v>
      </c>
      <c r="J79" s="210">
        <v>134.12</v>
      </c>
      <c r="K79" s="61" t="s">
        <v>1544</v>
      </c>
    </row>
    <row r="80" spans="1:11">
      <c r="A80" s="202">
        <v>77</v>
      </c>
      <c r="B80" s="203" t="s">
        <v>1617</v>
      </c>
      <c r="C80" s="61" t="s">
        <v>4499</v>
      </c>
      <c r="D80" s="61" t="s">
        <v>24</v>
      </c>
      <c r="E80" s="209">
        <v>4158000</v>
      </c>
      <c r="F80" s="205">
        <f t="shared" si="2"/>
        <v>4033260</v>
      </c>
      <c r="G80" s="206">
        <f t="shared" si="3"/>
        <v>3908520</v>
      </c>
      <c r="H80" s="210">
        <v>978.87</v>
      </c>
      <c r="I80" s="210">
        <v>844.75</v>
      </c>
      <c r="J80" s="210">
        <v>134.12</v>
      </c>
      <c r="K80" s="61" t="s">
        <v>1544</v>
      </c>
    </row>
    <row r="81" spans="1:11">
      <c r="A81" s="202">
        <v>78</v>
      </c>
      <c r="B81" s="203" t="s">
        <v>1618</v>
      </c>
      <c r="C81" s="61" t="s">
        <v>4497</v>
      </c>
      <c r="D81" s="61" t="s">
        <v>24</v>
      </c>
      <c r="E81" s="209">
        <v>4150000</v>
      </c>
      <c r="F81" s="205">
        <f t="shared" si="2"/>
        <v>4025500</v>
      </c>
      <c r="G81" s="206">
        <f t="shared" si="3"/>
        <v>3901000</v>
      </c>
      <c r="H81" s="210">
        <v>978.87</v>
      </c>
      <c r="I81" s="210">
        <v>844.75</v>
      </c>
      <c r="J81" s="210">
        <v>134.12</v>
      </c>
      <c r="K81" s="61" t="s">
        <v>1544</v>
      </c>
    </row>
    <row r="82" spans="1:11">
      <c r="A82" s="202">
        <v>79</v>
      </c>
      <c r="B82" s="203" t="s">
        <v>1619</v>
      </c>
      <c r="C82" s="61" t="s">
        <v>4475</v>
      </c>
      <c r="D82" s="61" t="s">
        <v>24</v>
      </c>
      <c r="E82" s="209">
        <v>4134000</v>
      </c>
      <c r="F82" s="205">
        <f t="shared" si="2"/>
        <v>4009980</v>
      </c>
      <c r="G82" s="206">
        <f t="shared" si="3"/>
        <v>3885960</v>
      </c>
      <c r="H82" s="210">
        <v>978.87</v>
      </c>
      <c r="I82" s="210">
        <v>844.75</v>
      </c>
      <c r="J82" s="210">
        <v>134.12</v>
      </c>
      <c r="K82" s="61" t="s">
        <v>1544</v>
      </c>
    </row>
    <row r="83" spans="1:11">
      <c r="A83" s="202">
        <v>80</v>
      </c>
      <c r="B83" s="203" t="s">
        <v>1620</v>
      </c>
      <c r="C83" s="61" t="s">
        <v>4473</v>
      </c>
      <c r="D83" s="61" t="s">
        <v>24</v>
      </c>
      <c r="E83" s="209">
        <v>4126000</v>
      </c>
      <c r="F83" s="205">
        <f t="shared" si="2"/>
        <v>4002220</v>
      </c>
      <c r="G83" s="206">
        <f t="shared" si="3"/>
        <v>3878440</v>
      </c>
      <c r="H83" s="210">
        <v>978.87</v>
      </c>
      <c r="I83" s="210">
        <v>844.75</v>
      </c>
      <c r="J83" s="210">
        <v>134.12</v>
      </c>
      <c r="K83" s="61" t="s">
        <v>1544</v>
      </c>
    </row>
    <row r="84" spans="1:11">
      <c r="A84" s="202">
        <v>81</v>
      </c>
      <c r="B84" s="203" t="s">
        <v>1621</v>
      </c>
      <c r="C84" s="61" t="s">
        <v>4471</v>
      </c>
      <c r="D84" s="61" t="s">
        <v>24</v>
      </c>
      <c r="E84" s="209">
        <v>4119000</v>
      </c>
      <c r="F84" s="205">
        <f t="shared" si="2"/>
        <v>3995430</v>
      </c>
      <c r="G84" s="206">
        <f t="shared" si="3"/>
        <v>3871860</v>
      </c>
      <c r="H84" s="210">
        <v>978.87</v>
      </c>
      <c r="I84" s="210">
        <v>844.75</v>
      </c>
      <c r="J84" s="210">
        <v>134.12</v>
      </c>
      <c r="K84" s="61" t="s">
        <v>1544</v>
      </c>
    </row>
    <row r="85" spans="1:11">
      <c r="A85" s="202">
        <v>82</v>
      </c>
      <c r="B85" s="203" t="s">
        <v>1622</v>
      </c>
      <c r="C85" s="61" t="s">
        <v>4469</v>
      </c>
      <c r="D85" s="61" t="s">
        <v>24</v>
      </c>
      <c r="E85" s="209">
        <v>4111000</v>
      </c>
      <c r="F85" s="205">
        <f t="shared" si="2"/>
        <v>3987670</v>
      </c>
      <c r="G85" s="206">
        <f t="shared" si="3"/>
        <v>3864340</v>
      </c>
      <c r="H85" s="210">
        <v>978.87</v>
      </c>
      <c r="I85" s="210">
        <v>844.75</v>
      </c>
      <c r="J85" s="210">
        <v>134.12</v>
      </c>
      <c r="K85" s="61" t="s">
        <v>1544</v>
      </c>
    </row>
    <row r="86" spans="1:11">
      <c r="A86" s="202">
        <v>83</v>
      </c>
      <c r="B86" s="203" t="s">
        <v>1623</v>
      </c>
      <c r="C86" s="61" t="s">
        <v>4467</v>
      </c>
      <c r="D86" s="61" t="s">
        <v>24</v>
      </c>
      <c r="E86" s="209">
        <v>4103000</v>
      </c>
      <c r="F86" s="205">
        <f t="shared" si="2"/>
        <v>3979910</v>
      </c>
      <c r="G86" s="206">
        <f t="shared" si="3"/>
        <v>3856820</v>
      </c>
      <c r="H86" s="210">
        <v>978.87</v>
      </c>
      <c r="I86" s="210">
        <v>844.75</v>
      </c>
      <c r="J86" s="210">
        <v>134.12</v>
      </c>
      <c r="K86" s="61" t="s">
        <v>1544</v>
      </c>
    </row>
    <row r="87" spans="1:11">
      <c r="A87" s="202">
        <v>84</v>
      </c>
      <c r="B87" s="203" t="s">
        <v>1624</v>
      </c>
      <c r="C87" s="61" t="s">
        <v>4485</v>
      </c>
      <c r="D87" s="61" t="s">
        <v>24</v>
      </c>
      <c r="E87" s="209">
        <v>4156000</v>
      </c>
      <c r="F87" s="205">
        <f t="shared" si="2"/>
        <v>4031320</v>
      </c>
      <c r="G87" s="206">
        <f t="shared" si="3"/>
        <v>3906640</v>
      </c>
      <c r="H87" s="210">
        <v>1002.23</v>
      </c>
      <c r="I87" s="210">
        <v>829.25</v>
      </c>
      <c r="J87" s="210">
        <v>172.98</v>
      </c>
      <c r="K87" s="61" t="s">
        <v>1544</v>
      </c>
    </row>
    <row r="88" spans="1:11">
      <c r="A88" s="202">
        <v>85</v>
      </c>
      <c r="B88" s="203" t="s">
        <v>1625</v>
      </c>
      <c r="C88" s="61" t="s">
        <v>4484</v>
      </c>
      <c r="D88" s="61" t="s">
        <v>24</v>
      </c>
      <c r="E88" s="209">
        <v>4153000</v>
      </c>
      <c r="F88" s="205">
        <f t="shared" si="2"/>
        <v>4028410</v>
      </c>
      <c r="G88" s="206">
        <f t="shared" si="3"/>
        <v>3903820</v>
      </c>
      <c r="H88" s="210">
        <v>1002.23</v>
      </c>
      <c r="I88" s="210">
        <v>829.25</v>
      </c>
      <c r="J88" s="210">
        <v>172.98</v>
      </c>
      <c r="K88" s="61" t="s">
        <v>1544</v>
      </c>
    </row>
    <row r="89" spans="1:11">
      <c r="A89" s="202">
        <v>86</v>
      </c>
      <c r="B89" s="203" t="s">
        <v>1626</v>
      </c>
      <c r="C89" s="61" t="s">
        <v>4465</v>
      </c>
      <c r="D89" s="61" t="s">
        <v>24</v>
      </c>
      <c r="E89" s="209">
        <v>4095000</v>
      </c>
      <c r="F89" s="205">
        <f t="shared" si="2"/>
        <v>3972150</v>
      </c>
      <c r="G89" s="206">
        <f t="shared" si="3"/>
        <v>3849300</v>
      </c>
      <c r="H89" s="210">
        <v>978.87</v>
      </c>
      <c r="I89" s="210">
        <v>844.75</v>
      </c>
      <c r="J89" s="210">
        <v>134.12</v>
      </c>
      <c r="K89" s="61" t="s">
        <v>1544</v>
      </c>
    </row>
    <row r="90" spans="1:11">
      <c r="A90" s="202">
        <v>87</v>
      </c>
      <c r="B90" s="203" t="s">
        <v>1627</v>
      </c>
      <c r="C90" s="61" t="s">
        <v>4502</v>
      </c>
      <c r="D90" s="61" t="s">
        <v>24</v>
      </c>
      <c r="E90" s="209">
        <v>4145000</v>
      </c>
      <c r="F90" s="205">
        <f t="shared" si="2"/>
        <v>4020650</v>
      </c>
      <c r="G90" s="206">
        <f t="shared" si="3"/>
        <v>3896300</v>
      </c>
      <c r="H90" s="210">
        <v>1002.23</v>
      </c>
      <c r="I90" s="210">
        <v>829.25</v>
      </c>
      <c r="J90" s="210">
        <v>172.98</v>
      </c>
      <c r="K90" s="61" t="s">
        <v>1544</v>
      </c>
    </row>
    <row r="91" spans="1:11">
      <c r="A91" s="202">
        <v>88</v>
      </c>
      <c r="B91" s="203" t="s">
        <v>1628</v>
      </c>
      <c r="C91" s="61" t="s">
        <v>4463</v>
      </c>
      <c r="D91" s="61" t="s">
        <v>24</v>
      </c>
      <c r="E91" s="209">
        <v>4087000</v>
      </c>
      <c r="F91" s="205">
        <f t="shared" si="2"/>
        <v>3964390</v>
      </c>
      <c r="G91" s="206">
        <f t="shared" si="3"/>
        <v>3841780</v>
      </c>
      <c r="H91" s="210">
        <v>978.87</v>
      </c>
      <c r="I91" s="210">
        <v>844.75</v>
      </c>
      <c r="J91" s="210">
        <v>134.12</v>
      </c>
      <c r="K91" s="61" t="s">
        <v>1544</v>
      </c>
    </row>
    <row r="92" spans="1:11">
      <c r="A92" s="202">
        <v>89</v>
      </c>
      <c r="B92" s="203" t="s">
        <v>1629</v>
      </c>
      <c r="C92" s="61" t="s">
        <v>179</v>
      </c>
      <c r="D92" s="61" t="s">
        <v>24</v>
      </c>
      <c r="E92" s="209">
        <v>4133000</v>
      </c>
      <c r="F92" s="205">
        <f t="shared" si="2"/>
        <v>4009010</v>
      </c>
      <c r="G92" s="206">
        <f t="shared" si="3"/>
        <v>3885020</v>
      </c>
      <c r="H92" s="210">
        <v>1002.23</v>
      </c>
      <c r="I92" s="210">
        <v>829.25</v>
      </c>
      <c r="J92" s="210">
        <v>172.98</v>
      </c>
      <c r="K92" s="61" t="s">
        <v>1544</v>
      </c>
    </row>
    <row r="93" spans="1:11">
      <c r="A93" s="202">
        <v>90</v>
      </c>
      <c r="B93" s="203" t="s">
        <v>1630</v>
      </c>
      <c r="C93" s="61" t="s">
        <v>218</v>
      </c>
      <c r="D93" s="61" t="s">
        <v>24</v>
      </c>
      <c r="E93" s="209">
        <v>4129000</v>
      </c>
      <c r="F93" s="205">
        <f t="shared" si="2"/>
        <v>4005130</v>
      </c>
      <c r="G93" s="206">
        <f t="shared" si="3"/>
        <v>3881260</v>
      </c>
      <c r="H93" s="210">
        <v>1002.23</v>
      </c>
      <c r="I93" s="210">
        <v>829.25</v>
      </c>
      <c r="J93" s="210">
        <v>172.98</v>
      </c>
      <c r="K93" s="61" t="s">
        <v>1544</v>
      </c>
    </row>
    <row r="94" spans="1:11">
      <c r="A94" s="202">
        <v>91</v>
      </c>
      <c r="B94" s="203" t="s">
        <v>1631</v>
      </c>
      <c r="C94" s="61" t="s">
        <v>33</v>
      </c>
      <c r="D94" s="61" t="s">
        <v>24</v>
      </c>
      <c r="E94" s="209">
        <v>4072000</v>
      </c>
      <c r="F94" s="205">
        <f t="shared" si="2"/>
        <v>3949840</v>
      </c>
      <c r="G94" s="206">
        <f t="shared" si="3"/>
        <v>3827680</v>
      </c>
      <c r="H94" s="210">
        <v>978.87</v>
      </c>
      <c r="I94" s="210">
        <v>844.75</v>
      </c>
      <c r="J94" s="210">
        <v>134.12</v>
      </c>
      <c r="K94" s="61" t="s">
        <v>1544</v>
      </c>
    </row>
    <row r="95" spans="1:11">
      <c r="A95" s="202">
        <v>92</v>
      </c>
      <c r="B95" s="203" t="s">
        <v>1632</v>
      </c>
      <c r="C95" s="61" t="s">
        <v>181</v>
      </c>
      <c r="D95" s="61" t="s">
        <v>24</v>
      </c>
      <c r="E95" s="209">
        <v>4110000</v>
      </c>
      <c r="F95" s="205">
        <f t="shared" si="2"/>
        <v>3986700</v>
      </c>
      <c r="G95" s="206">
        <f t="shared" si="3"/>
        <v>3863400</v>
      </c>
      <c r="H95" s="210">
        <v>1002.23</v>
      </c>
      <c r="I95" s="210">
        <v>829.25</v>
      </c>
      <c r="J95" s="210">
        <v>172.98</v>
      </c>
      <c r="K95" s="61" t="s">
        <v>1544</v>
      </c>
    </row>
    <row r="96" spans="1:11">
      <c r="A96" s="202">
        <v>93</v>
      </c>
      <c r="B96" s="203" t="s">
        <v>1633</v>
      </c>
      <c r="C96" s="61" t="s">
        <v>4454</v>
      </c>
      <c r="D96" s="61" t="s">
        <v>24</v>
      </c>
      <c r="E96" s="209">
        <v>4106000</v>
      </c>
      <c r="F96" s="205">
        <f t="shared" si="2"/>
        <v>3982820</v>
      </c>
      <c r="G96" s="206">
        <f t="shared" si="3"/>
        <v>3859640</v>
      </c>
      <c r="H96" s="210">
        <v>1002.23</v>
      </c>
      <c r="I96" s="210">
        <v>829.25</v>
      </c>
      <c r="J96" s="210">
        <v>172.98</v>
      </c>
      <c r="K96" s="61" t="s">
        <v>1544</v>
      </c>
    </row>
    <row r="97" spans="1:11">
      <c r="A97" s="202">
        <v>94</v>
      </c>
      <c r="B97" s="203" t="s">
        <v>1634</v>
      </c>
      <c r="C97" s="61" t="s">
        <v>4499</v>
      </c>
      <c r="D97" s="61" t="s">
        <v>24</v>
      </c>
      <c r="E97" s="209">
        <v>4098000</v>
      </c>
      <c r="F97" s="205">
        <f t="shared" si="2"/>
        <v>3975060</v>
      </c>
      <c r="G97" s="206">
        <f t="shared" si="3"/>
        <v>3852120</v>
      </c>
      <c r="H97" s="210">
        <v>1002.23</v>
      </c>
      <c r="I97" s="210">
        <v>829.25</v>
      </c>
      <c r="J97" s="210">
        <v>172.98</v>
      </c>
      <c r="K97" s="61" t="s">
        <v>1544</v>
      </c>
    </row>
    <row r="98" spans="1:11">
      <c r="A98" s="202">
        <v>95</v>
      </c>
      <c r="B98" s="203" t="s">
        <v>1635</v>
      </c>
      <c r="C98" s="61" t="s">
        <v>4480</v>
      </c>
      <c r="D98" s="61" t="s">
        <v>24</v>
      </c>
      <c r="E98" s="209">
        <v>4094000</v>
      </c>
      <c r="F98" s="205">
        <f t="shared" si="2"/>
        <v>3971180</v>
      </c>
      <c r="G98" s="206">
        <f t="shared" si="3"/>
        <v>3848360</v>
      </c>
      <c r="H98" s="210">
        <v>1002.23</v>
      </c>
      <c r="I98" s="210">
        <v>829.25</v>
      </c>
      <c r="J98" s="210">
        <v>172.98</v>
      </c>
      <c r="K98" s="61" t="s">
        <v>1544</v>
      </c>
    </row>
    <row r="99" spans="1:11">
      <c r="A99" s="202">
        <v>96</v>
      </c>
      <c r="B99" s="203" t="s">
        <v>1636</v>
      </c>
      <c r="C99" s="61" t="s">
        <v>4497</v>
      </c>
      <c r="D99" s="61" t="s">
        <v>24</v>
      </c>
      <c r="E99" s="209">
        <v>4091000</v>
      </c>
      <c r="F99" s="205">
        <f t="shared" si="2"/>
        <v>3968270</v>
      </c>
      <c r="G99" s="206">
        <f t="shared" si="3"/>
        <v>3845540</v>
      </c>
      <c r="H99" s="210">
        <v>1002.23</v>
      </c>
      <c r="I99" s="210">
        <v>829.25</v>
      </c>
      <c r="J99" s="210">
        <v>172.98</v>
      </c>
      <c r="K99" s="61" t="s">
        <v>1544</v>
      </c>
    </row>
    <row r="100" spans="1:11">
      <c r="A100" s="202">
        <v>97</v>
      </c>
      <c r="B100" s="203" t="s">
        <v>1637</v>
      </c>
      <c r="C100" s="61" t="s">
        <v>3</v>
      </c>
      <c r="D100" s="61" t="s">
        <v>24</v>
      </c>
      <c r="E100" s="209">
        <v>4017000</v>
      </c>
      <c r="F100" s="205">
        <f t="shared" si="2"/>
        <v>3896490</v>
      </c>
      <c r="G100" s="206">
        <f t="shared" si="3"/>
        <v>3775980</v>
      </c>
      <c r="H100" s="210">
        <v>1012.35</v>
      </c>
      <c r="I100" s="210">
        <v>844.75</v>
      </c>
      <c r="J100" s="210">
        <v>167.59</v>
      </c>
      <c r="K100" s="61" t="s">
        <v>1544</v>
      </c>
    </row>
    <row r="101" spans="1:11">
      <c r="A101" s="202">
        <v>98</v>
      </c>
      <c r="B101" s="203" t="s">
        <v>1638</v>
      </c>
      <c r="C101" s="61" t="s">
        <v>4476</v>
      </c>
      <c r="D101" s="61" t="s">
        <v>24</v>
      </c>
      <c r="E101" s="209">
        <v>4079000</v>
      </c>
      <c r="F101" s="205">
        <f t="shared" si="2"/>
        <v>3956630</v>
      </c>
      <c r="G101" s="206">
        <f t="shared" si="3"/>
        <v>3834260</v>
      </c>
      <c r="H101" s="210">
        <v>1002.23</v>
      </c>
      <c r="I101" s="210">
        <v>829.25</v>
      </c>
      <c r="J101" s="210">
        <v>172.98</v>
      </c>
      <c r="K101" s="61" t="s">
        <v>1544</v>
      </c>
    </row>
    <row r="102" spans="1:11">
      <c r="A102" s="202">
        <v>99</v>
      </c>
      <c r="B102" s="203" t="s">
        <v>1639</v>
      </c>
      <c r="C102" s="61" t="s">
        <v>7</v>
      </c>
      <c r="D102" s="61" t="s">
        <v>24</v>
      </c>
      <c r="E102" s="209">
        <v>4024000</v>
      </c>
      <c r="F102" s="205">
        <f t="shared" si="2"/>
        <v>3903280</v>
      </c>
      <c r="G102" s="206">
        <f t="shared" si="3"/>
        <v>3782560</v>
      </c>
      <c r="H102" s="210">
        <v>978.87</v>
      </c>
      <c r="I102" s="210">
        <v>844.75</v>
      </c>
      <c r="J102" s="210">
        <v>134.12</v>
      </c>
      <c r="K102" s="61" t="s">
        <v>1544</v>
      </c>
    </row>
    <row r="103" spans="1:11">
      <c r="A103" s="202">
        <v>100</v>
      </c>
      <c r="B103" s="203" t="s">
        <v>1640</v>
      </c>
      <c r="C103" s="61" t="s">
        <v>4475</v>
      </c>
      <c r="D103" s="61" t="s">
        <v>24</v>
      </c>
      <c r="E103" s="209">
        <v>4075000</v>
      </c>
      <c r="F103" s="205">
        <f t="shared" si="2"/>
        <v>3952750</v>
      </c>
      <c r="G103" s="206">
        <f t="shared" si="3"/>
        <v>3830500</v>
      </c>
      <c r="H103" s="210">
        <v>1002.23</v>
      </c>
      <c r="I103" s="210">
        <v>829.25</v>
      </c>
      <c r="J103" s="210">
        <v>172.98</v>
      </c>
      <c r="K103" s="61" t="s">
        <v>1544</v>
      </c>
    </row>
    <row r="104" spans="1:11">
      <c r="A104" s="202">
        <v>101</v>
      </c>
      <c r="B104" s="203" t="s">
        <v>1641</v>
      </c>
      <c r="C104" s="61" t="s">
        <v>8</v>
      </c>
      <c r="D104" s="61" t="s">
        <v>24</v>
      </c>
      <c r="E104" s="209">
        <v>4020000</v>
      </c>
      <c r="F104" s="205">
        <f t="shared" si="2"/>
        <v>3899400</v>
      </c>
      <c r="G104" s="206">
        <f t="shared" si="3"/>
        <v>3778800</v>
      </c>
      <c r="H104" s="210">
        <v>978.87</v>
      </c>
      <c r="I104" s="210">
        <v>844.75</v>
      </c>
      <c r="J104" s="210">
        <v>134.12</v>
      </c>
      <c r="K104" s="61" t="s">
        <v>1544</v>
      </c>
    </row>
    <row r="105" spans="1:11">
      <c r="A105" s="202">
        <v>102</v>
      </c>
      <c r="B105" s="203" t="s">
        <v>1642</v>
      </c>
      <c r="C105" s="61" t="s">
        <v>4473</v>
      </c>
      <c r="D105" s="61" t="s">
        <v>24</v>
      </c>
      <c r="E105" s="209">
        <v>4067000</v>
      </c>
      <c r="F105" s="205">
        <f t="shared" si="2"/>
        <v>3944990</v>
      </c>
      <c r="G105" s="206">
        <f t="shared" si="3"/>
        <v>3822980</v>
      </c>
      <c r="H105" s="210">
        <v>1002.23</v>
      </c>
      <c r="I105" s="210">
        <v>829.25</v>
      </c>
      <c r="J105" s="210">
        <v>172.98</v>
      </c>
      <c r="K105" s="61" t="s">
        <v>1544</v>
      </c>
    </row>
    <row r="106" spans="1:11">
      <c r="A106" s="202">
        <v>103</v>
      </c>
      <c r="B106" s="203" t="s">
        <v>1643</v>
      </c>
      <c r="C106" s="61" t="s">
        <v>10</v>
      </c>
      <c r="D106" s="61" t="s">
        <v>24</v>
      </c>
      <c r="E106" s="209">
        <v>4013000</v>
      </c>
      <c r="F106" s="205">
        <f t="shared" si="2"/>
        <v>3892610</v>
      </c>
      <c r="G106" s="206">
        <f t="shared" si="3"/>
        <v>3772220</v>
      </c>
      <c r="H106" s="210">
        <v>978.87</v>
      </c>
      <c r="I106" s="210">
        <v>844.75</v>
      </c>
      <c r="J106" s="210">
        <v>134.12</v>
      </c>
      <c r="K106" s="61" t="s">
        <v>1544</v>
      </c>
    </row>
    <row r="107" spans="1:11">
      <c r="A107" s="202">
        <v>104</v>
      </c>
      <c r="B107" s="203" t="s">
        <v>1644</v>
      </c>
      <c r="C107" s="61" t="s">
        <v>4471</v>
      </c>
      <c r="D107" s="61" t="s">
        <v>24</v>
      </c>
      <c r="E107" s="209">
        <v>4059000</v>
      </c>
      <c r="F107" s="205">
        <f t="shared" si="2"/>
        <v>3937230</v>
      </c>
      <c r="G107" s="206">
        <f t="shared" si="3"/>
        <v>3815460</v>
      </c>
      <c r="H107" s="210">
        <v>1037.32</v>
      </c>
      <c r="I107" s="210">
        <v>818.49</v>
      </c>
      <c r="J107" s="210">
        <v>218.83</v>
      </c>
      <c r="K107" s="61" t="s">
        <v>2353</v>
      </c>
    </row>
    <row r="108" spans="1:11">
      <c r="A108" s="202">
        <v>105</v>
      </c>
      <c r="B108" s="203" t="s">
        <v>1645</v>
      </c>
      <c r="C108" s="61" t="s">
        <v>4471</v>
      </c>
      <c r="D108" s="61" t="s">
        <v>24</v>
      </c>
      <c r="E108" s="209">
        <v>4059000</v>
      </c>
      <c r="F108" s="205">
        <f t="shared" si="2"/>
        <v>3937230</v>
      </c>
      <c r="G108" s="206">
        <f t="shared" si="3"/>
        <v>3815460</v>
      </c>
      <c r="H108" s="210">
        <v>1037.32</v>
      </c>
      <c r="I108" s="210">
        <v>818.49</v>
      </c>
      <c r="J108" s="210">
        <v>218.83</v>
      </c>
      <c r="K108" s="61" t="s">
        <v>2353</v>
      </c>
    </row>
    <row r="109" spans="1:11">
      <c r="A109" s="202">
        <v>106</v>
      </c>
      <c r="B109" s="203" t="s">
        <v>1646</v>
      </c>
      <c r="C109" s="61" t="s">
        <v>4471</v>
      </c>
      <c r="D109" s="61" t="s">
        <v>24</v>
      </c>
      <c r="E109" s="209">
        <v>4060000</v>
      </c>
      <c r="F109" s="205">
        <f t="shared" si="2"/>
        <v>3938200</v>
      </c>
      <c r="G109" s="206">
        <f t="shared" si="3"/>
        <v>3816400</v>
      </c>
      <c r="H109" s="210">
        <v>1002.23</v>
      </c>
      <c r="I109" s="210">
        <v>829.25</v>
      </c>
      <c r="J109" s="210">
        <v>172.98</v>
      </c>
      <c r="K109" s="61" t="s">
        <v>1544</v>
      </c>
    </row>
    <row r="110" spans="1:11">
      <c r="A110" s="202">
        <v>107</v>
      </c>
      <c r="B110" s="203" t="s">
        <v>1647</v>
      </c>
      <c r="C110" s="61" t="s">
        <v>4470</v>
      </c>
      <c r="D110" s="61" t="s">
        <v>24</v>
      </c>
      <c r="E110" s="209">
        <v>4056000</v>
      </c>
      <c r="F110" s="205">
        <f t="shared" si="2"/>
        <v>3934320</v>
      </c>
      <c r="G110" s="206">
        <f t="shared" si="3"/>
        <v>3812640</v>
      </c>
      <c r="H110" s="210">
        <v>1037.32</v>
      </c>
      <c r="I110" s="210">
        <v>818.49</v>
      </c>
      <c r="J110" s="210">
        <v>218.83</v>
      </c>
      <c r="K110" s="61" t="s">
        <v>2353</v>
      </c>
    </row>
    <row r="111" spans="1:11">
      <c r="A111" s="202">
        <v>108</v>
      </c>
      <c r="B111" s="203" t="s">
        <v>1648</v>
      </c>
      <c r="C111" s="61" t="s">
        <v>4470</v>
      </c>
      <c r="D111" s="61" t="s">
        <v>24</v>
      </c>
      <c r="E111" s="209">
        <v>4055000</v>
      </c>
      <c r="F111" s="205">
        <f t="shared" si="2"/>
        <v>3933350</v>
      </c>
      <c r="G111" s="206">
        <f t="shared" si="3"/>
        <v>3811700</v>
      </c>
      <c r="H111" s="210">
        <v>1037.21</v>
      </c>
      <c r="I111" s="210">
        <v>818.38</v>
      </c>
      <c r="J111" s="210">
        <v>218.83</v>
      </c>
      <c r="K111" s="61" t="s">
        <v>2353</v>
      </c>
    </row>
    <row r="112" spans="1:11">
      <c r="A112" s="202">
        <v>109</v>
      </c>
      <c r="B112" s="203" t="s">
        <v>1649</v>
      </c>
      <c r="C112" s="61" t="s">
        <v>4470</v>
      </c>
      <c r="D112" s="61" t="s">
        <v>24</v>
      </c>
      <c r="E112" s="209">
        <v>4056000</v>
      </c>
      <c r="F112" s="205">
        <f t="shared" si="2"/>
        <v>3934320</v>
      </c>
      <c r="G112" s="206">
        <f t="shared" si="3"/>
        <v>3812640</v>
      </c>
      <c r="H112" s="210">
        <v>1037.32</v>
      </c>
      <c r="I112" s="210">
        <v>818.49</v>
      </c>
      <c r="J112" s="210">
        <v>218.83</v>
      </c>
      <c r="K112" s="61" t="s">
        <v>2353</v>
      </c>
    </row>
    <row r="113" spans="1:11">
      <c r="A113" s="202">
        <v>110</v>
      </c>
      <c r="B113" s="203" t="s">
        <v>1650</v>
      </c>
      <c r="C113" s="61" t="s">
        <v>4470</v>
      </c>
      <c r="D113" s="61" t="s">
        <v>24</v>
      </c>
      <c r="E113" s="209">
        <v>4056000</v>
      </c>
      <c r="F113" s="205">
        <f t="shared" si="2"/>
        <v>3934320</v>
      </c>
      <c r="G113" s="206">
        <f t="shared" si="3"/>
        <v>3812640</v>
      </c>
      <c r="H113" s="210">
        <v>1002.23</v>
      </c>
      <c r="I113" s="210">
        <v>829.25</v>
      </c>
      <c r="J113" s="210">
        <v>172.98</v>
      </c>
      <c r="K113" s="61" t="s">
        <v>1544</v>
      </c>
    </row>
    <row r="114" spans="1:11">
      <c r="A114" s="202">
        <v>111</v>
      </c>
      <c r="B114" s="203" t="s">
        <v>1651</v>
      </c>
      <c r="C114" s="61" t="s">
        <v>4469</v>
      </c>
      <c r="D114" s="61" t="s">
        <v>24</v>
      </c>
      <c r="E114" s="209">
        <v>4052000</v>
      </c>
      <c r="F114" s="205">
        <f t="shared" si="2"/>
        <v>3930440</v>
      </c>
      <c r="G114" s="206">
        <f t="shared" si="3"/>
        <v>3808880</v>
      </c>
      <c r="H114" s="210">
        <v>1037.32</v>
      </c>
      <c r="I114" s="210">
        <v>818.49</v>
      </c>
      <c r="J114" s="210">
        <v>218.83</v>
      </c>
      <c r="K114" s="61" t="s">
        <v>2353</v>
      </c>
    </row>
    <row r="115" spans="1:11">
      <c r="A115" s="202">
        <v>112</v>
      </c>
      <c r="B115" s="203" t="s">
        <v>1652</v>
      </c>
      <c r="C115" s="61" t="s">
        <v>4469</v>
      </c>
      <c r="D115" s="61" t="s">
        <v>24</v>
      </c>
      <c r="E115" s="209">
        <v>4052000</v>
      </c>
      <c r="F115" s="205">
        <f t="shared" si="2"/>
        <v>3930440</v>
      </c>
      <c r="G115" s="206">
        <f t="shared" si="3"/>
        <v>3808880</v>
      </c>
      <c r="H115" s="210">
        <v>1037.32</v>
      </c>
      <c r="I115" s="210">
        <v>818.49</v>
      </c>
      <c r="J115" s="210">
        <v>218.83</v>
      </c>
      <c r="K115" s="61" t="s">
        <v>2353</v>
      </c>
    </row>
    <row r="116" spans="1:11">
      <c r="A116" s="202">
        <v>113</v>
      </c>
      <c r="B116" s="203" t="s">
        <v>1653</v>
      </c>
      <c r="C116" s="61" t="s">
        <v>4469</v>
      </c>
      <c r="D116" s="61" t="s">
        <v>24</v>
      </c>
      <c r="E116" s="209">
        <v>4051000</v>
      </c>
      <c r="F116" s="205">
        <f t="shared" si="2"/>
        <v>3929470</v>
      </c>
      <c r="G116" s="206">
        <f t="shared" si="3"/>
        <v>3807940</v>
      </c>
      <c r="H116" s="210">
        <v>1037.21</v>
      </c>
      <c r="I116" s="210">
        <v>818.38</v>
      </c>
      <c r="J116" s="210">
        <v>218.83</v>
      </c>
      <c r="K116" s="61" t="s">
        <v>2353</v>
      </c>
    </row>
    <row r="117" spans="1:11">
      <c r="A117" s="202">
        <v>114</v>
      </c>
      <c r="B117" s="203" t="s">
        <v>1654</v>
      </c>
      <c r="C117" s="61" t="s">
        <v>4469</v>
      </c>
      <c r="D117" s="61" t="s">
        <v>24</v>
      </c>
      <c r="E117" s="209">
        <v>4052000</v>
      </c>
      <c r="F117" s="205">
        <f t="shared" si="2"/>
        <v>3930440</v>
      </c>
      <c r="G117" s="206">
        <f t="shared" si="3"/>
        <v>3808880</v>
      </c>
      <c r="H117" s="210">
        <v>1002.23</v>
      </c>
      <c r="I117" s="210">
        <v>829.25</v>
      </c>
      <c r="J117" s="210">
        <v>172.98</v>
      </c>
      <c r="K117" s="61" t="s">
        <v>1544</v>
      </c>
    </row>
    <row r="118" spans="1:11">
      <c r="A118" s="202">
        <v>115</v>
      </c>
      <c r="B118" s="203" t="s">
        <v>4569</v>
      </c>
      <c r="C118" s="61" t="s">
        <v>4468</v>
      </c>
      <c r="D118" s="61" t="s">
        <v>24</v>
      </c>
      <c r="E118" s="209">
        <v>4048000</v>
      </c>
      <c r="F118" s="205">
        <f t="shared" si="2"/>
        <v>3926560</v>
      </c>
      <c r="G118" s="206">
        <f t="shared" si="3"/>
        <v>3805120</v>
      </c>
      <c r="H118" s="210">
        <v>1037.32</v>
      </c>
      <c r="I118" s="210">
        <v>818.49</v>
      </c>
      <c r="J118" s="210">
        <v>218.83</v>
      </c>
      <c r="K118" s="61" t="s">
        <v>2353</v>
      </c>
    </row>
    <row r="119" spans="1:11">
      <c r="A119" s="202">
        <v>116</v>
      </c>
      <c r="B119" s="203" t="s">
        <v>4570</v>
      </c>
      <c r="C119" s="61" t="s">
        <v>4468</v>
      </c>
      <c r="D119" s="61" t="s">
        <v>24</v>
      </c>
      <c r="E119" s="209">
        <v>4048000</v>
      </c>
      <c r="F119" s="205">
        <f t="shared" si="2"/>
        <v>3926560</v>
      </c>
      <c r="G119" s="206">
        <f t="shared" si="3"/>
        <v>3805120</v>
      </c>
      <c r="H119" s="210">
        <v>1037.32</v>
      </c>
      <c r="I119" s="210">
        <v>818.49</v>
      </c>
      <c r="J119" s="210">
        <v>218.83</v>
      </c>
      <c r="K119" s="61" t="s">
        <v>2353</v>
      </c>
    </row>
    <row r="120" spans="1:11">
      <c r="A120" s="202">
        <v>117</v>
      </c>
      <c r="B120" s="203" t="s">
        <v>4571</v>
      </c>
      <c r="C120" s="61" t="s">
        <v>4468</v>
      </c>
      <c r="D120" s="61" t="s">
        <v>24</v>
      </c>
      <c r="E120" s="209">
        <v>4047000</v>
      </c>
      <c r="F120" s="205">
        <f t="shared" si="2"/>
        <v>3925590</v>
      </c>
      <c r="G120" s="206">
        <f t="shared" si="3"/>
        <v>3804180</v>
      </c>
      <c r="H120" s="210">
        <v>1037.21</v>
      </c>
      <c r="I120" s="210">
        <v>818.38</v>
      </c>
      <c r="J120" s="210">
        <v>218.83</v>
      </c>
      <c r="K120" s="61" t="s">
        <v>2353</v>
      </c>
    </row>
    <row r="121" spans="1:11">
      <c r="A121" s="202">
        <v>118</v>
      </c>
      <c r="B121" s="203" t="s">
        <v>4572</v>
      </c>
      <c r="C121" s="61" t="s">
        <v>4468</v>
      </c>
      <c r="D121" s="61" t="s">
        <v>24</v>
      </c>
      <c r="E121" s="209">
        <v>4048000</v>
      </c>
      <c r="F121" s="205">
        <f t="shared" si="2"/>
        <v>3926560</v>
      </c>
      <c r="G121" s="206">
        <f t="shared" si="3"/>
        <v>3805120</v>
      </c>
      <c r="H121" s="210">
        <v>1002.23</v>
      </c>
      <c r="I121" s="210">
        <v>829.25</v>
      </c>
      <c r="J121" s="210">
        <v>172.98</v>
      </c>
      <c r="K121" s="61" t="s">
        <v>1544</v>
      </c>
    </row>
    <row r="122" spans="1:11">
      <c r="A122" s="202">
        <v>119</v>
      </c>
      <c r="B122" s="203" t="s">
        <v>1655</v>
      </c>
      <c r="C122" s="61" t="s">
        <v>4467</v>
      </c>
      <c r="D122" s="61" t="s">
        <v>24</v>
      </c>
      <c r="E122" s="209">
        <v>4044000</v>
      </c>
      <c r="F122" s="205">
        <f t="shared" si="2"/>
        <v>3922680</v>
      </c>
      <c r="G122" s="206">
        <f t="shared" si="3"/>
        <v>3801360</v>
      </c>
      <c r="H122" s="210">
        <v>1037.32</v>
      </c>
      <c r="I122" s="210">
        <v>818.49</v>
      </c>
      <c r="J122" s="210">
        <v>218.83</v>
      </c>
      <c r="K122" s="61" t="s">
        <v>2353</v>
      </c>
    </row>
    <row r="123" spans="1:11">
      <c r="A123" s="202">
        <v>120</v>
      </c>
      <c r="B123" s="203" t="s">
        <v>1656</v>
      </c>
      <c r="C123" s="61" t="s">
        <v>4467</v>
      </c>
      <c r="D123" s="61" t="s">
        <v>24</v>
      </c>
      <c r="E123" s="209">
        <v>4044000</v>
      </c>
      <c r="F123" s="205">
        <f t="shared" si="2"/>
        <v>3922680</v>
      </c>
      <c r="G123" s="206">
        <f t="shared" si="3"/>
        <v>3801360</v>
      </c>
      <c r="H123" s="210">
        <v>1037.32</v>
      </c>
      <c r="I123" s="210">
        <v>818.49</v>
      </c>
      <c r="J123" s="210">
        <v>218.83</v>
      </c>
      <c r="K123" s="61" t="s">
        <v>2353</v>
      </c>
    </row>
    <row r="124" spans="1:11">
      <c r="A124" s="202">
        <v>121</v>
      </c>
      <c r="B124" s="203" t="s">
        <v>1657</v>
      </c>
      <c r="C124" s="61" t="s">
        <v>4467</v>
      </c>
      <c r="D124" s="61" t="s">
        <v>24</v>
      </c>
      <c r="E124" s="209">
        <v>4044000</v>
      </c>
      <c r="F124" s="205">
        <f t="shared" si="2"/>
        <v>3922680</v>
      </c>
      <c r="G124" s="206">
        <f t="shared" si="3"/>
        <v>3801360</v>
      </c>
      <c r="H124" s="210">
        <v>1037.21</v>
      </c>
      <c r="I124" s="210">
        <v>818.38</v>
      </c>
      <c r="J124" s="210">
        <v>218.83</v>
      </c>
      <c r="K124" s="61" t="s">
        <v>2353</v>
      </c>
    </row>
    <row r="125" spans="1:11">
      <c r="A125" s="202">
        <v>122</v>
      </c>
      <c r="B125" s="203" t="s">
        <v>1658</v>
      </c>
      <c r="C125" s="61" t="s">
        <v>4465</v>
      </c>
      <c r="D125" s="61" t="s">
        <v>24</v>
      </c>
      <c r="E125" s="209">
        <v>4036000</v>
      </c>
      <c r="F125" s="205">
        <f t="shared" si="2"/>
        <v>3914920</v>
      </c>
      <c r="G125" s="206">
        <f t="shared" si="3"/>
        <v>3793840</v>
      </c>
      <c r="H125" s="210">
        <v>1037.32</v>
      </c>
      <c r="I125" s="210">
        <v>818.49</v>
      </c>
      <c r="J125" s="210">
        <v>218.83</v>
      </c>
      <c r="K125" s="61" t="s">
        <v>2353</v>
      </c>
    </row>
    <row r="126" spans="1:11">
      <c r="A126" s="202">
        <v>123</v>
      </c>
      <c r="B126" s="203" t="s">
        <v>1659</v>
      </c>
      <c r="C126" s="61" t="s">
        <v>4465</v>
      </c>
      <c r="D126" s="61" t="s">
        <v>24</v>
      </c>
      <c r="E126" s="209">
        <v>4036000</v>
      </c>
      <c r="F126" s="205">
        <f t="shared" si="2"/>
        <v>3914920</v>
      </c>
      <c r="G126" s="206">
        <f t="shared" si="3"/>
        <v>3793840</v>
      </c>
      <c r="H126" s="210">
        <v>1037.32</v>
      </c>
      <c r="I126" s="210">
        <v>818.49</v>
      </c>
      <c r="J126" s="210">
        <v>218.83</v>
      </c>
      <c r="K126" s="61" t="s">
        <v>2353</v>
      </c>
    </row>
    <row r="127" spans="1:11">
      <c r="A127" s="202">
        <v>124</v>
      </c>
      <c r="B127" s="203" t="s">
        <v>1660</v>
      </c>
      <c r="C127" s="61" t="s">
        <v>4465</v>
      </c>
      <c r="D127" s="61" t="s">
        <v>24</v>
      </c>
      <c r="E127" s="209">
        <v>4036000</v>
      </c>
      <c r="F127" s="205">
        <f t="shared" si="2"/>
        <v>3914920</v>
      </c>
      <c r="G127" s="206">
        <f t="shared" si="3"/>
        <v>3793840</v>
      </c>
      <c r="H127" s="210">
        <v>1037.21</v>
      </c>
      <c r="I127" s="210">
        <v>818.38</v>
      </c>
      <c r="J127" s="210">
        <v>218.83</v>
      </c>
      <c r="K127" s="61" t="s">
        <v>2353</v>
      </c>
    </row>
    <row r="128" spans="1:11">
      <c r="A128" s="202">
        <v>125</v>
      </c>
      <c r="B128" s="203" t="s">
        <v>1661</v>
      </c>
      <c r="C128" s="61" t="s">
        <v>4465</v>
      </c>
      <c r="D128" s="61" t="s">
        <v>24</v>
      </c>
      <c r="E128" s="209">
        <v>4036000</v>
      </c>
      <c r="F128" s="205">
        <f t="shared" si="2"/>
        <v>3914920</v>
      </c>
      <c r="G128" s="206">
        <f t="shared" si="3"/>
        <v>3793840</v>
      </c>
      <c r="H128" s="210">
        <v>1002.23</v>
      </c>
      <c r="I128" s="210">
        <v>829.25</v>
      </c>
      <c r="J128" s="210">
        <v>172.98</v>
      </c>
      <c r="K128" s="61" t="s">
        <v>1544</v>
      </c>
    </row>
    <row r="129" spans="1:11">
      <c r="A129" s="202">
        <v>126</v>
      </c>
      <c r="B129" s="203" t="s">
        <v>1662</v>
      </c>
      <c r="C129" s="61" t="s">
        <v>4464</v>
      </c>
      <c r="D129" s="61" t="s">
        <v>24</v>
      </c>
      <c r="E129" s="209">
        <v>4033000</v>
      </c>
      <c r="F129" s="205">
        <f t="shared" si="2"/>
        <v>3912010</v>
      </c>
      <c r="G129" s="206">
        <f t="shared" si="3"/>
        <v>3791020</v>
      </c>
      <c r="H129" s="210">
        <v>1037.32</v>
      </c>
      <c r="I129" s="210">
        <v>818.49</v>
      </c>
      <c r="J129" s="210">
        <v>218.83</v>
      </c>
      <c r="K129" s="61" t="s">
        <v>2353</v>
      </c>
    </row>
    <row r="130" spans="1:11">
      <c r="A130" s="202">
        <v>127</v>
      </c>
      <c r="B130" s="203" t="s">
        <v>1663</v>
      </c>
      <c r="C130" s="61" t="s">
        <v>4464</v>
      </c>
      <c r="D130" s="61" t="s">
        <v>24</v>
      </c>
      <c r="E130" s="209">
        <v>4033000</v>
      </c>
      <c r="F130" s="205">
        <f t="shared" si="2"/>
        <v>3912010</v>
      </c>
      <c r="G130" s="206">
        <f t="shared" si="3"/>
        <v>3791020</v>
      </c>
      <c r="H130" s="210">
        <v>1037.32</v>
      </c>
      <c r="I130" s="210">
        <v>818.49</v>
      </c>
      <c r="J130" s="210">
        <v>218.83</v>
      </c>
      <c r="K130" s="61" t="s">
        <v>2353</v>
      </c>
    </row>
    <row r="131" spans="1:11">
      <c r="A131" s="202">
        <v>128</v>
      </c>
      <c r="B131" s="203" t="s">
        <v>1664</v>
      </c>
      <c r="C131" s="61" t="s">
        <v>4464</v>
      </c>
      <c r="D131" s="61" t="s">
        <v>24</v>
      </c>
      <c r="E131" s="209">
        <v>4032000</v>
      </c>
      <c r="F131" s="205">
        <f t="shared" si="2"/>
        <v>3911040</v>
      </c>
      <c r="G131" s="206">
        <f t="shared" si="3"/>
        <v>3790080</v>
      </c>
      <c r="H131" s="210">
        <v>1037.21</v>
      </c>
      <c r="I131" s="210">
        <v>818.38</v>
      </c>
      <c r="J131" s="210">
        <v>218.83</v>
      </c>
      <c r="K131" s="61" t="s">
        <v>2353</v>
      </c>
    </row>
    <row r="132" spans="1:11">
      <c r="A132" s="202">
        <v>129</v>
      </c>
      <c r="B132" s="203" t="s">
        <v>1665</v>
      </c>
      <c r="C132" s="61" t="s">
        <v>4464</v>
      </c>
      <c r="D132" s="61" t="s">
        <v>24</v>
      </c>
      <c r="E132" s="209">
        <v>4033000</v>
      </c>
      <c r="F132" s="205">
        <f t="shared" si="2"/>
        <v>3912010</v>
      </c>
      <c r="G132" s="206">
        <f t="shared" si="3"/>
        <v>3791020</v>
      </c>
      <c r="H132" s="210">
        <v>1002.23</v>
      </c>
      <c r="I132" s="210">
        <v>829.25</v>
      </c>
      <c r="J132" s="210">
        <v>172.98</v>
      </c>
      <c r="K132" s="61" t="s">
        <v>1544</v>
      </c>
    </row>
    <row r="133" spans="1:11">
      <c r="A133" s="202">
        <v>130</v>
      </c>
      <c r="B133" s="203" t="s">
        <v>1666</v>
      </c>
      <c r="C133" s="61" t="s">
        <v>4463</v>
      </c>
      <c r="D133" s="61" t="s">
        <v>24</v>
      </c>
      <c r="E133" s="209">
        <v>4029000</v>
      </c>
      <c r="F133" s="205">
        <f t="shared" ref="F133:F196" si="4">E133*0.97</f>
        <v>3908130</v>
      </c>
      <c r="G133" s="206">
        <f t="shared" ref="G133:G196" si="5">E133*0.94</f>
        <v>3787260</v>
      </c>
      <c r="H133" s="210">
        <v>1037.32</v>
      </c>
      <c r="I133" s="210">
        <v>818.49</v>
      </c>
      <c r="J133" s="210">
        <v>218.83</v>
      </c>
      <c r="K133" s="61" t="s">
        <v>2353</v>
      </c>
    </row>
    <row r="134" spans="1:11">
      <c r="A134" s="202">
        <v>131</v>
      </c>
      <c r="B134" s="203" t="s">
        <v>1667</v>
      </c>
      <c r="C134" s="61" t="s">
        <v>4463</v>
      </c>
      <c r="D134" s="61" t="s">
        <v>24</v>
      </c>
      <c r="E134" s="209">
        <v>4029000</v>
      </c>
      <c r="F134" s="205">
        <f t="shared" si="4"/>
        <v>3908130</v>
      </c>
      <c r="G134" s="206">
        <f t="shared" si="5"/>
        <v>3787260</v>
      </c>
      <c r="H134" s="210">
        <v>1037.32</v>
      </c>
      <c r="I134" s="210">
        <v>818.49</v>
      </c>
      <c r="J134" s="210">
        <v>218.83</v>
      </c>
      <c r="K134" s="61" t="s">
        <v>2353</v>
      </c>
    </row>
    <row r="135" spans="1:11">
      <c r="A135" s="202">
        <v>132</v>
      </c>
      <c r="B135" s="203" t="s">
        <v>1668</v>
      </c>
      <c r="C135" s="61" t="s">
        <v>4463</v>
      </c>
      <c r="D135" s="61" t="s">
        <v>24</v>
      </c>
      <c r="E135" s="209">
        <v>4028000</v>
      </c>
      <c r="F135" s="205">
        <f t="shared" si="4"/>
        <v>3907160</v>
      </c>
      <c r="G135" s="206">
        <f t="shared" si="5"/>
        <v>3786320</v>
      </c>
      <c r="H135" s="210">
        <v>1037.21</v>
      </c>
      <c r="I135" s="210">
        <v>818.38</v>
      </c>
      <c r="J135" s="210">
        <v>218.83</v>
      </c>
      <c r="K135" s="61" t="s">
        <v>2353</v>
      </c>
    </row>
    <row r="136" spans="1:11">
      <c r="A136" s="202">
        <v>133</v>
      </c>
      <c r="B136" s="203" t="s">
        <v>1669</v>
      </c>
      <c r="C136" s="61" t="s">
        <v>4463</v>
      </c>
      <c r="D136" s="61" t="s">
        <v>24</v>
      </c>
      <c r="E136" s="209">
        <v>4029000</v>
      </c>
      <c r="F136" s="205">
        <f t="shared" si="4"/>
        <v>3908130</v>
      </c>
      <c r="G136" s="206">
        <f t="shared" si="5"/>
        <v>3787260</v>
      </c>
      <c r="H136" s="210">
        <v>1002.23</v>
      </c>
      <c r="I136" s="210">
        <v>829.25</v>
      </c>
      <c r="J136" s="210">
        <v>172.98</v>
      </c>
      <c r="K136" s="61" t="s">
        <v>1544</v>
      </c>
    </row>
    <row r="137" spans="1:11">
      <c r="A137" s="202">
        <v>134</v>
      </c>
      <c r="B137" s="203" t="s">
        <v>1670</v>
      </c>
      <c r="C137" s="61" t="s">
        <v>4495</v>
      </c>
      <c r="D137" s="61" t="s">
        <v>24</v>
      </c>
      <c r="E137" s="209">
        <v>4021000</v>
      </c>
      <c r="F137" s="205">
        <f t="shared" si="4"/>
        <v>3900370</v>
      </c>
      <c r="G137" s="206">
        <f t="shared" si="5"/>
        <v>3779740</v>
      </c>
      <c r="H137" s="210">
        <v>1037.32</v>
      </c>
      <c r="I137" s="210">
        <v>818.49</v>
      </c>
      <c r="J137" s="210">
        <v>218.83</v>
      </c>
      <c r="K137" s="61" t="s">
        <v>2353</v>
      </c>
    </row>
    <row r="138" spans="1:11">
      <c r="A138" s="202">
        <v>135</v>
      </c>
      <c r="B138" s="203" t="s">
        <v>1671</v>
      </c>
      <c r="C138" s="61" t="s">
        <v>4495</v>
      </c>
      <c r="D138" s="61" t="s">
        <v>24</v>
      </c>
      <c r="E138" s="209">
        <v>4021000</v>
      </c>
      <c r="F138" s="205">
        <f t="shared" si="4"/>
        <v>3900370</v>
      </c>
      <c r="G138" s="206">
        <f t="shared" si="5"/>
        <v>3779740</v>
      </c>
      <c r="H138" s="210">
        <v>1037.21</v>
      </c>
      <c r="I138" s="210">
        <v>818.38</v>
      </c>
      <c r="J138" s="210">
        <v>218.83</v>
      </c>
      <c r="K138" s="61" t="s">
        <v>2353</v>
      </c>
    </row>
    <row r="139" spans="1:11">
      <c r="A139" s="202">
        <v>136</v>
      </c>
      <c r="B139" s="203" t="s">
        <v>1672</v>
      </c>
      <c r="C139" s="61" t="s">
        <v>4495</v>
      </c>
      <c r="D139" s="61" t="s">
        <v>24</v>
      </c>
      <c r="E139" s="209">
        <v>4021000</v>
      </c>
      <c r="F139" s="205">
        <f t="shared" si="4"/>
        <v>3900370</v>
      </c>
      <c r="G139" s="206">
        <f t="shared" si="5"/>
        <v>3779740</v>
      </c>
      <c r="H139" s="210">
        <v>1037.32</v>
      </c>
      <c r="I139" s="210">
        <v>818.49</v>
      </c>
      <c r="J139" s="210">
        <v>218.83</v>
      </c>
      <c r="K139" s="61" t="s">
        <v>2353</v>
      </c>
    </row>
    <row r="140" spans="1:11">
      <c r="A140" s="202">
        <v>137</v>
      </c>
      <c r="B140" s="203" t="s">
        <v>1673</v>
      </c>
      <c r="C140" s="61" t="s">
        <v>33</v>
      </c>
      <c r="D140" s="61" t="s">
        <v>24</v>
      </c>
      <c r="E140" s="209">
        <v>4013000</v>
      </c>
      <c r="F140" s="205">
        <f t="shared" si="4"/>
        <v>3892610</v>
      </c>
      <c r="G140" s="206">
        <f t="shared" si="5"/>
        <v>3772220</v>
      </c>
      <c r="H140" s="210">
        <v>1037.32</v>
      </c>
      <c r="I140" s="210">
        <v>818.49</v>
      </c>
      <c r="J140" s="210">
        <v>218.83</v>
      </c>
      <c r="K140" s="61" t="s">
        <v>2353</v>
      </c>
    </row>
    <row r="141" spans="1:11">
      <c r="A141" s="202">
        <v>138</v>
      </c>
      <c r="B141" s="203" t="s">
        <v>1674</v>
      </c>
      <c r="C141" s="61" t="s">
        <v>33</v>
      </c>
      <c r="D141" s="61" t="s">
        <v>24</v>
      </c>
      <c r="E141" s="209">
        <v>4013000</v>
      </c>
      <c r="F141" s="205">
        <f t="shared" si="4"/>
        <v>3892610</v>
      </c>
      <c r="G141" s="206">
        <f t="shared" si="5"/>
        <v>3772220</v>
      </c>
      <c r="H141" s="210">
        <v>1037.32</v>
      </c>
      <c r="I141" s="210">
        <v>818.49</v>
      </c>
      <c r="J141" s="210">
        <v>218.83</v>
      </c>
      <c r="K141" s="61" t="s">
        <v>2353</v>
      </c>
    </row>
    <row r="142" spans="1:11">
      <c r="A142" s="202">
        <v>139</v>
      </c>
      <c r="B142" s="203" t="s">
        <v>1675</v>
      </c>
      <c r="C142" s="61" t="s">
        <v>33</v>
      </c>
      <c r="D142" s="61" t="s">
        <v>24</v>
      </c>
      <c r="E142" s="209">
        <v>4013000</v>
      </c>
      <c r="F142" s="205">
        <f t="shared" si="4"/>
        <v>3892610</v>
      </c>
      <c r="G142" s="206">
        <f t="shared" si="5"/>
        <v>3772220</v>
      </c>
      <c r="H142" s="210">
        <v>1037.21</v>
      </c>
      <c r="I142" s="210">
        <v>818.38</v>
      </c>
      <c r="J142" s="210">
        <v>218.83</v>
      </c>
      <c r="K142" s="61" t="s">
        <v>2353</v>
      </c>
    </row>
    <row r="143" spans="1:11">
      <c r="A143" s="202">
        <v>140</v>
      </c>
      <c r="B143" s="203" t="s">
        <v>1676</v>
      </c>
      <c r="C143" s="61" t="s">
        <v>33</v>
      </c>
      <c r="D143" s="61" t="s">
        <v>24</v>
      </c>
      <c r="E143" s="209">
        <v>4013000</v>
      </c>
      <c r="F143" s="205">
        <f t="shared" si="4"/>
        <v>3892610</v>
      </c>
      <c r="G143" s="206">
        <f t="shared" si="5"/>
        <v>3772220</v>
      </c>
      <c r="H143" s="210">
        <v>1037.21</v>
      </c>
      <c r="I143" s="210">
        <v>818.38</v>
      </c>
      <c r="J143" s="210">
        <v>218.83</v>
      </c>
      <c r="K143" s="61" t="s">
        <v>2353</v>
      </c>
    </row>
    <row r="144" spans="1:11">
      <c r="A144" s="202">
        <v>141</v>
      </c>
      <c r="B144" s="203" t="s">
        <v>1677</v>
      </c>
      <c r="C144" s="61" t="s">
        <v>33</v>
      </c>
      <c r="D144" s="61" t="s">
        <v>24</v>
      </c>
      <c r="E144" s="209">
        <v>4013000</v>
      </c>
      <c r="F144" s="205">
        <f t="shared" si="4"/>
        <v>3892610</v>
      </c>
      <c r="G144" s="206">
        <f t="shared" si="5"/>
        <v>3772220</v>
      </c>
      <c r="H144" s="210">
        <v>1002.23</v>
      </c>
      <c r="I144" s="210">
        <v>829.25</v>
      </c>
      <c r="J144" s="210">
        <v>172.98</v>
      </c>
      <c r="K144" s="61" t="s">
        <v>1544</v>
      </c>
    </row>
    <row r="145" spans="1:11">
      <c r="A145" s="202">
        <v>142</v>
      </c>
      <c r="B145" s="203" t="s">
        <v>1678</v>
      </c>
      <c r="C145" s="61" t="s">
        <v>4461</v>
      </c>
      <c r="D145" s="61" t="s">
        <v>24</v>
      </c>
      <c r="E145" s="209">
        <v>4006000</v>
      </c>
      <c r="F145" s="205">
        <f t="shared" si="4"/>
        <v>3885820</v>
      </c>
      <c r="G145" s="206">
        <f t="shared" si="5"/>
        <v>3765640</v>
      </c>
      <c r="H145" s="210">
        <v>1037.32</v>
      </c>
      <c r="I145" s="210">
        <v>818.49</v>
      </c>
      <c r="J145" s="210">
        <v>218.83</v>
      </c>
      <c r="K145" s="61" t="s">
        <v>2353</v>
      </c>
    </row>
    <row r="146" spans="1:11">
      <c r="A146" s="202">
        <v>143</v>
      </c>
      <c r="B146" s="203" t="s">
        <v>1679</v>
      </c>
      <c r="C146" s="61" t="s">
        <v>4461</v>
      </c>
      <c r="D146" s="61" t="s">
        <v>24</v>
      </c>
      <c r="E146" s="209">
        <v>4006000</v>
      </c>
      <c r="F146" s="205">
        <f t="shared" si="4"/>
        <v>3885820</v>
      </c>
      <c r="G146" s="206">
        <f t="shared" si="5"/>
        <v>3765640</v>
      </c>
      <c r="H146" s="210">
        <v>1037.32</v>
      </c>
      <c r="I146" s="210">
        <v>818.49</v>
      </c>
      <c r="J146" s="210">
        <v>218.83</v>
      </c>
      <c r="K146" s="61" t="s">
        <v>2353</v>
      </c>
    </row>
    <row r="147" spans="1:11">
      <c r="A147" s="202">
        <v>144</v>
      </c>
      <c r="B147" s="203" t="s">
        <v>1680</v>
      </c>
      <c r="C147" s="61" t="s">
        <v>4461</v>
      </c>
      <c r="D147" s="61" t="s">
        <v>24</v>
      </c>
      <c r="E147" s="209">
        <v>4006000</v>
      </c>
      <c r="F147" s="205">
        <f t="shared" si="4"/>
        <v>3885820</v>
      </c>
      <c r="G147" s="206">
        <f t="shared" si="5"/>
        <v>3765640</v>
      </c>
      <c r="H147" s="210">
        <v>1037.32</v>
      </c>
      <c r="I147" s="210">
        <v>818.49</v>
      </c>
      <c r="J147" s="210">
        <v>218.83</v>
      </c>
      <c r="K147" s="61" t="s">
        <v>2353</v>
      </c>
    </row>
    <row r="148" spans="1:11">
      <c r="A148" s="202">
        <v>145</v>
      </c>
      <c r="B148" s="203" t="s">
        <v>4573</v>
      </c>
      <c r="C148" s="61" t="s">
        <v>4461</v>
      </c>
      <c r="D148" s="61" t="s">
        <v>24</v>
      </c>
      <c r="E148" s="209">
        <v>4005000</v>
      </c>
      <c r="F148" s="205">
        <f t="shared" si="4"/>
        <v>3884850</v>
      </c>
      <c r="G148" s="206">
        <f t="shared" si="5"/>
        <v>3764700</v>
      </c>
      <c r="H148" s="210">
        <v>1002.23</v>
      </c>
      <c r="I148" s="210">
        <v>829.25</v>
      </c>
      <c r="J148" s="210">
        <v>172.98</v>
      </c>
      <c r="K148" s="61" t="s">
        <v>1544</v>
      </c>
    </row>
    <row r="149" spans="1:11">
      <c r="A149" s="202">
        <v>146</v>
      </c>
      <c r="B149" s="203" t="s">
        <v>1681</v>
      </c>
      <c r="C149" s="61" t="s">
        <v>4461</v>
      </c>
      <c r="D149" s="61" t="s">
        <v>24</v>
      </c>
      <c r="E149" s="209">
        <v>4005000</v>
      </c>
      <c r="F149" s="205">
        <f t="shared" si="4"/>
        <v>3884850</v>
      </c>
      <c r="G149" s="206">
        <f t="shared" si="5"/>
        <v>3764700</v>
      </c>
      <c r="H149" s="210">
        <v>1037.21</v>
      </c>
      <c r="I149" s="210">
        <v>818.38</v>
      </c>
      <c r="J149" s="210">
        <v>218.83</v>
      </c>
      <c r="K149" s="61" t="s">
        <v>2353</v>
      </c>
    </row>
    <row r="150" spans="1:11">
      <c r="A150" s="202">
        <v>147</v>
      </c>
      <c r="B150" s="203" t="s">
        <v>1682</v>
      </c>
      <c r="C150" s="61" t="s">
        <v>4460</v>
      </c>
      <c r="D150" s="61" t="s">
        <v>24</v>
      </c>
      <c r="E150" s="209">
        <v>4002000</v>
      </c>
      <c r="F150" s="205">
        <f t="shared" si="4"/>
        <v>3881940</v>
      </c>
      <c r="G150" s="206">
        <f t="shared" si="5"/>
        <v>3761880</v>
      </c>
      <c r="H150" s="210">
        <v>1037.32</v>
      </c>
      <c r="I150" s="210">
        <v>818.49</v>
      </c>
      <c r="J150" s="210">
        <v>218.83</v>
      </c>
      <c r="K150" s="61" t="s">
        <v>2353</v>
      </c>
    </row>
    <row r="151" spans="1:11">
      <c r="A151" s="202">
        <v>148</v>
      </c>
      <c r="B151" s="203" t="s">
        <v>1683</v>
      </c>
      <c r="C151" s="61" t="s">
        <v>4460</v>
      </c>
      <c r="D151" s="61" t="s">
        <v>24</v>
      </c>
      <c r="E151" s="209">
        <v>4001000</v>
      </c>
      <c r="F151" s="205">
        <f t="shared" si="4"/>
        <v>3880970</v>
      </c>
      <c r="G151" s="206">
        <f t="shared" si="5"/>
        <v>3760940</v>
      </c>
      <c r="H151" s="210">
        <v>1037.21</v>
      </c>
      <c r="I151" s="210">
        <v>818.38</v>
      </c>
      <c r="J151" s="210">
        <v>218.83</v>
      </c>
      <c r="K151" s="61" t="s">
        <v>2353</v>
      </c>
    </row>
    <row r="152" spans="1:11">
      <c r="A152" s="202">
        <v>149</v>
      </c>
      <c r="B152" s="203" t="s">
        <v>1684</v>
      </c>
      <c r="C152" s="61" t="s">
        <v>4460</v>
      </c>
      <c r="D152" s="61" t="s">
        <v>24</v>
      </c>
      <c r="E152" s="209">
        <v>4002000</v>
      </c>
      <c r="F152" s="205">
        <f t="shared" si="4"/>
        <v>3881940</v>
      </c>
      <c r="G152" s="206">
        <f t="shared" si="5"/>
        <v>3761880</v>
      </c>
      <c r="H152" s="210">
        <v>1037.32</v>
      </c>
      <c r="I152" s="210">
        <v>818.49</v>
      </c>
      <c r="J152" s="210">
        <v>218.83</v>
      </c>
      <c r="K152" s="61" t="s">
        <v>2353</v>
      </c>
    </row>
    <row r="153" spans="1:11">
      <c r="A153" s="202">
        <v>150</v>
      </c>
      <c r="B153" s="203" t="s">
        <v>1685</v>
      </c>
      <c r="C153" s="61" t="s">
        <v>4460</v>
      </c>
      <c r="D153" s="61" t="s">
        <v>24</v>
      </c>
      <c r="E153" s="209">
        <v>4001000</v>
      </c>
      <c r="F153" s="205">
        <f t="shared" si="4"/>
        <v>3880970</v>
      </c>
      <c r="G153" s="206">
        <f t="shared" si="5"/>
        <v>3760940</v>
      </c>
      <c r="H153" s="210">
        <v>1037.21</v>
      </c>
      <c r="I153" s="210">
        <v>818.38</v>
      </c>
      <c r="J153" s="210">
        <v>218.83</v>
      </c>
      <c r="K153" s="61" t="s">
        <v>2353</v>
      </c>
    </row>
    <row r="154" spans="1:11">
      <c r="A154" s="202">
        <v>151</v>
      </c>
      <c r="B154" s="203" t="s">
        <v>1686</v>
      </c>
      <c r="C154" s="61" t="s">
        <v>4460</v>
      </c>
      <c r="D154" s="61" t="s">
        <v>24</v>
      </c>
      <c r="E154" s="209">
        <v>4002000</v>
      </c>
      <c r="F154" s="205">
        <f t="shared" si="4"/>
        <v>3881940</v>
      </c>
      <c r="G154" s="206">
        <f t="shared" si="5"/>
        <v>3761880</v>
      </c>
      <c r="H154" s="210">
        <v>1037.32</v>
      </c>
      <c r="I154" s="210">
        <v>818.49</v>
      </c>
      <c r="J154" s="210">
        <v>218.83</v>
      </c>
      <c r="K154" s="61" t="s">
        <v>2353</v>
      </c>
    </row>
    <row r="155" spans="1:11">
      <c r="A155" s="202">
        <v>152</v>
      </c>
      <c r="B155" s="203" t="s">
        <v>1687</v>
      </c>
      <c r="C155" s="61" t="s">
        <v>4460</v>
      </c>
      <c r="D155" s="61" t="s">
        <v>24</v>
      </c>
      <c r="E155" s="209">
        <v>4002000</v>
      </c>
      <c r="F155" s="205">
        <f t="shared" si="4"/>
        <v>3881940</v>
      </c>
      <c r="G155" s="206">
        <f t="shared" si="5"/>
        <v>3761880</v>
      </c>
      <c r="H155" s="210">
        <v>1002.23</v>
      </c>
      <c r="I155" s="210">
        <v>829.25</v>
      </c>
      <c r="J155" s="210">
        <v>172.98</v>
      </c>
      <c r="K155" s="61" t="s">
        <v>1544</v>
      </c>
    </row>
    <row r="156" spans="1:11">
      <c r="A156" s="202">
        <v>153</v>
      </c>
      <c r="B156" s="203" t="s">
        <v>1688</v>
      </c>
      <c r="C156" s="61" t="s">
        <v>11</v>
      </c>
      <c r="D156" s="61" t="s">
        <v>24</v>
      </c>
      <c r="E156" s="209">
        <v>3998000</v>
      </c>
      <c r="F156" s="205">
        <f t="shared" si="4"/>
        <v>3878060</v>
      </c>
      <c r="G156" s="206">
        <f t="shared" si="5"/>
        <v>3758120</v>
      </c>
      <c r="H156" s="210">
        <v>1037.32</v>
      </c>
      <c r="I156" s="210">
        <v>818.49</v>
      </c>
      <c r="J156" s="210">
        <v>218.83</v>
      </c>
      <c r="K156" s="61" t="s">
        <v>2353</v>
      </c>
    </row>
    <row r="157" spans="1:11">
      <c r="A157" s="202">
        <v>154</v>
      </c>
      <c r="B157" s="203" t="s">
        <v>1689</v>
      </c>
      <c r="C157" s="61" t="s">
        <v>11</v>
      </c>
      <c r="D157" s="61" t="s">
        <v>24</v>
      </c>
      <c r="E157" s="209">
        <v>3998000</v>
      </c>
      <c r="F157" s="205">
        <f t="shared" si="4"/>
        <v>3878060</v>
      </c>
      <c r="G157" s="206">
        <f t="shared" si="5"/>
        <v>3758120</v>
      </c>
      <c r="H157" s="210">
        <v>1037.32</v>
      </c>
      <c r="I157" s="210">
        <v>818.49</v>
      </c>
      <c r="J157" s="210">
        <v>218.83</v>
      </c>
      <c r="K157" s="61" t="s">
        <v>2353</v>
      </c>
    </row>
    <row r="158" spans="1:11">
      <c r="A158" s="202">
        <v>155</v>
      </c>
      <c r="B158" s="203" t="s">
        <v>1690</v>
      </c>
      <c r="C158" s="61" t="s">
        <v>11</v>
      </c>
      <c r="D158" s="61" t="s">
        <v>24</v>
      </c>
      <c r="E158" s="209">
        <v>3998000</v>
      </c>
      <c r="F158" s="205">
        <f t="shared" si="4"/>
        <v>3878060</v>
      </c>
      <c r="G158" s="206">
        <f t="shared" si="5"/>
        <v>3758120</v>
      </c>
      <c r="H158" s="210">
        <v>1037.32</v>
      </c>
      <c r="I158" s="210">
        <v>818.49</v>
      </c>
      <c r="J158" s="210">
        <v>218.83</v>
      </c>
      <c r="K158" s="61" t="s">
        <v>2353</v>
      </c>
    </row>
    <row r="159" spans="1:11">
      <c r="A159" s="202">
        <v>156</v>
      </c>
      <c r="B159" s="203" t="s">
        <v>1691</v>
      </c>
      <c r="C159" s="61" t="s">
        <v>11</v>
      </c>
      <c r="D159" s="61" t="s">
        <v>24</v>
      </c>
      <c r="E159" s="209">
        <v>3998000</v>
      </c>
      <c r="F159" s="205">
        <f t="shared" si="4"/>
        <v>3878060</v>
      </c>
      <c r="G159" s="206">
        <f t="shared" si="5"/>
        <v>3758120</v>
      </c>
      <c r="H159" s="210">
        <v>1037.21</v>
      </c>
      <c r="I159" s="210">
        <v>818.38</v>
      </c>
      <c r="J159" s="210">
        <v>218.83</v>
      </c>
      <c r="K159" s="61" t="s">
        <v>2353</v>
      </c>
    </row>
    <row r="160" spans="1:11">
      <c r="A160" s="202">
        <v>157</v>
      </c>
      <c r="B160" s="203" t="s">
        <v>1692</v>
      </c>
      <c r="C160" s="61" t="s">
        <v>11</v>
      </c>
      <c r="D160" s="61" t="s">
        <v>24</v>
      </c>
      <c r="E160" s="209">
        <v>3998000</v>
      </c>
      <c r="F160" s="205">
        <f t="shared" si="4"/>
        <v>3878060</v>
      </c>
      <c r="G160" s="206">
        <f t="shared" si="5"/>
        <v>3758120</v>
      </c>
      <c r="H160" s="210">
        <v>1037.21</v>
      </c>
      <c r="I160" s="210">
        <v>818.38</v>
      </c>
      <c r="J160" s="210">
        <v>218.83</v>
      </c>
      <c r="K160" s="61" t="s">
        <v>2353</v>
      </c>
    </row>
    <row r="161" spans="1:11">
      <c r="A161" s="202">
        <v>158</v>
      </c>
      <c r="B161" s="203" t="s">
        <v>1693</v>
      </c>
      <c r="C161" s="61" t="s">
        <v>11</v>
      </c>
      <c r="D161" s="61" t="s">
        <v>24</v>
      </c>
      <c r="E161" s="209">
        <v>3998000</v>
      </c>
      <c r="F161" s="205">
        <f t="shared" si="4"/>
        <v>3878060</v>
      </c>
      <c r="G161" s="206">
        <f t="shared" si="5"/>
        <v>3758120</v>
      </c>
      <c r="H161" s="210">
        <v>1002.23</v>
      </c>
      <c r="I161" s="210">
        <v>829.25</v>
      </c>
      <c r="J161" s="210">
        <v>172.98</v>
      </c>
      <c r="K161" s="61" t="s">
        <v>1544</v>
      </c>
    </row>
    <row r="162" spans="1:11">
      <c r="A162" s="202">
        <v>159</v>
      </c>
      <c r="B162" s="203" t="s">
        <v>1694</v>
      </c>
      <c r="C162" s="61" t="s">
        <v>3</v>
      </c>
      <c r="D162" s="61" t="s">
        <v>24</v>
      </c>
      <c r="E162" s="209">
        <v>3970000</v>
      </c>
      <c r="F162" s="205">
        <f t="shared" si="4"/>
        <v>3850900</v>
      </c>
      <c r="G162" s="206">
        <f t="shared" si="5"/>
        <v>3731800</v>
      </c>
      <c r="H162" s="210">
        <v>1091.8900000000001</v>
      </c>
      <c r="I162" s="210">
        <v>818.49</v>
      </c>
      <c r="J162" s="210">
        <v>273.39999999999998</v>
      </c>
      <c r="K162" s="61" t="s">
        <v>2353</v>
      </c>
    </row>
    <row r="163" spans="1:11">
      <c r="A163" s="202">
        <v>160</v>
      </c>
      <c r="B163" s="203" t="s">
        <v>1695</v>
      </c>
      <c r="C163" s="61" t="s">
        <v>3</v>
      </c>
      <c r="D163" s="61" t="s">
        <v>24</v>
      </c>
      <c r="E163" s="209">
        <v>3970000</v>
      </c>
      <c r="F163" s="205">
        <f t="shared" si="4"/>
        <v>3850900</v>
      </c>
      <c r="G163" s="206">
        <f t="shared" si="5"/>
        <v>3731800</v>
      </c>
      <c r="H163" s="210">
        <v>1091.8900000000001</v>
      </c>
      <c r="I163" s="210">
        <v>818.49</v>
      </c>
      <c r="J163" s="210">
        <v>273.39999999999998</v>
      </c>
      <c r="K163" s="61" t="s">
        <v>2353</v>
      </c>
    </row>
    <row r="164" spans="1:11">
      <c r="A164" s="202">
        <v>161</v>
      </c>
      <c r="B164" s="203" t="s">
        <v>1696</v>
      </c>
      <c r="C164" s="61" t="s">
        <v>3</v>
      </c>
      <c r="D164" s="61" t="s">
        <v>24</v>
      </c>
      <c r="E164" s="209">
        <v>3970000</v>
      </c>
      <c r="F164" s="205">
        <f t="shared" si="4"/>
        <v>3850900</v>
      </c>
      <c r="G164" s="206">
        <f t="shared" si="5"/>
        <v>3731800</v>
      </c>
      <c r="H164" s="210">
        <v>1091.78</v>
      </c>
      <c r="I164" s="210">
        <v>818.38</v>
      </c>
      <c r="J164" s="210">
        <v>273.39999999999998</v>
      </c>
      <c r="K164" s="61" t="s">
        <v>2353</v>
      </c>
    </row>
    <row r="165" spans="1:11">
      <c r="A165" s="202">
        <v>162</v>
      </c>
      <c r="B165" s="203" t="s">
        <v>1697</v>
      </c>
      <c r="C165" s="61" t="s">
        <v>5</v>
      </c>
      <c r="D165" s="61" t="s">
        <v>24</v>
      </c>
      <c r="E165" s="209">
        <v>3983000</v>
      </c>
      <c r="F165" s="205">
        <f t="shared" si="4"/>
        <v>3863510</v>
      </c>
      <c r="G165" s="206">
        <f t="shared" si="5"/>
        <v>3744020</v>
      </c>
      <c r="H165" s="210">
        <v>1037.32</v>
      </c>
      <c r="I165" s="210">
        <v>818.49</v>
      </c>
      <c r="J165" s="210">
        <v>218.83</v>
      </c>
      <c r="K165" s="61" t="s">
        <v>2353</v>
      </c>
    </row>
    <row r="166" spans="1:11">
      <c r="A166" s="202">
        <v>163</v>
      </c>
      <c r="B166" s="203" t="s">
        <v>1698</v>
      </c>
      <c r="C166" s="61" t="s">
        <v>5</v>
      </c>
      <c r="D166" s="61" t="s">
        <v>24</v>
      </c>
      <c r="E166" s="209">
        <v>3983000</v>
      </c>
      <c r="F166" s="205">
        <f t="shared" si="4"/>
        <v>3863510</v>
      </c>
      <c r="G166" s="206">
        <f t="shared" si="5"/>
        <v>3744020</v>
      </c>
      <c r="H166" s="210">
        <v>1037.32</v>
      </c>
      <c r="I166" s="210">
        <v>818.49</v>
      </c>
      <c r="J166" s="210">
        <v>218.83</v>
      </c>
      <c r="K166" s="61" t="s">
        <v>2353</v>
      </c>
    </row>
    <row r="167" spans="1:11">
      <c r="A167" s="202">
        <v>164</v>
      </c>
      <c r="B167" s="203" t="s">
        <v>1699</v>
      </c>
      <c r="C167" s="61" t="s">
        <v>5</v>
      </c>
      <c r="D167" s="61" t="s">
        <v>24</v>
      </c>
      <c r="E167" s="209">
        <v>3983000</v>
      </c>
      <c r="F167" s="205">
        <f t="shared" si="4"/>
        <v>3863510</v>
      </c>
      <c r="G167" s="206">
        <f t="shared" si="5"/>
        <v>3744020</v>
      </c>
      <c r="H167" s="210">
        <v>1037.32</v>
      </c>
      <c r="I167" s="210">
        <v>818.49</v>
      </c>
      <c r="J167" s="210">
        <v>218.83</v>
      </c>
      <c r="K167" s="61" t="s">
        <v>2353</v>
      </c>
    </row>
    <row r="168" spans="1:11">
      <c r="A168" s="202">
        <v>165</v>
      </c>
      <c r="B168" s="203" t="s">
        <v>1700</v>
      </c>
      <c r="C168" s="61" t="s">
        <v>5</v>
      </c>
      <c r="D168" s="61" t="s">
        <v>24</v>
      </c>
      <c r="E168" s="209">
        <v>3982000</v>
      </c>
      <c r="F168" s="205">
        <f t="shared" si="4"/>
        <v>3862540</v>
      </c>
      <c r="G168" s="206">
        <f t="shared" si="5"/>
        <v>3743080</v>
      </c>
      <c r="H168" s="210">
        <v>1037.21</v>
      </c>
      <c r="I168" s="210">
        <v>818.38</v>
      </c>
      <c r="J168" s="210">
        <v>218.83</v>
      </c>
      <c r="K168" s="61" t="s">
        <v>2353</v>
      </c>
    </row>
    <row r="169" spans="1:11">
      <c r="A169" s="202">
        <v>166</v>
      </c>
      <c r="B169" s="203" t="s">
        <v>1701</v>
      </c>
      <c r="C169" s="61" t="s">
        <v>5</v>
      </c>
      <c r="D169" s="61" t="s">
        <v>24</v>
      </c>
      <c r="E169" s="209">
        <v>3982000</v>
      </c>
      <c r="F169" s="205">
        <f t="shared" si="4"/>
        <v>3862540</v>
      </c>
      <c r="G169" s="206">
        <f t="shared" si="5"/>
        <v>3743080</v>
      </c>
      <c r="H169" s="210">
        <v>1037.21</v>
      </c>
      <c r="I169" s="210">
        <v>818.38</v>
      </c>
      <c r="J169" s="210">
        <v>218.83</v>
      </c>
      <c r="K169" s="61" t="s">
        <v>2353</v>
      </c>
    </row>
    <row r="170" spans="1:11">
      <c r="A170" s="202">
        <v>167</v>
      </c>
      <c r="B170" s="203" t="s">
        <v>1702</v>
      </c>
      <c r="C170" s="61" t="s">
        <v>5</v>
      </c>
      <c r="D170" s="61" t="s">
        <v>24</v>
      </c>
      <c r="E170" s="209">
        <v>3982000</v>
      </c>
      <c r="F170" s="205">
        <f t="shared" si="4"/>
        <v>3862540</v>
      </c>
      <c r="G170" s="206">
        <f t="shared" si="5"/>
        <v>3743080</v>
      </c>
      <c r="H170" s="210">
        <v>1002.23</v>
      </c>
      <c r="I170" s="210">
        <v>829.25</v>
      </c>
      <c r="J170" s="210">
        <v>172.98</v>
      </c>
      <c r="K170" s="61" t="s">
        <v>1544</v>
      </c>
    </row>
    <row r="171" spans="1:11">
      <c r="A171" s="202">
        <v>168</v>
      </c>
      <c r="B171" s="203" t="s">
        <v>1703</v>
      </c>
      <c r="C171" s="61" t="s">
        <v>4</v>
      </c>
      <c r="D171" s="61" t="s">
        <v>24</v>
      </c>
      <c r="E171" s="209">
        <v>3979000</v>
      </c>
      <c r="F171" s="205">
        <f t="shared" si="4"/>
        <v>3859630</v>
      </c>
      <c r="G171" s="206">
        <f t="shared" si="5"/>
        <v>3740260</v>
      </c>
      <c r="H171" s="210">
        <v>1037.32</v>
      </c>
      <c r="I171" s="210">
        <v>818.49</v>
      </c>
      <c r="J171" s="210">
        <v>218.83</v>
      </c>
      <c r="K171" s="61" t="s">
        <v>2353</v>
      </c>
    </row>
    <row r="172" spans="1:11">
      <c r="A172" s="202">
        <v>169</v>
      </c>
      <c r="B172" s="203" t="s">
        <v>1704</v>
      </c>
      <c r="C172" s="61" t="s">
        <v>4</v>
      </c>
      <c r="D172" s="61" t="s">
        <v>24</v>
      </c>
      <c r="E172" s="209">
        <v>3979000</v>
      </c>
      <c r="F172" s="205">
        <f t="shared" si="4"/>
        <v>3859630</v>
      </c>
      <c r="G172" s="206">
        <f t="shared" si="5"/>
        <v>3740260</v>
      </c>
      <c r="H172" s="210">
        <v>1037.32</v>
      </c>
      <c r="I172" s="210">
        <v>818.49</v>
      </c>
      <c r="J172" s="210">
        <v>218.83</v>
      </c>
      <c r="K172" s="61" t="s">
        <v>2353</v>
      </c>
    </row>
    <row r="173" spans="1:11">
      <c r="A173" s="202">
        <v>170</v>
      </c>
      <c r="B173" s="203" t="s">
        <v>1705</v>
      </c>
      <c r="C173" s="61" t="s">
        <v>4</v>
      </c>
      <c r="D173" s="61" t="s">
        <v>24</v>
      </c>
      <c r="E173" s="209">
        <v>3979000</v>
      </c>
      <c r="F173" s="205">
        <f t="shared" si="4"/>
        <v>3859630</v>
      </c>
      <c r="G173" s="206">
        <f t="shared" si="5"/>
        <v>3740260</v>
      </c>
      <c r="H173" s="210">
        <v>1037.32</v>
      </c>
      <c r="I173" s="210">
        <v>818.49</v>
      </c>
      <c r="J173" s="210">
        <v>218.83</v>
      </c>
      <c r="K173" s="61" t="s">
        <v>2353</v>
      </c>
    </row>
    <row r="174" spans="1:11">
      <c r="A174" s="202">
        <v>171</v>
      </c>
      <c r="B174" s="203" t="s">
        <v>1706</v>
      </c>
      <c r="C174" s="61" t="s">
        <v>4</v>
      </c>
      <c r="D174" s="61" t="s">
        <v>24</v>
      </c>
      <c r="E174" s="209">
        <v>3978000</v>
      </c>
      <c r="F174" s="205">
        <f t="shared" si="4"/>
        <v>3858660</v>
      </c>
      <c r="G174" s="206">
        <f t="shared" si="5"/>
        <v>3739320</v>
      </c>
      <c r="H174" s="210">
        <v>1037.21</v>
      </c>
      <c r="I174" s="210">
        <v>818.38</v>
      </c>
      <c r="J174" s="210">
        <v>218.83</v>
      </c>
      <c r="K174" s="61" t="s">
        <v>2353</v>
      </c>
    </row>
    <row r="175" spans="1:11">
      <c r="A175" s="202">
        <v>172</v>
      </c>
      <c r="B175" s="203" t="s">
        <v>1707</v>
      </c>
      <c r="C175" s="61" t="s">
        <v>4</v>
      </c>
      <c r="D175" s="61" t="s">
        <v>24</v>
      </c>
      <c r="E175" s="209">
        <v>3978000</v>
      </c>
      <c r="F175" s="205">
        <f t="shared" si="4"/>
        <v>3858660</v>
      </c>
      <c r="G175" s="206">
        <f t="shared" si="5"/>
        <v>3739320</v>
      </c>
      <c r="H175" s="210">
        <v>1037.21</v>
      </c>
      <c r="I175" s="210">
        <v>818.38</v>
      </c>
      <c r="J175" s="210">
        <v>218.83</v>
      </c>
      <c r="K175" s="61" t="s">
        <v>2353</v>
      </c>
    </row>
    <row r="176" spans="1:11">
      <c r="A176" s="202">
        <v>173</v>
      </c>
      <c r="B176" s="203" t="s">
        <v>1708</v>
      </c>
      <c r="C176" s="61" t="s">
        <v>4</v>
      </c>
      <c r="D176" s="61" t="s">
        <v>24</v>
      </c>
      <c r="E176" s="209">
        <v>3978000</v>
      </c>
      <c r="F176" s="205">
        <f t="shared" si="4"/>
        <v>3858660</v>
      </c>
      <c r="G176" s="206">
        <f t="shared" si="5"/>
        <v>3739320</v>
      </c>
      <c r="H176" s="210">
        <v>1002.23</v>
      </c>
      <c r="I176" s="210">
        <v>829.25</v>
      </c>
      <c r="J176" s="210">
        <v>172.98</v>
      </c>
      <c r="K176" s="61" t="s">
        <v>1544</v>
      </c>
    </row>
    <row r="177" spans="1:11">
      <c r="A177" s="202">
        <v>174</v>
      </c>
      <c r="B177" s="203" t="s">
        <v>1709</v>
      </c>
      <c r="C177" s="61" t="s">
        <v>4458</v>
      </c>
      <c r="D177" s="61" t="s">
        <v>24</v>
      </c>
      <c r="E177" s="209">
        <v>3975000</v>
      </c>
      <c r="F177" s="205">
        <f t="shared" si="4"/>
        <v>3855750</v>
      </c>
      <c r="G177" s="206">
        <f t="shared" si="5"/>
        <v>3736500</v>
      </c>
      <c r="H177" s="210">
        <v>1037.32</v>
      </c>
      <c r="I177" s="210">
        <v>818.49</v>
      </c>
      <c r="J177" s="210">
        <v>218.83</v>
      </c>
      <c r="K177" s="61" t="s">
        <v>2353</v>
      </c>
    </row>
    <row r="178" spans="1:11">
      <c r="A178" s="202">
        <v>175</v>
      </c>
      <c r="B178" s="203" t="s">
        <v>1710</v>
      </c>
      <c r="C178" s="61" t="s">
        <v>4458</v>
      </c>
      <c r="D178" s="61" t="s">
        <v>24</v>
      </c>
      <c r="E178" s="209">
        <v>3975000</v>
      </c>
      <c r="F178" s="205">
        <f t="shared" si="4"/>
        <v>3855750</v>
      </c>
      <c r="G178" s="206">
        <f t="shared" si="5"/>
        <v>3736500</v>
      </c>
      <c r="H178" s="210">
        <v>1037.32</v>
      </c>
      <c r="I178" s="210">
        <v>818.49</v>
      </c>
      <c r="J178" s="210">
        <v>218.83</v>
      </c>
      <c r="K178" s="61" t="s">
        <v>2353</v>
      </c>
    </row>
    <row r="179" spans="1:11">
      <c r="A179" s="202">
        <v>176</v>
      </c>
      <c r="B179" s="203" t="s">
        <v>1711</v>
      </c>
      <c r="C179" s="61" t="s">
        <v>4458</v>
      </c>
      <c r="D179" s="61" t="s">
        <v>24</v>
      </c>
      <c r="E179" s="209">
        <v>3975000</v>
      </c>
      <c r="F179" s="205">
        <f t="shared" si="4"/>
        <v>3855750</v>
      </c>
      <c r="G179" s="206">
        <f t="shared" si="5"/>
        <v>3736500</v>
      </c>
      <c r="H179" s="210">
        <v>1037.32</v>
      </c>
      <c r="I179" s="210">
        <v>818.49</v>
      </c>
      <c r="J179" s="210">
        <v>218.83</v>
      </c>
      <c r="K179" s="61" t="s">
        <v>2353</v>
      </c>
    </row>
    <row r="180" spans="1:11">
      <c r="A180" s="202">
        <v>177</v>
      </c>
      <c r="B180" s="203" t="s">
        <v>1712</v>
      </c>
      <c r="C180" s="61" t="s">
        <v>4458</v>
      </c>
      <c r="D180" s="61" t="s">
        <v>24</v>
      </c>
      <c r="E180" s="209">
        <v>3975000</v>
      </c>
      <c r="F180" s="205">
        <f t="shared" si="4"/>
        <v>3855750</v>
      </c>
      <c r="G180" s="206">
        <f t="shared" si="5"/>
        <v>3736500</v>
      </c>
      <c r="H180" s="210">
        <v>1037.21</v>
      </c>
      <c r="I180" s="210">
        <v>818.38</v>
      </c>
      <c r="J180" s="210">
        <v>218.83</v>
      </c>
      <c r="K180" s="61" t="s">
        <v>2353</v>
      </c>
    </row>
    <row r="181" spans="1:11">
      <c r="A181" s="202">
        <v>178</v>
      </c>
      <c r="B181" s="203" t="s">
        <v>1713</v>
      </c>
      <c r="C181" s="61" t="s">
        <v>4458</v>
      </c>
      <c r="D181" s="61" t="s">
        <v>24</v>
      </c>
      <c r="E181" s="209">
        <v>3975000</v>
      </c>
      <c r="F181" s="205">
        <f t="shared" si="4"/>
        <v>3855750</v>
      </c>
      <c r="G181" s="206">
        <f t="shared" si="5"/>
        <v>3736500</v>
      </c>
      <c r="H181" s="210">
        <v>1037.21</v>
      </c>
      <c r="I181" s="210">
        <v>818.38</v>
      </c>
      <c r="J181" s="210">
        <v>218.83</v>
      </c>
      <c r="K181" s="61" t="s">
        <v>2353</v>
      </c>
    </row>
    <row r="182" spans="1:11">
      <c r="A182" s="202">
        <v>179</v>
      </c>
      <c r="B182" s="203" t="s">
        <v>1714</v>
      </c>
      <c r="C182" s="61" t="s">
        <v>4458</v>
      </c>
      <c r="D182" s="61" t="s">
        <v>24</v>
      </c>
      <c r="E182" s="209">
        <v>3974000</v>
      </c>
      <c r="F182" s="205">
        <f t="shared" si="4"/>
        <v>3854780</v>
      </c>
      <c r="G182" s="206">
        <f t="shared" si="5"/>
        <v>3735560</v>
      </c>
      <c r="H182" s="210">
        <v>1002.23</v>
      </c>
      <c r="I182" s="210">
        <v>829.25</v>
      </c>
      <c r="J182" s="210">
        <v>172.98</v>
      </c>
      <c r="K182" s="61" t="s">
        <v>1544</v>
      </c>
    </row>
    <row r="183" spans="1:11">
      <c r="A183" s="202">
        <v>180</v>
      </c>
      <c r="B183" s="203" t="s">
        <v>1715</v>
      </c>
      <c r="C183" s="61" t="s">
        <v>6</v>
      </c>
      <c r="D183" s="61" t="s">
        <v>24</v>
      </c>
      <c r="E183" s="209">
        <v>3971000</v>
      </c>
      <c r="F183" s="205">
        <f t="shared" si="4"/>
        <v>3851870</v>
      </c>
      <c r="G183" s="206">
        <f t="shared" si="5"/>
        <v>3732740</v>
      </c>
      <c r="H183" s="210">
        <v>1037.32</v>
      </c>
      <c r="I183" s="210">
        <v>818.49</v>
      </c>
      <c r="J183" s="210">
        <v>218.83</v>
      </c>
      <c r="K183" s="61" t="s">
        <v>2353</v>
      </c>
    </row>
    <row r="184" spans="1:11">
      <c r="A184" s="202">
        <v>181</v>
      </c>
      <c r="B184" s="203" t="s">
        <v>1716</v>
      </c>
      <c r="C184" s="61" t="s">
        <v>6</v>
      </c>
      <c r="D184" s="61" t="s">
        <v>24</v>
      </c>
      <c r="E184" s="209">
        <v>3971000</v>
      </c>
      <c r="F184" s="205">
        <f t="shared" si="4"/>
        <v>3851870</v>
      </c>
      <c r="G184" s="206">
        <f t="shared" si="5"/>
        <v>3732740</v>
      </c>
      <c r="H184" s="210">
        <v>1037.32</v>
      </c>
      <c r="I184" s="210">
        <v>818.49</v>
      </c>
      <c r="J184" s="210">
        <v>218.83</v>
      </c>
      <c r="K184" s="61" t="s">
        <v>2353</v>
      </c>
    </row>
    <row r="185" spans="1:11">
      <c r="A185" s="202">
        <v>182</v>
      </c>
      <c r="B185" s="203" t="s">
        <v>1717</v>
      </c>
      <c r="C185" s="61" t="s">
        <v>6</v>
      </c>
      <c r="D185" s="61" t="s">
        <v>24</v>
      </c>
      <c r="E185" s="209">
        <v>3971000</v>
      </c>
      <c r="F185" s="205">
        <f t="shared" si="4"/>
        <v>3851870</v>
      </c>
      <c r="G185" s="206">
        <f t="shared" si="5"/>
        <v>3732740</v>
      </c>
      <c r="H185" s="210">
        <v>1037.32</v>
      </c>
      <c r="I185" s="210">
        <v>818.49</v>
      </c>
      <c r="J185" s="210">
        <v>218.83</v>
      </c>
      <c r="K185" s="61" t="s">
        <v>2353</v>
      </c>
    </row>
    <row r="186" spans="1:11">
      <c r="A186" s="202">
        <v>183</v>
      </c>
      <c r="B186" s="203" t="s">
        <v>1718</v>
      </c>
      <c r="C186" s="61" t="s">
        <v>6</v>
      </c>
      <c r="D186" s="61" t="s">
        <v>24</v>
      </c>
      <c r="E186" s="209">
        <v>3971000</v>
      </c>
      <c r="F186" s="205">
        <f t="shared" si="4"/>
        <v>3851870</v>
      </c>
      <c r="G186" s="206">
        <f t="shared" si="5"/>
        <v>3732740</v>
      </c>
      <c r="H186" s="210">
        <v>1037.21</v>
      </c>
      <c r="I186" s="210">
        <v>818.38</v>
      </c>
      <c r="J186" s="210">
        <v>218.83</v>
      </c>
      <c r="K186" s="61" t="s">
        <v>2353</v>
      </c>
    </row>
    <row r="187" spans="1:11">
      <c r="A187" s="202">
        <v>184</v>
      </c>
      <c r="B187" s="203" t="s">
        <v>1719</v>
      </c>
      <c r="C187" s="61" t="s">
        <v>6</v>
      </c>
      <c r="D187" s="61" t="s">
        <v>24</v>
      </c>
      <c r="E187" s="209">
        <v>3971000</v>
      </c>
      <c r="F187" s="205">
        <f t="shared" si="4"/>
        <v>3851870</v>
      </c>
      <c r="G187" s="206">
        <f t="shared" si="5"/>
        <v>3732740</v>
      </c>
      <c r="H187" s="210">
        <v>1037.21</v>
      </c>
      <c r="I187" s="210">
        <v>818.38</v>
      </c>
      <c r="J187" s="210">
        <v>218.83</v>
      </c>
      <c r="K187" s="61" t="s">
        <v>2353</v>
      </c>
    </row>
    <row r="188" spans="1:11">
      <c r="A188" s="202">
        <v>185</v>
      </c>
      <c r="B188" s="203" t="s">
        <v>1720</v>
      </c>
      <c r="C188" s="61" t="s">
        <v>6</v>
      </c>
      <c r="D188" s="61" t="s">
        <v>24</v>
      </c>
      <c r="E188" s="209">
        <v>3971000</v>
      </c>
      <c r="F188" s="205">
        <f t="shared" si="4"/>
        <v>3851870</v>
      </c>
      <c r="G188" s="206">
        <f t="shared" si="5"/>
        <v>3732740</v>
      </c>
      <c r="H188" s="210">
        <v>1002.23</v>
      </c>
      <c r="I188" s="210">
        <v>829.25</v>
      </c>
      <c r="J188" s="210">
        <v>172.98</v>
      </c>
      <c r="K188" s="61" t="s">
        <v>1544</v>
      </c>
    </row>
    <row r="189" spans="1:11">
      <c r="A189" s="202">
        <v>186</v>
      </c>
      <c r="B189" s="203" t="s">
        <v>1721</v>
      </c>
      <c r="C189" s="61" t="s">
        <v>7</v>
      </c>
      <c r="D189" s="61" t="s">
        <v>24</v>
      </c>
      <c r="E189" s="209">
        <v>3967000</v>
      </c>
      <c r="F189" s="205">
        <f t="shared" si="4"/>
        <v>3847990</v>
      </c>
      <c r="G189" s="206">
        <f t="shared" si="5"/>
        <v>3728980</v>
      </c>
      <c r="H189" s="210">
        <v>1037.32</v>
      </c>
      <c r="I189" s="210">
        <v>818.49</v>
      </c>
      <c r="J189" s="210">
        <v>218.83</v>
      </c>
      <c r="K189" s="61" t="s">
        <v>2353</v>
      </c>
    </row>
    <row r="190" spans="1:11">
      <c r="A190" s="202">
        <v>187</v>
      </c>
      <c r="B190" s="203" t="s">
        <v>1722</v>
      </c>
      <c r="C190" s="61" t="s">
        <v>7</v>
      </c>
      <c r="D190" s="61" t="s">
        <v>24</v>
      </c>
      <c r="E190" s="209">
        <v>3967000</v>
      </c>
      <c r="F190" s="205">
        <f t="shared" si="4"/>
        <v>3847990</v>
      </c>
      <c r="G190" s="206">
        <f t="shared" si="5"/>
        <v>3728980</v>
      </c>
      <c r="H190" s="210">
        <v>1037.32</v>
      </c>
      <c r="I190" s="210">
        <v>818.49</v>
      </c>
      <c r="J190" s="210">
        <v>218.83</v>
      </c>
      <c r="K190" s="61" t="s">
        <v>2353</v>
      </c>
    </row>
    <row r="191" spans="1:11">
      <c r="A191" s="202">
        <v>188</v>
      </c>
      <c r="B191" s="203" t="s">
        <v>1723</v>
      </c>
      <c r="C191" s="61" t="s">
        <v>7</v>
      </c>
      <c r="D191" s="61" t="s">
        <v>24</v>
      </c>
      <c r="E191" s="209">
        <v>3967000</v>
      </c>
      <c r="F191" s="205">
        <f t="shared" si="4"/>
        <v>3847990</v>
      </c>
      <c r="G191" s="206">
        <f t="shared" si="5"/>
        <v>3728980</v>
      </c>
      <c r="H191" s="210">
        <v>1037.32</v>
      </c>
      <c r="I191" s="210">
        <v>818.49</v>
      </c>
      <c r="J191" s="210">
        <v>218.83</v>
      </c>
      <c r="K191" s="61" t="s">
        <v>2353</v>
      </c>
    </row>
    <row r="192" spans="1:11">
      <c r="A192" s="202">
        <v>189</v>
      </c>
      <c r="B192" s="203" t="s">
        <v>1724</v>
      </c>
      <c r="C192" s="61" t="s">
        <v>7</v>
      </c>
      <c r="D192" s="61" t="s">
        <v>24</v>
      </c>
      <c r="E192" s="209">
        <v>3967000</v>
      </c>
      <c r="F192" s="205">
        <f t="shared" si="4"/>
        <v>3847990</v>
      </c>
      <c r="G192" s="206">
        <f t="shared" si="5"/>
        <v>3728980</v>
      </c>
      <c r="H192" s="210">
        <v>1037.21</v>
      </c>
      <c r="I192" s="210">
        <v>818.38</v>
      </c>
      <c r="J192" s="210">
        <v>218.83</v>
      </c>
      <c r="K192" s="61" t="s">
        <v>2353</v>
      </c>
    </row>
    <row r="193" spans="1:11">
      <c r="A193" s="202">
        <v>190</v>
      </c>
      <c r="B193" s="203" t="s">
        <v>1725</v>
      </c>
      <c r="C193" s="61" t="s">
        <v>7</v>
      </c>
      <c r="D193" s="61" t="s">
        <v>24</v>
      </c>
      <c r="E193" s="209">
        <v>3967000</v>
      </c>
      <c r="F193" s="205">
        <f t="shared" si="4"/>
        <v>3847990</v>
      </c>
      <c r="G193" s="206">
        <f t="shared" si="5"/>
        <v>3728980</v>
      </c>
      <c r="H193" s="210">
        <v>1037.21</v>
      </c>
      <c r="I193" s="210">
        <v>818.38</v>
      </c>
      <c r="J193" s="210">
        <v>218.83</v>
      </c>
      <c r="K193" s="61" t="s">
        <v>2353</v>
      </c>
    </row>
    <row r="194" spans="1:11">
      <c r="A194" s="202">
        <v>191</v>
      </c>
      <c r="B194" s="203" t="s">
        <v>1726</v>
      </c>
      <c r="C194" s="61" t="s">
        <v>7</v>
      </c>
      <c r="D194" s="61" t="s">
        <v>24</v>
      </c>
      <c r="E194" s="209">
        <v>3967000</v>
      </c>
      <c r="F194" s="205">
        <f t="shared" si="4"/>
        <v>3847990</v>
      </c>
      <c r="G194" s="206">
        <f t="shared" si="5"/>
        <v>3728980</v>
      </c>
      <c r="H194" s="210">
        <v>1002.23</v>
      </c>
      <c r="I194" s="210">
        <v>829.25</v>
      </c>
      <c r="J194" s="210">
        <v>172.98</v>
      </c>
      <c r="K194" s="61" t="s">
        <v>1544</v>
      </c>
    </row>
    <row r="195" spans="1:11">
      <c r="A195" s="202">
        <v>192</v>
      </c>
      <c r="B195" s="203" t="s">
        <v>1727</v>
      </c>
      <c r="C195" s="61" t="s">
        <v>8</v>
      </c>
      <c r="D195" s="61" t="s">
        <v>24</v>
      </c>
      <c r="E195" s="209">
        <v>3964000</v>
      </c>
      <c r="F195" s="205">
        <f t="shared" si="4"/>
        <v>3845080</v>
      </c>
      <c r="G195" s="206">
        <f t="shared" si="5"/>
        <v>3726160</v>
      </c>
      <c r="H195" s="210">
        <v>1037.32</v>
      </c>
      <c r="I195" s="210">
        <v>818.49</v>
      </c>
      <c r="J195" s="210">
        <v>218.83</v>
      </c>
      <c r="K195" s="61" t="s">
        <v>2353</v>
      </c>
    </row>
    <row r="196" spans="1:11">
      <c r="A196" s="202">
        <v>193</v>
      </c>
      <c r="B196" s="203" t="s">
        <v>1728</v>
      </c>
      <c r="C196" s="61" t="s">
        <v>8</v>
      </c>
      <c r="D196" s="61" t="s">
        <v>24</v>
      </c>
      <c r="E196" s="209">
        <v>3964000</v>
      </c>
      <c r="F196" s="205">
        <f t="shared" si="4"/>
        <v>3845080</v>
      </c>
      <c r="G196" s="206">
        <f t="shared" si="5"/>
        <v>3726160</v>
      </c>
      <c r="H196" s="210">
        <v>1037.32</v>
      </c>
      <c r="I196" s="210">
        <v>818.49</v>
      </c>
      <c r="J196" s="210">
        <v>218.83</v>
      </c>
      <c r="K196" s="61" t="s">
        <v>2353</v>
      </c>
    </row>
    <row r="197" spans="1:11">
      <c r="A197" s="202">
        <v>194</v>
      </c>
      <c r="B197" s="203" t="s">
        <v>1729</v>
      </c>
      <c r="C197" s="61" t="s">
        <v>8</v>
      </c>
      <c r="D197" s="61" t="s">
        <v>24</v>
      </c>
      <c r="E197" s="209">
        <v>3964000</v>
      </c>
      <c r="F197" s="205">
        <f t="shared" ref="F197:F259" si="6">E197*0.97</f>
        <v>3845080</v>
      </c>
      <c r="G197" s="206">
        <f t="shared" ref="G197:G259" si="7">E197*0.94</f>
        <v>3726160</v>
      </c>
      <c r="H197" s="210">
        <v>1037.32</v>
      </c>
      <c r="I197" s="210">
        <v>818.49</v>
      </c>
      <c r="J197" s="210">
        <v>218.83</v>
      </c>
      <c r="K197" s="61" t="s">
        <v>2353</v>
      </c>
    </row>
    <row r="198" spans="1:11">
      <c r="A198" s="202">
        <v>195</v>
      </c>
      <c r="B198" s="203" t="s">
        <v>1730</v>
      </c>
      <c r="C198" s="61" t="s">
        <v>8</v>
      </c>
      <c r="D198" s="61" t="s">
        <v>24</v>
      </c>
      <c r="E198" s="209">
        <v>3963000</v>
      </c>
      <c r="F198" s="205">
        <f t="shared" si="6"/>
        <v>3844110</v>
      </c>
      <c r="G198" s="206">
        <f t="shared" si="7"/>
        <v>3725220</v>
      </c>
      <c r="H198" s="210">
        <v>1037.21</v>
      </c>
      <c r="I198" s="210">
        <v>818.38</v>
      </c>
      <c r="J198" s="210">
        <v>218.83</v>
      </c>
      <c r="K198" s="61" t="s">
        <v>2353</v>
      </c>
    </row>
    <row r="199" spans="1:11">
      <c r="A199" s="202">
        <v>196</v>
      </c>
      <c r="B199" s="203" t="s">
        <v>1731</v>
      </c>
      <c r="C199" s="61" t="s">
        <v>8</v>
      </c>
      <c r="D199" s="61" t="s">
        <v>24</v>
      </c>
      <c r="E199" s="209">
        <v>3963000</v>
      </c>
      <c r="F199" s="205">
        <f t="shared" si="6"/>
        <v>3844110</v>
      </c>
      <c r="G199" s="206">
        <f t="shared" si="7"/>
        <v>3725220</v>
      </c>
      <c r="H199" s="210">
        <v>1037.21</v>
      </c>
      <c r="I199" s="210">
        <v>818.38</v>
      </c>
      <c r="J199" s="210">
        <v>218.83</v>
      </c>
      <c r="K199" s="61" t="s">
        <v>2353</v>
      </c>
    </row>
    <row r="200" spans="1:11">
      <c r="A200" s="202">
        <v>197</v>
      </c>
      <c r="B200" s="203" t="s">
        <v>1732</v>
      </c>
      <c r="C200" s="61" t="s">
        <v>8</v>
      </c>
      <c r="D200" s="61" t="s">
        <v>24</v>
      </c>
      <c r="E200" s="209">
        <v>3963000</v>
      </c>
      <c r="F200" s="205">
        <f t="shared" si="6"/>
        <v>3844110</v>
      </c>
      <c r="G200" s="206">
        <f t="shared" si="7"/>
        <v>3725220</v>
      </c>
      <c r="H200" s="210">
        <v>1002.23</v>
      </c>
      <c r="I200" s="210">
        <v>829.25</v>
      </c>
      <c r="J200" s="210">
        <v>172.98</v>
      </c>
      <c r="K200" s="61" t="s">
        <v>1544</v>
      </c>
    </row>
    <row r="201" spans="1:11">
      <c r="A201" s="202">
        <v>198</v>
      </c>
      <c r="B201" s="203" t="s">
        <v>1733</v>
      </c>
      <c r="C201" s="61" t="s">
        <v>10</v>
      </c>
      <c r="D201" s="61" t="s">
        <v>24</v>
      </c>
      <c r="E201" s="209">
        <v>3956000</v>
      </c>
      <c r="F201" s="205">
        <f t="shared" si="6"/>
        <v>3837320</v>
      </c>
      <c r="G201" s="206">
        <f t="shared" si="7"/>
        <v>3718640</v>
      </c>
      <c r="H201" s="210">
        <v>1037.32</v>
      </c>
      <c r="I201" s="210">
        <v>818.49</v>
      </c>
      <c r="J201" s="210">
        <v>218.83</v>
      </c>
      <c r="K201" s="61" t="s">
        <v>2353</v>
      </c>
    </row>
    <row r="202" spans="1:11">
      <c r="A202" s="202">
        <v>199</v>
      </c>
      <c r="B202" s="203" t="s">
        <v>1734</v>
      </c>
      <c r="C202" s="61" t="s">
        <v>10</v>
      </c>
      <c r="D202" s="61" t="s">
        <v>24</v>
      </c>
      <c r="E202" s="209">
        <v>3956000</v>
      </c>
      <c r="F202" s="205">
        <f t="shared" si="6"/>
        <v>3837320</v>
      </c>
      <c r="G202" s="206">
        <f t="shared" si="7"/>
        <v>3718640</v>
      </c>
      <c r="H202" s="210">
        <v>1037.32</v>
      </c>
      <c r="I202" s="210">
        <v>818.49</v>
      </c>
      <c r="J202" s="210">
        <v>218.83</v>
      </c>
      <c r="K202" s="61" t="s">
        <v>2353</v>
      </c>
    </row>
    <row r="203" spans="1:11">
      <c r="A203" s="202">
        <v>200</v>
      </c>
      <c r="B203" s="203" t="s">
        <v>1735</v>
      </c>
      <c r="C203" s="61" t="s">
        <v>10</v>
      </c>
      <c r="D203" s="61" t="s">
        <v>24</v>
      </c>
      <c r="E203" s="209">
        <v>3955000</v>
      </c>
      <c r="F203" s="205">
        <f t="shared" si="6"/>
        <v>3836350</v>
      </c>
      <c r="G203" s="206">
        <f t="shared" si="7"/>
        <v>3717700</v>
      </c>
      <c r="H203" s="210">
        <v>1037.21</v>
      </c>
      <c r="I203" s="210">
        <v>818.38</v>
      </c>
      <c r="J203" s="210">
        <v>218.83</v>
      </c>
      <c r="K203" s="61" t="s">
        <v>2353</v>
      </c>
    </row>
    <row r="204" spans="1:11">
      <c r="A204" s="202">
        <v>201</v>
      </c>
      <c r="B204" s="203" t="s">
        <v>1736</v>
      </c>
      <c r="C204" s="61" t="s">
        <v>10</v>
      </c>
      <c r="D204" s="61" t="s">
        <v>24</v>
      </c>
      <c r="E204" s="209">
        <v>3955000</v>
      </c>
      <c r="F204" s="205">
        <f t="shared" si="6"/>
        <v>3836350</v>
      </c>
      <c r="G204" s="206">
        <f t="shared" si="7"/>
        <v>3717700</v>
      </c>
      <c r="H204" s="210">
        <v>1002.23</v>
      </c>
      <c r="I204" s="210">
        <v>829.25</v>
      </c>
      <c r="J204" s="210">
        <v>172.98</v>
      </c>
      <c r="K204" s="61" t="s">
        <v>1544</v>
      </c>
    </row>
    <row r="205" spans="1:11">
      <c r="A205" s="202">
        <v>202</v>
      </c>
      <c r="B205" s="203" t="s">
        <v>1737</v>
      </c>
      <c r="C205" s="61" t="s">
        <v>3</v>
      </c>
      <c r="D205" s="61" t="s">
        <v>24</v>
      </c>
      <c r="E205" s="209">
        <v>3951000</v>
      </c>
      <c r="F205" s="205">
        <f t="shared" si="6"/>
        <v>3832470</v>
      </c>
      <c r="G205" s="206">
        <f t="shared" si="7"/>
        <v>3713940</v>
      </c>
      <c r="H205" s="210">
        <v>1002.23</v>
      </c>
      <c r="I205" s="210">
        <v>829.25</v>
      </c>
      <c r="J205" s="210">
        <v>172.98</v>
      </c>
      <c r="K205" s="61" t="s">
        <v>1544</v>
      </c>
    </row>
    <row r="206" spans="1:11">
      <c r="A206" s="202">
        <v>203</v>
      </c>
      <c r="B206" s="203" t="s">
        <v>1738</v>
      </c>
      <c r="C206" s="61" t="s">
        <v>3</v>
      </c>
      <c r="D206" s="61" t="s">
        <v>24</v>
      </c>
      <c r="E206" s="209">
        <v>3931000</v>
      </c>
      <c r="F206" s="205">
        <f t="shared" si="6"/>
        <v>3813070</v>
      </c>
      <c r="G206" s="206">
        <f t="shared" si="7"/>
        <v>3695140</v>
      </c>
      <c r="H206" s="210">
        <v>1091.78</v>
      </c>
      <c r="I206" s="210">
        <v>818.38</v>
      </c>
      <c r="J206" s="210">
        <v>273.39999999999998</v>
      </c>
      <c r="K206" s="61" t="s">
        <v>2355</v>
      </c>
    </row>
    <row r="207" spans="1:11">
      <c r="A207" s="202">
        <v>204</v>
      </c>
      <c r="B207" s="203" t="s">
        <v>1739</v>
      </c>
      <c r="C207" s="61" t="s">
        <v>3</v>
      </c>
      <c r="D207" s="61" t="s">
        <v>24</v>
      </c>
      <c r="E207" s="209">
        <v>3931000</v>
      </c>
      <c r="F207" s="205">
        <f t="shared" si="6"/>
        <v>3813070</v>
      </c>
      <c r="G207" s="206">
        <f t="shared" si="7"/>
        <v>3695140</v>
      </c>
      <c r="H207" s="210">
        <v>1091.78</v>
      </c>
      <c r="I207" s="210">
        <v>818.38</v>
      </c>
      <c r="J207" s="210">
        <v>273.39999999999998</v>
      </c>
      <c r="K207" s="61" t="s">
        <v>2355</v>
      </c>
    </row>
    <row r="208" spans="1:11">
      <c r="A208" s="202">
        <v>205</v>
      </c>
      <c r="B208" s="203" t="s">
        <v>1740</v>
      </c>
      <c r="C208" s="61" t="s">
        <v>4458</v>
      </c>
      <c r="D208" s="61" t="s">
        <v>24</v>
      </c>
      <c r="E208" s="209">
        <v>3936000</v>
      </c>
      <c r="F208" s="205">
        <f t="shared" si="6"/>
        <v>3817920</v>
      </c>
      <c r="G208" s="206">
        <f t="shared" si="7"/>
        <v>3699840</v>
      </c>
      <c r="H208" s="210">
        <v>1037.21</v>
      </c>
      <c r="I208" s="210">
        <v>818.38</v>
      </c>
      <c r="J208" s="210">
        <v>218.83</v>
      </c>
      <c r="K208" s="61" t="s">
        <v>2355</v>
      </c>
    </row>
    <row r="209" spans="1:11">
      <c r="A209" s="202">
        <v>206</v>
      </c>
      <c r="B209" s="203" t="s">
        <v>1741</v>
      </c>
      <c r="C209" s="61" t="s">
        <v>7</v>
      </c>
      <c r="D209" s="61" t="s">
        <v>24</v>
      </c>
      <c r="E209" s="209">
        <v>3929000</v>
      </c>
      <c r="F209" s="205">
        <f t="shared" si="6"/>
        <v>3811130</v>
      </c>
      <c r="G209" s="206">
        <f t="shared" si="7"/>
        <v>3693260</v>
      </c>
      <c r="H209" s="210">
        <v>1037.21</v>
      </c>
      <c r="I209" s="210">
        <v>818.38</v>
      </c>
      <c r="J209" s="210">
        <v>218.83</v>
      </c>
      <c r="K209" s="61" t="s">
        <v>2355</v>
      </c>
    </row>
    <row r="210" spans="1:11">
      <c r="A210" s="202">
        <v>207</v>
      </c>
      <c r="B210" s="203" t="s">
        <v>1742</v>
      </c>
      <c r="C210" s="61" t="s">
        <v>7</v>
      </c>
      <c r="D210" s="61" t="s">
        <v>24</v>
      </c>
      <c r="E210" s="209">
        <v>3929000</v>
      </c>
      <c r="F210" s="205">
        <f t="shared" si="6"/>
        <v>3811130</v>
      </c>
      <c r="G210" s="206">
        <f t="shared" si="7"/>
        <v>3693260</v>
      </c>
      <c r="H210" s="210">
        <v>1037.21</v>
      </c>
      <c r="I210" s="210">
        <v>818.38</v>
      </c>
      <c r="J210" s="210">
        <v>218.83</v>
      </c>
      <c r="K210" s="61" t="s">
        <v>2355</v>
      </c>
    </row>
    <row r="211" spans="1:11">
      <c r="A211" s="202">
        <v>208</v>
      </c>
      <c r="B211" s="203" t="s">
        <v>1743</v>
      </c>
      <c r="C211" s="61" t="s">
        <v>8</v>
      </c>
      <c r="D211" s="61" t="s">
        <v>24</v>
      </c>
      <c r="E211" s="209">
        <v>3925000</v>
      </c>
      <c r="F211" s="205">
        <f t="shared" si="6"/>
        <v>3807250</v>
      </c>
      <c r="G211" s="206">
        <f t="shared" si="7"/>
        <v>3689500</v>
      </c>
      <c r="H211" s="210">
        <v>1037.21</v>
      </c>
      <c r="I211" s="210">
        <v>818.38</v>
      </c>
      <c r="J211" s="210">
        <v>218.83</v>
      </c>
      <c r="K211" s="61" t="s">
        <v>2355</v>
      </c>
    </row>
    <row r="212" spans="1:11">
      <c r="A212" s="202">
        <v>209</v>
      </c>
      <c r="B212" s="203" t="s">
        <v>1744</v>
      </c>
      <c r="C212" s="61" t="s">
        <v>8</v>
      </c>
      <c r="D212" s="61" t="s">
        <v>24</v>
      </c>
      <c r="E212" s="209">
        <v>3925000</v>
      </c>
      <c r="F212" s="205">
        <f t="shared" si="6"/>
        <v>3807250</v>
      </c>
      <c r="G212" s="206">
        <f t="shared" si="7"/>
        <v>3689500</v>
      </c>
      <c r="H212" s="210">
        <v>1037.21</v>
      </c>
      <c r="I212" s="210">
        <v>818.38</v>
      </c>
      <c r="J212" s="210">
        <v>218.83</v>
      </c>
      <c r="K212" s="61" t="s">
        <v>2355</v>
      </c>
    </row>
    <row r="213" spans="1:11">
      <c r="A213" s="202">
        <v>210</v>
      </c>
      <c r="B213" s="203" t="s">
        <v>1745</v>
      </c>
      <c r="C213" s="61" t="s">
        <v>10</v>
      </c>
      <c r="D213" s="61" t="s">
        <v>24</v>
      </c>
      <c r="E213" s="209">
        <v>3917000</v>
      </c>
      <c r="F213" s="205">
        <f t="shared" si="6"/>
        <v>3799490</v>
      </c>
      <c r="G213" s="206">
        <f t="shared" si="7"/>
        <v>3681980</v>
      </c>
      <c r="H213" s="210">
        <v>1037.21</v>
      </c>
      <c r="I213" s="210">
        <v>818.38</v>
      </c>
      <c r="J213" s="210">
        <v>218.83</v>
      </c>
      <c r="K213" s="61" t="s">
        <v>2355</v>
      </c>
    </row>
    <row r="214" spans="1:11">
      <c r="A214" s="202">
        <v>211</v>
      </c>
      <c r="B214" s="203" t="s">
        <v>1746</v>
      </c>
      <c r="C214" s="61" t="s">
        <v>10</v>
      </c>
      <c r="D214" s="61" t="s">
        <v>24</v>
      </c>
      <c r="E214" s="209">
        <v>3917000</v>
      </c>
      <c r="F214" s="205">
        <f t="shared" si="6"/>
        <v>3799490</v>
      </c>
      <c r="G214" s="206">
        <f t="shared" si="7"/>
        <v>3681980</v>
      </c>
      <c r="H214" s="210">
        <v>1037.21</v>
      </c>
      <c r="I214" s="210">
        <v>818.38</v>
      </c>
      <c r="J214" s="210">
        <v>218.83</v>
      </c>
      <c r="K214" s="61" t="s">
        <v>2355</v>
      </c>
    </row>
    <row r="215" spans="1:11">
      <c r="A215" s="202">
        <v>212</v>
      </c>
      <c r="B215" s="203" t="s">
        <v>1747</v>
      </c>
      <c r="C215" s="61" t="s">
        <v>3</v>
      </c>
      <c r="D215" s="61" t="s">
        <v>24</v>
      </c>
      <c r="E215" s="209">
        <v>3913000</v>
      </c>
      <c r="F215" s="205">
        <f t="shared" si="6"/>
        <v>3795610</v>
      </c>
      <c r="G215" s="206">
        <f t="shared" si="7"/>
        <v>3678220</v>
      </c>
      <c r="H215" s="210">
        <v>1091.8900000000001</v>
      </c>
      <c r="I215" s="210">
        <v>818.49</v>
      </c>
      <c r="J215" s="210">
        <v>273.39999999999998</v>
      </c>
      <c r="K215" s="61" t="s">
        <v>2354</v>
      </c>
    </row>
    <row r="216" spans="1:11">
      <c r="A216" s="202">
        <v>213</v>
      </c>
      <c r="B216" s="203" t="s">
        <v>1748</v>
      </c>
      <c r="C216" s="61" t="s">
        <v>3</v>
      </c>
      <c r="D216" s="61" t="s">
        <v>24</v>
      </c>
      <c r="E216" s="209">
        <v>3912000</v>
      </c>
      <c r="F216" s="205">
        <f t="shared" si="6"/>
        <v>3794640</v>
      </c>
      <c r="G216" s="206">
        <f t="shared" si="7"/>
        <v>3677280</v>
      </c>
      <c r="H216" s="210">
        <v>1091.78</v>
      </c>
      <c r="I216" s="210">
        <v>818.38</v>
      </c>
      <c r="J216" s="210">
        <v>273.39999999999998</v>
      </c>
      <c r="K216" s="61" t="s">
        <v>2354</v>
      </c>
    </row>
    <row r="217" spans="1:11">
      <c r="A217" s="202">
        <v>214</v>
      </c>
      <c r="B217" s="203" t="s">
        <v>1749</v>
      </c>
      <c r="C217" s="61" t="s">
        <v>5</v>
      </c>
      <c r="D217" s="61" t="s">
        <v>24</v>
      </c>
      <c r="E217" s="209">
        <v>3925000</v>
      </c>
      <c r="F217" s="205">
        <f t="shared" si="6"/>
        <v>3807250</v>
      </c>
      <c r="G217" s="206">
        <f t="shared" si="7"/>
        <v>3689500</v>
      </c>
      <c r="H217" s="210">
        <v>1037.21</v>
      </c>
      <c r="I217" s="210">
        <v>818.38</v>
      </c>
      <c r="J217" s="210">
        <v>218.83</v>
      </c>
      <c r="K217" s="61" t="s">
        <v>2354</v>
      </c>
    </row>
    <row r="218" spans="1:11">
      <c r="A218" s="202">
        <v>215</v>
      </c>
      <c r="B218" s="203" t="s">
        <v>1750</v>
      </c>
      <c r="C218" s="61" t="s">
        <v>4</v>
      </c>
      <c r="D218" s="61" t="s">
        <v>24</v>
      </c>
      <c r="E218" s="209">
        <v>3921000</v>
      </c>
      <c r="F218" s="205">
        <f t="shared" si="6"/>
        <v>3803370</v>
      </c>
      <c r="G218" s="206">
        <f t="shared" si="7"/>
        <v>3685740</v>
      </c>
      <c r="H218" s="210">
        <v>1037.21</v>
      </c>
      <c r="I218" s="210">
        <v>818.38</v>
      </c>
      <c r="J218" s="210">
        <v>218.83</v>
      </c>
      <c r="K218" s="61" t="s">
        <v>2354</v>
      </c>
    </row>
    <row r="219" spans="1:11">
      <c r="A219" s="202">
        <v>216</v>
      </c>
      <c r="B219" s="203" t="s">
        <v>1751</v>
      </c>
      <c r="C219" s="61" t="s">
        <v>4458</v>
      </c>
      <c r="D219" s="61" t="s">
        <v>24</v>
      </c>
      <c r="E219" s="209">
        <v>3918000</v>
      </c>
      <c r="F219" s="205">
        <f t="shared" si="6"/>
        <v>3800460</v>
      </c>
      <c r="G219" s="206">
        <f t="shared" si="7"/>
        <v>3682920</v>
      </c>
      <c r="H219" s="210">
        <v>1037.32</v>
      </c>
      <c r="I219" s="210">
        <v>818.49</v>
      </c>
      <c r="J219" s="210">
        <v>218.83</v>
      </c>
      <c r="K219" s="61" t="s">
        <v>2354</v>
      </c>
    </row>
    <row r="220" spans="1:11">
      <c r="A220" s="202">
        <v>217</v>
      </c>
      <c r="B220" s="203" t="s">
        <v>1752</v>
      </c>
      <c r="C220" s="61" t="s">
        <v>4458</v>
      </c>
      <c r="D220" s="61" t="s">
        <v>24</v>
      </c>
      <c r="E220" s="209">
        <v>3917000</v>
      </c>
      <c r="F220" s="205">
        <f t="shared" si="6"/>
        <v>3799490</v>
      </c>
      <c r="G220" s="206">
        <f t="shared" si="7"/>
        <v>3681980</v>
      </c>
      <c r="H220" s="210">
        <v>1037.21</v>
      </c>
      <c r="I220" s="210">
        <v>818.38</v>
      </c>
      <c r="J220" s="210">
        <v>218.83</v>
      </c>
      <c r="K220" s="61" t="s">
        <v>2354</v>
      </c>
    </row>
    <row r="221" spans="1:11">
      <c r="A221" s="202">
        <v>218</v>
      </c>
      <c r="B221" s="203" t="s">
        <v>1753</v>
      </c>
      <c r="C221" s="61" t="s">
        <v>6</v>
      </c>
      <c r="D221" s="61" t="s">
        <v>24</v>
      </c>
      <c r="E221" s="209">
        <v>3914000</v>
      </c>
      <c r="F221" s="205">
        <f t="shared" si="6"/>
        <v>3796580</v>
      </c>
      <c r="G221" s="206">
        <f t="shared" si="7"/>
        <v>3679160</v>
      </c>
      <c r="H221" s="210">
        <v>1037.32</v>
      </c>
      <c r="I221" s="210">
        <v>818.49</v>
      </c>
      <c r="J221" s="210">
        <v>218.83</v>
      </c>
      <c r="K221" s="61" t="s">
        <v>2354</v>
      </c>
    </row>
    <row r="222" spans="1:11">
      <c r="A222" s="202">
        <v>219</v>
      </c>
      <c r="B222" s="203" t="s">
        <v>1754</v>
      </c>
      <c r="C222" s="61" t="s">
        <v>6</v>
      </c>
      <c r="D222" s="61" t="s">
        <v>24</v>
      </c>
      <c r="E222" s="209">
        <v>3913000</v>
      </c>
      <c r="F222" s="205">
        <f t="shared" si="6"/>
        <v>3795610</v>
      </c>
      <c r="G222" s="206">
        <f t="shared" si="7"/>
        <v>3678220</v>
      </c>
      <c r="H222" s="210">
        <v>1037.21</v>
      </c>
      <c r="I222" s="210">
        <v>818.38</v>
      </c>
      <c r="J222" s="210">
        <v>218.83</v>
      </c>
      <c r="K222" s="61" t="s">
        <v>2354</v>
      </c>
    </row>
    <row r="223" spans="1:11">
      <c r="A223" s="202">
        <v>220</v>
      </c>
      <c r="B223" s="203" t="s">
        <v>1755</v>
      </c>
      <c r="C223" s="61" t="s">
        <v>7</v>
      </c>
      <c r="D223" s="61" t="s">
        <v>24</v>
      </c>
      <c r="E223" s="209">
        <v>3910000</v>
      </c>
      <c r="F223" s="205">
        <f t="shared" si="6"/>
        <v>3792700</v>
      </c>
      <c r="G223" s="206">
        <f t="shared" si="7"/>
        <v>3675400</v>
      </c>
      <c r="H223" s="210">
        <v>1037.32</v>
      </c>
      <c r="I223" s="210">
        <v>818.49</v>
      </c>
      <c r="J223" s="210">
        <v>218.83</v>
      </c>
      <c r="K223" s="61" t="s">
        <v>2354</v>
      </c>
    </row>
    <row r="224" spans="1:11">
      <c r="A224" s="202">
        <v>221</v>
      </c>
      <c r="B224" s="203" t="s">
        <v>1756</v>
      </c>
      <c r="C224" s="61" t="s">
        <v>7</v>
      </c>
      <c r="D224" s="61" t="s">
        <v>24</v>
      </c>
      <c r="E224" s="209">
        <v>3909000</v>
      </c>
      <c r="F224" s="205">
        <f t="shared" si="6"/>
        <v>3791730</v>
      </c>
      <c r="G224" s="206">
        <f t="shared" si="7"/>
        <v>3674460</v>
      </c>
      <c r="H224" s="210">
        <v>1037.21</v>
      </c>
      <c r="I224" s="210">
        <v>818.38</v>
      </c>
      <c r="J224" s="210">
        <v>218.83</v>
      </c>
      <c r="K224" s="61" t="s">
        <v>2354</v>
      </c>
    </row>
    <row r="225" spans="1:11">
      <c r="A225" s="202">
        <v>222</v>
      </c>
      <c r="B225" s="203" t="s">
        <v>1757</v>
      </c>
      <c r="C225" s="61" t="s">
        <v>8</v>
      </c>
      <c r="D225" s="61" t="s">
        <v>24</v>
      </c>
      <c r="E225" s="209">
        <v>3906000</v>
      </c>
      <c r="F225" s="205">
        <f t="shared" si="6"/>
        <v>3788820</v>
      </c>
      <c r="G225" s="206">
        <f t="shared" si="7"/>
        <v>3671640</v>
      </c>
      <c r="H225" s="210">
        <v>1037.32</v>
      </c>
      <c r="I225" s="210">
        <v>818.49</v>
      </c>
      <c r="J225" s="210">
        <v>218.83</v>
      </c>
      <c r="K225" s="61" t="s">
        <v>2354</v>
      </c>
    </row>
    <row r="226" spans="1:11">
      <c r="A226" s="202">
        <v>223</v>
      </c>
      <c r="B226" s="203" t="s">
        <v>1758</v>
      </c>
      <c r="C226" s="61" t="s">
        <v>8</v>
      </c>
      <c r="D226" s="61" t="s">
        <v>24</v>
      </c>
      <c r="E226" s="209">
        <v>3906000</v>
      </c>
      <c r="F226" s="205">
        <f t="shared" si="6"/>
        <v>3788820</v>
      </c>
      <c r="G226" s="206">
        <f t="shared" si="7"/>
        <v>3671640</v>
      </c>
      <c r="H226" s="210">
        <v>1037.21</v>
      </c>
      <c r="I226" s="210">
        <v>818.38</v>
      </c>
      <c r="J226" s="210">
        <v>218.83</v>
      </c>
      <c r="K226" s="61" t="s">
        <v>2354</v>
      </c>
    </row>
    <row r="227" spans="1:11">
      <c r="A227" s="202">
        <v>224</v>
      </c>
      <c r="B227" s="203" t="s">
        <v>1759</v>
      </c>
      <c r="C227" s="61" t="s">
        <v>10</v>
      </c>
      <c r="D227" s="61" t="s">
        <v>24</v>
      </c>
      <c r="E227" s="209">
        <v>3900000</v>
      </c>
      <c r="F227" s="205">
        <f t="shared" si="6"/>
        <v>3783000</v>
      </c>
      <c r="G227" s="206">
        <f t="shared" si="7"/>
        <v>3666000</v>
      </c>
      <c r="H227" s="210">
        <v>1037.32</v>
      </c>
      <c r="I227" s="210">
        <v>818.49</v>
      </c>
      <c r="J227" s="210">
        <v>218.83</v>
      </c>
      <c r="K227" s="61" t="s">
        <v>2354</v>
      </c>
    </row>
    <row r="228" spans="1:11">
      <c r="A228" s="202">
        <v>225</v>
      </c>
      <c r="B228" s="203" t="s">
        <v>1760</v>
      </c>
      <c r="C228" s="61" t="s">
        <v>10</v>
      </c>
      <c r="D228" s="61" t="s">
        <v>24</v>
      </c>
      <c r="E228" s="209">
        <v>3900000</v>
      </c>
      <c r="F228" s="205">
        <f t="shared" si="6"/>
        <v>3783000</v>
      </c>
      <c r="G228" s="206">
        <f t="shared" si="7"/>
        <v>3666000</v>
      </c>
      <c r="H228" s="210">
        <v>1037.21</v>
      </c>
      <c r="I228" s="210">
        <v>818.38</v>
      </c>
      <c r="J228" s="210">
        <v>218.83</v>
      </c>
      <c r="K228" s="61" t="s">
        <v>2354</v>
      </c>
    </row>
    <row r="229" spans="1:11">
      <c r="A229" s="202">
        <v>226</v>
      </c>
      <c r="B229" s="203" t="s">
        <v>1761</v>
      </c>
      <c r="C229" s="61" t="s">
        <v>4480</v>
      </c>
      <c r="D229" s="61" t="s">
        <v>36</v>
      </c>
      <c r="E229" s="209">
        <v>2955000</v>
      </c>
      <c r="F229" s="205">
        <f t="shared" si="6"/>
        <v>2866350</v>
      </c>
      <c r="G229" s="206">
        <f t="shared" si="7"/>
        <v>2777700</v>
      </c>
      <c r="H229" s="210">
        <v>822.9</v>
      </c>
      <c r="I229" s="210">
        <v>604.07000000000005</v>
      </c>
      <c r="J229" s="210">
        <v>218.83</v>
      </c>
      <c r="K229" s="61" t="s">
        <v>2353</v>
      </c>
    </row>
    <row r="230" spans="1:11">
      <c r="A230" s="202">
        <v>227</v>
      </c>
      <c r="B230" s="203" t="s">
        <v>1762</v>
      </c>
      <c r="C230" s="61" t="s">
        <v>4475</v>
      </c>
      <c r="D230" s="61" t="s">
        <v>36</v>
      </c>
      <c r="E230" s="209">
        <v>2941000</v>
      </c>
      <c r="F230" s="205">
        <f t="shared" si="6"/>
        <v>2852770</v>
      </c>
      <c r="G230" s="206">
        <f t="shared" si="7"/>
        <v>2764540</v>
      </c>
      <c r="H230" s="210">
        <v>822.9</v>
      </c>
      <c r="I230" s="210">
        <v>604.07000000000005</v>
      </c>
      <c r="J230" s="210">
        <v>218.83</v>
      </c>
      <c r="K230" s="61" t="s">
        <v>2353</v>
      </c>
    </row>
    <row r="231" spans="1:11">
      <c r="A231" s="202">
        <v>228</v>
      </c>
      <c r="B231" s="203" t="s">
        <v>1763</v>
      </c>
      <c r="C231" s="61" t="s">
        <v>4475</v>
      </c>
      <c r="D231" s="61" t="s">
        <v>36</v>
      </c>
      <c r="E231" s="209">
        <v>2941000</v>
      </c>
      <c r="F231" s="205">
        <f t="shared" si="6"/>
        <v>2852770</v>
      </c>
      <c r="G231" s="206">
        <f t="shared" si="7"/>
        <v>2764540</v>
      </c>
      <c r="H231" s="210">
        <v>822.9</v>
      </c>
      <c r="I231" s="210">
        <v>604.07000000000005</v>
      </c>
      <c r="J231" s="210">
        <v>218.83</v>
      </c>
      <c r="K231" s="61" t="s">
        <v>2353</v>
      </c>
    </row>
    <row r="232" spans="1:11">
      <c r="A232" s="202">
        <v>229</v>
      </c>
      <c r="B232" s="203" t="s">
        <v>1764</v>
      </c>
      <c r="C232" s="61" t="s">
        <v>4473</v>
      </c>
      <c r="D232" s="61" t="s">
        <v>36</v>
      </c>
      <c r="E232" s="209">
        <v>2935000</v>
      </c>
      <c r="F232" s="205">
        <f t="shared" si="6"/>
        <v>2846950</v>
      </c>
      <c r="G232" s="206">
        <f t="shared" si="7"/>
        <v>2758900</v>
      </c>
      <c r="H232" s="210">
        <v>822.9</v>
      </c>
      <c r="I232" s="210">
        <v>604.07000000000005</v>
      </c>
      <c r="J232" s="210">
        <v>218.83</v>
      </c>
      <c r="K232" s="61" t="s">
        <v>2353</v>
      </c>
    </row>
    <row r="233" spans="1:11">
      <c r="A233" s="202">
        <v>230</v>
      </c>
      <c r="B233" s="203" t="s">
        <v>1765</v>
      </c>
      <c r="C233" s="61" t="s">
        <v>4473</v>
      </c>
      <c r="D233" s="61" t="s">
        <v>36</v>
      </c>
      <c r="E233" s="209">
        <v>2935000</v>
      </c>
      <c r="F233" s="205">
        <f t="shared" si="6"/>
        <v>2846950</v>
      </c>
      <c r="G233" s="206">
        <f t="shared" si="7"/>
        <v>2758900</v>
      </c>
      <c r="H233" s="210">
        <v>822.9</v>
      </c>
      <c r="I233" s="210">
        <v>604.07000000000005</v>
      </c>
      <c r="J233" s="210">
        <v>218.83</v>
      </c>
      <c r="K233" s="61" t="s">
        <v>2353</v>
      </c>
    </row>
    <row r="234" spans="1:11">
      <c r="A234" s="202">
        <v>231</v>
      </c>
      <c r="B234" s="203" t="s">
        <v>1766</v>
      </c>
      <c r="C234" s="61" t="s">
        <v>4471</v>
      </c>
      <c r="D234" s="61" t="s">
        <v>36</v>
      </c>
      <c r="E234" s="209">
        <v>2930000</v>
      </c>
      <c r="F234" s="205">
        <f t="shared" si="6"/>
        <v>2842100</v>
      </c>
      <c r="G234" s="206">
        <f t="shared" si="7"/>
        <v>2754200</v>
      </c>
      <c r="H234" s="210">
        <v>822.9</v>
      </c>
      <c r="I234" s="210">
        <v>604.07000000000005</v>
      </c>
      <c r="J234" s="210">
        <v>218.83</v>
      </c>
      <c r="K234" s="61" t="s">
        <v>2353</v>
      </c>
    </row>
    <row r="235" spans="1:11">
      <c r="A235" s="202">
        <v>232</v>
      </c>
      <c r="B235" s="203" t="s">
        <v>1767</v>
      </c>
      <c r="C235" s="61" t="s">
        <v>4471</v>
      </c>
      <c r="D235" s="61" t="s">
        <v>36</v>
      </c>
      <c r="E235" s="209">
        <v>2930000</v>
      </c>
      <c r="F235" s="205">
        <f t="shared" si="6"/>
        <v>2842100</v>
      </c>
      <c r="G235" s="206">
        <f t="shared" si="7"/>
        <v>2754200</v>
      </c>
      <c r="H235" s="210">
        <v>822.9</v>
      </c>
      <c r="I235" s="210">
        <v>604.07000000000005</v>
      </c>
      <c r="J235" s="210">
        <v>218.83</v>
      </c>
      <c r="K235" s="61" t="s">
        <v>2353</v>
      </c>
    </row>
    <row r="236" spans="1:11">
      <c r="A236" s="202">
        <v>233</v>
      </c>
      <c r="B236" s="203" t="s">
        <v>1768</v>
      </c>
      <c r="C236" s="61" t="s">
        <v>4471</v>
      </c>
      <c r="D236" s="61" t="s">
        <v>36</v>
      </c>
      <c r="E236" s="209">
        <v>2930000</v>
      </c>
      <c r="F236" s="205">
        <f t="shared" si="6"/>
        <v>2842100</v>
      </c>
      <c r="G236" s="206">
        <f t="shared" si="7"/>
        <v>2754200</v>
      </c>
      <c r="H236" s="210">
        <v>822.9</v>
      </c>
      <c r="I236" s="210">
        <v>604.07000000000005</v>
      </c>
      <c r="J236" s="210">
        <v>218.83</v>
      </c>
      <c r="K236" s="61" t="s">
        <v>2353</v>
      </c>
    </row>
    <row r="237" spans="1:11">
      <c r="A237" s="202">
        <v>234</v>
      </c>
      <c r="B237" s="203" t="s">
        <v>1769</v>
      </c>
      <c r="C237" s="61" t="s">
        <v>4470</v>
      </c>
      <c r="D237" s="61" t="s">
        <v>36</v>
      </c>
      <c r="E237" s="209">
        <v>2927000</v>
      </c>
      <c r="F237" s="205">
        <f t="shared" si="6"/>
        <v>2839190</v>
      </c>
      <c r="G237" s="206">
        <f t="shared" si="7"/>
        <v>2751380</v>
      </c>
      <c r="H237" s="210">
        <v>822.9</v>
      </c>
      <c r="I237" s="210">
        <v>604.07000000000005</v>
      </c>
      <c r="J237" s="210">
        <v>218.83</v>
      </c>
      <c r="K237" s="61" t="s">
        <v>2353</v>
      </c>
    </row>
    <row r="238" spans="1:11">
      <c r="A238" s="202">
        <v>235</v>
      </c>
      <c r="B238" s="203" t="s">
        <v>1770</v>
      </c>
      <c r="C238" s="61" t="s">
        <v>4470</v>
      </c>
      <c r="D238" s="61" t="s">
        <v>36</v>
      </c>
      <c r="E238" s="209">
        <v>2927000</v>
      </c>
      <c r="F238" s="205">
        <f t="shared" si="6"/>
        <v>2839190</v>
      </c>
      <c r="G238" s="206">
        <f t="shared" si="7"/>
        <v>2751380</v>
      </c>
      <c r="H238" s="210">
        <v>822.9</v>
      </c>
      <c r="I238" s="210">
        <v>604.07000000000005</v>
      </c>
      <c r="J238" s="210">
        <v>218.83</v>
      </c>
      <c r="K238" s="61" t="s">
        <v>2353</v>
      </c>
    </row>
    <row r="239" spans="1:11">
      <c r="A239" s="202">
        <v>236</v>
      </c>
      <c r="B239" s="203" t="s">
        <v>1771</v>
      </c>
      <c r="C239" s="61" t="s">
        <v>4470</v>
      </c>
      <c r="D239" s="61" t="s">
        <v>36</v>
      </c>
      <c r="E239" s="209">
        <v>2927000</v>
      </c>
      <c r="F239" s="205">
        <f t="shared" si="6"/>
        <v>2839190</v>
      </c>
      <c r="G239" s="206">
        <f t="shared" si="7"/>
        <v>2751380</v>
      </c>
      <c r="H239" s="210">
        <v>822.9</v>
      </c>
      <c r="I239" s="210">
        <v>604.07000000000005</v>
      </c>
      <c r="J239" s="210">
        <v>218.83</v>
      </c>
      <c r="K239" s="61" t="s">
        <v>2353</v>
      </c>
    </row>
    <row r="240" spans="1:11">
      <c r="A240" s="202">
        <v>237</v>
      </c>
      <c r="B240" s="203" t="s">
        <v>1772</v>
      </c>
      <c r="C240" s="61" t="s">
        <v>4470</v>
      </c>
      <c r="D240" s="61" t="s">
        <v>36</v>
      </c>
      <c r="E240" s="209">
        <v>2927000</v>
      </c>
      <c r="F240" s="205">
        <f t="shared" si="6"/>
        <v>2839190</v>
      </c>
      <c r="G240" s="206">
        <f t="shared" si="7"/>
        <v>2751380</v>
      </c>
      <c r="H240" s="210">
        <v>822.9</v>
      </c>
      <c r="I240" s="210">
        <v>604.07000000000005</v>
      </c>
      <c r="J240" s="210">
        <v>218.83</v>
      </c>
      <c r="K240" s="61" t="s">
        <v>2353</v>
      </c>
    </row>
    <row r="241" spans="1:11">
      <c r="A241" s="202">
        <v>238</v>
      </c>
      <c r="B241" s="203" t="s">
        <v>1773</v>
      </c>
      <c r="C241" s="61" t="s">
        <v>4469</v>
      </c>
      <c r="D241" s="61" t="s">
        <v>36</v>
      </c>
      <c r="E241" s="209">
        <v>2924000</v>
      </c>
      <c r="F241" s="205">
        <f t="shared" si="6"/>
        <v>2836280</v>
      </c>
      <c r="G241" s="206">
        <f t="shared" si="7"/>
        <v>2748560</v>
      </c>
      <c r="H241" s="210">
        <v>822.9</v>
      </c>
      <c r="I241" s="210">
        <v>604.07000000000005</v>
      </c>
      <c r="J241" s="210">
        <v>218.83</v>
      </c>
      <c r="K241" s="61" t="s">
        <v>2353</v>
      </c>
    </row>
    <row r="242" spans="1:11">
      <c r="A242" s="202">
        <v>239</v>
      </c>
      <c r="B242" s="203" t="s">
        <v>1774</v>
      </c>
      <c r="C242" s="61" t="s">
        <v>4469</v>
      </c>
      <c r="D242" s="61" t="s">
        <v>36</v>
      </c>
      <c r="E242" s="209">
        <v>2924000</v>
      </c>
      <c r="F242" s="205">
        <f t="shared" si="6"/>
        <v>2836280</v>
      </c>
      <c r="G242" s="206">
        <f t="shared" si="7"/>
        <v>2748560</v>
      </c>
      <c r="H242" s="210">
        <v>822.9</v>
      </c>
      <c r="I242" s="210">
        <v>604.07000000000005</v>
      </c>
      <c r="J242" s="210">
        <v>218.83</v>
      </c>
      <c r="K242" s="61" t="s">
        <v>2353</v>
      </c>
    </row>
    <row r="243" spans="1:11">
      <c r="A243" s="202">
        <v>240</v>
      </c>
      <c r="B243" s="203" t="s">
        <v>1775</v>
      </c>
      <c r="C243" s="61" t="s">
        <v>4469</v>
      </c>
      <c r="D243" s="61" t="s">
        <v>36</v>
      </c>
      <c r="E243" s="209">
        <v>2924000</v>
      </c>
      <c r="F243" s="205">
        <f t="shared" si="6"/>
        <v>2836280</v>
      </c>
      <c r="G243" s="206">
        <f t="shared" si="7"/>
        <v>2748560</v>
      </c>
      <c r="H243" s="210">
        <v>822.9</v>
      </c>
      <c r="I243" s="210">
        <v>604.07000000000005</v>
      </c>
      <c r="J243" s="210">
        <v>218.83</v>
      </c>
      <c r="K243" s="61" t="s">
        <v>2353</v>
      </c>
    </row>
    <row r="244" spans="1:11">
      <c r="A244" s="202">
        <v>241</v>
      </c>
      <c r="B244" s="203" t="s">
        <v>1776</v>
      </c>
      <c r="C244" s="61" t="s">
        <v>4469</v>
      </c>
      <c r="D244" s="61" t="s">
        <v>36</v>
      </c>
      <c r="E244" s="209">
        <v>2924000</v>
      </c>
      <c r="F244" s="205">
        <f t="shared" si="6"/>
        <v>2836280</v>
      </c>
      <c r="G244" s="206">
        <f t="shared" si="7"/>
        <v>2748560</v>
      </c>
      <c r="H244" s="210">
        <v>822.9</v>
      </c>
      <c r="I244" s="210">
        <v>604.07000000000005</v>
      </c>
      <c r="J244" s="210">
        <v>218.83</v>
      </c>
      <c r="K244" s="61" t="s">
        <v>2353</v>
      </c>
    </row>
    <row r="245" spans="1:11">
      <c r="A245" s="202">
        <v>242</v>
      </c>
      <c r="B245" s="203" t="s">
        <v>1777</v>
      </c>
      <c r="C245" s="61" t="s">
        <v>4469</v>
      </c>
      <c r="D245" s="61" t="s">
        <v>36</v>
      </c>
      <c r="E245" s="209">
        <v>2924000</v>
      </c>
      <c r="F245" s="205">
        <f t="shared" si="6"/>
        <v>2836280</v>
      </c>
      <c r="G245" s="206">
        <f t="shared" si="7"/>
        <v>2748560</v>
      </c>
      <c r="H245" s="210">
        <v>822.9</v>
      </c>
      <c r="I245" s="210">
        <v>604.07000000000005</v>
      </c>
      <c r="J245" s="210">
        <v>218.83</v>
      </c>
      <c r="K245" s="61" t="s">
        <v>2353</v>
      </c>
    </row>
    <row r="246" spans="1:11">
      <c r="A246" s="202">
        <v>243</v>
      </c>
      <c r="B246" s="203" t="s">
        <v>4574</v>
      </c>
      <c r="C246" s="61" t="s">
        <v>4468</v>
      </c>
      <c r="D246" s="61" t="s">
        <v>36</v>
      </c>
      <c r="E246" s="209">
        <v>2921000</v>
      </c>
      <c r="F246" s="205">
        <f t="shared" si="6"/>
        <v>2833370</v>
      </c>
      <c r="G246" s="206">
        <f t="shared" si="7"/>
        <v>2745740</v>
      </c>
      <c r="H246" s="210">
        <v>822.9</v>
      </c>
      <c r="I246" s="210">
        <v>604.07000000000005</v>
      </c>
      <c r="J246" s="210">
        <v>218.83</v>
      </c>
      <c r="K246" s="61" t="s">
        <v>2353</v>
      </c>
    </row>
    <row r="247" spans="1:11">
      <c r="A247" s="202">
        <v>244</v>
      </c>
      <c r="B247" s="203" t="s">
        <v>4575</v>
      </c>
      <c r="C247" s="61" t="s">
        <v>4468</v>
      </c>
      <c r="D247" s="61" t="s">
        <v>36</v>
      </c>
      <c r="E247" s="209">
        <v>2921000</v>
      </c>
      <c r="F247" s="205">
        <f t="shared" si="6"/>
        <v>2833370</v>
      </c>
      <c r="G247" s="206">
        <f t="shared" si="7"/>
        <v>2745740</v>
      </c>
      <c r="H247" s="210">
        <v>822.9</v>
      </c>
      <c r="I247" s="210">
        <v>604.07000000000005</v>
      </c>
      <c r="J247" s="210">
        <v>218.83</v>
      </c>
      <c r="K247" s="61" t="s">
        <v>2353</v>
      </c>
    </row>
    <row r="248" spans="1:11">
      <c r="A248" s="202">
        <v>245</v>
      </c>
      <c r="B248" s="203" t="s">
        <v>4576</v>
      </c>
      <c r="C248" s="61" t="s">
        <v>4468</v>
      </c>
      <c r="D248" s="61" t="s">
        <v>36</v>
      </c>
      <c r="E248" s="209">
        <v>2921000</v>
      </c>
      <c r="F248" s="205">
        <f t="shared" si="6"/>
        <v>2833370</v>
      </c>
      <c r="G248" s="206">
        <f t="shared" si="7"/>
        <v>2745740</v>
      </c>
      <c r="H248" s="210">
        <v>822.9</v>
      </c>
      <c r="I248" s="210">
        <v>604.07000000000005</v>
      </c>
      <c r="J248" s="210">
        <v>218.83</v>
      </c>
      <c r="K248" s="61" t="s">
        <v>2353</v>
      </c>
    </row>
    <row r="249" spans="1:11">
      <c r="A249" s="202">
        <v>246</v>
      </c>
      <c r="B249" s="203" t="s">
        <v>4577</v>
      </c>
      <c r="C249" s="61" t="s">
        <v>4468</v>
      </c>
      <c r="D249" s="61" t="s">
        <v>36</v>
      </c>
      <c r="E249" s="209">
        <v>2921000</v>
      </c>
      <c r="F249" s="205">
        <f t="shared" si="6"/>
        <v>2833370</v>
      </c>
      <c r="G249" s="206">
        <f t="shared" si="7"/>
        <v>2745740</v>
      </c>
      <c r="H249" s="210">
        <v>822.9</v>
      </c>
      <c r="I249" s="210">
        <v>604.07000000000005</v>
      </c>
      <c r="J249" s="210">
        <v>218.83</v>
      </c>
      <c r="K249" s="61" t="s">
        <v>2353</v>
      </c>
    </row>
    <row r="250" spans="1:11">
      <c r="A250" s="202">
        <v>247</v>
      </c>
      <c r="B250" s="203" t="s">
        <v>4578</v>
      </c>
      <c r="C250" s="61" t="s">
        <v>4468</v>
      </c>
      <c r="D250" s="61" t="s">
        <v>36</v>
      </c>
      <c r="E250" s="209">
        <v>2921000</v>
      </c>
      <c r="F250" s="205">
        <f t="shared" si="6"/>
        <v>2833370</v>
      </c>
      <c r="G250" s="206">
        <f t="shared" si="7"/>
        <v>2745740</v>
      </c>
      <c r="H250" s="210">
        <v>822.9</v>
      </c>
      <c r="I250" s="210">
        <v>604.07000000000005</v>
      </c>
      <c r="J250" s="210">
        <v>218.83</v>
      </c>
      <c r="K250" s="61" t="s">
        <v>2353</v>
      </c>
    </row>
    <row r="251" spans="1:11">
      <c r="A251" s="202">
        <v>248</v>
      </c>
      <c r="B251" s="203" t="s">
        <v>1778</v>
      </c>
      <c r="C251" s="61" t="s">
        <v>4467</v>
      </c>
      <c r="D251" s="61" t="s">
        <v>36</v>
      </c>
      <c r="E251" s="209">
        <v>2919000</v>
      </c>
      <c r="F251" s="205">
        <f t="shared" si="6"/>
        <v>2831430</v>
      </c>
      <c r="G251" s="206">
        <f t="shared" si="7"/>
        <v>2743860</v>
      </c>
      <c r="H251" s="210">
        <v>822.9</v>
      </c>
      <c r="I251" s="210">
        <v>604.07000000000005</v>
      </c>
      <c r="J251" s="210">
        <v>218.83</v>
      </c>
      <c r="K251" s="61" t="s">
        <v>2353</v>
      </c>
    </row>
    <row r="252" spans="1:11">
      <c r="A252" s="202">
        <v>249</v>
      </c>
      <c r="B252" s="203" t="s">
        <v>1779</v>
      </c>
      <c r="C252" s="61" t="s">
        <v>4467</v>
      </c>
      <c r="D252" s="61" t="s">
        <v>36</v>
      </c>
      <c r="E252" s="209">
        <v>2919000</v>
      </c>
      <c r="F252" s="205">
        <f t="shared" si="6"/>
        <v>2831430</v>
      </c>
      <c r="G252" s="206">
        <f t="shared" si="7"/>
        <v>2743860</v>
      </c>
      <c r="H252" s="210">
        <v>822.9</v>
      </c>
      <c r="I252" s="210">
        <v>604.07000000000005</v>
      </c>
      <c r="J252" s="210">
        <v>218.83</v>
      </c>
      <c r="K252" s="61" t="s">
        <v>2353</v>
      </c>
    </row>
    <row r="253" spans="1:11">
      <c r="A253" s="202">
        <v>250</v>
      </c>
      <c r="B253" s="203" t="s">
        <v>1780</v>
      </c>
      <c r="C253" s="61" t="s">
        <v>4467</v>
      </c>
      <c r="D253" s="61" t="s">
        <v>36</v>
      </c>
      <c r="E253" s="209">
        <v>2919000</v>
      </c>
      <c r="F253" s="205">
        <f t="shared" si="6"/>
        <v>2831430</v>
      </c>
      <c r="G253" s="206">
        <f t="shared" si="7"/>
        <v>2743860</v>
      </c>
      <c r="H253" s="210">
        <v>822.9</v>
      </c>
      <c r="I253" s="210">
        <v>604.07000000000005</v>
      </c>
      <c r="J253" s="210">
        <v>218.83</v>
      </c>
      <c r="K253" s="61" t="s">
        <v>2353</v>
      </c>
    </row>
    <row r="254" spans="1:11">
      <c r="A254" s="202">
        <v>251</v>
      </c>
      <c r="B254" s="203" t="s">
        <v>1781</v>
      </c>
      <c r="C254" s="61" t="s">
        <v>4467</v>
      </c>
      <c r="D254" s="61" t="s">
        <v>36</v>
      </c>
      <c r="E254" s="209">
        <v>2919000</v>
      </c>
      <c r="F254" s="205">
        <f t="shared" si="6"/>
        <v>2831430</v>
      </c>
      <c r="G254" s="206">
        <f t="shared" si="7"/>
        <v>2743860</v>
      </c>
      <c r="H254" s="210">
        <v>822.9</v>
      </c>
      <c r="I254" s="210">
        <v>604.07000000000005</v>
      </c>
      <c r="J254" s="210">
        <v>218.83</v>
      </c>
      <c r="K254" s="61" t="s">
        <v>2353</v>
      </c>
    </row>
    <row r="255" spans="1:11">
      <c r="A255" s="202">
        <v>252</v>
      </c>
      <c r="B255" s="203" t="s">
        <v>1782</v>
      </c>
      <c r="C255" s="61" t="s">
        <v>3</v>
      </c>
      <c r="D255" s="61" t="s">
        <v>36</v>
      </c>
      <c r="E255" s="209">
        <v>2882000</v>
      </c>
      <c r="F255" s="205">
        <f t="shared" si="6"/>
        <v>2795540</v>
      </c>
      <c r="G255" s="206">
        <f t="shared" si="7"/>
        <v>2709080</v>
      </c>
      <c r="H255" s="210">
        <v>877.47</v>
      </c>
      <c r="I255" s="210">
        <v>604.07000000000005</v>
      </c>
      <c r="J255" s="210">
        <v>273.39999999999998</v>
      </c>
      <c r="K255" s="61" t="s">
        <v>2353</v>
      </c>
    </row>
    <row r="256" spans="1:11">
      <c r="A256" s="202">
        <v>253</v>
      </c>
      <c r="B256" s="203" t="s">
        <v>1783</v>
      </c>
      <c r="C256" s="61" t="s">
        <v>3</v>
      </c>
      <c r="D256" s="61" t="s">
        <v>36</v>
      </c>
      <c r="E256" s="209">
        <v>2882000</v>
      </c>
      <c r="F256" s="205">
        <f t="shared" si="6"/>
        <v>2795540</v>
      </c>
      <c r="G256" s="206">
        <f t="shared" si="7"/>
        <v>2709080</v>
      </c>
      <c r="H256" s="210">
        <v>877.47</v>
      </c>
      <c r="I256" s="210">
        <v>604.07000000000005</v>
      </c>
      <c r="J256" s="210">
        <v>273.39999999999998</v>
      </c>
      <c r="K256" s="61" t="s">
        <v>2353</v>
      </c>
    </row>
    <row r="257" spans="1:11">
      <c r="A257" s="202">
        <v>254</v>
      </c>
      <c r="B257" s="203" t="s">
        <v>1784</v>
      </c>
      <c r="C257" s="61" t="s">
        <v>3</v>
      </c>
      <c r="D257" s="61" t="s">
        <v>36</v>
      </c>
      <c r="E257" s="209">
        <v>2882000</v>
      </c>
      <c r="F257" s="205">
        <f t="shared" si="6"/>
        <v>2795540</v>
      </c>
      <c r="G257" s="206">
        <f t="shared" si="7"/>
        <v>2709080</v>
      </c>
      <c r="H257" s="210">
        <v>877.47</v>
      </c>
      <c r="I257" s="210">
        <v>604.07000000000005</v>
      </c>
      <c r="J257" s="210">
        <v>273.39999999999998</v>
      </c>
      <c r="K257" s="61" t="s">
        <v>2353</v>
      </c>
    </row>
    <row r="258" spans="1:11">
      <c r="A258" s="202">
        <v>255</v>
      </c>
      <c r="B258" s="203" t="s">
        <v>1785</v>
      </c>
      <c r="C258" s="61" t="s">
        <v>3</v>
      </c>
      <c r="D258" s="61" t="s">
        <v>36</v>
      </c>
      <c r="E258" s="209">
        <v>2882000</v>
      </c>
      <c r="F258" s="205">
        <f t="shared" si="6"/>
        <v>2795540</v>
      </c>
      <c r="G258" s="206">
        <f t="shared" si="7"/>
        <v>2709080</v>
      </c>
      <c r="H258" s="210">
        <v>877.47</v>
      </c>
      <c r="I258" s="210">
        <v>604.07000000000005</v>
      </c>
      <c r="J258" s="210">
        <v>273.39999999999998</v>
      </c>
      <c r="K258" s="61" t="s">
        <v>2353</v>
      </c>
    </row>
    <row r="259" spans="1:11">
      <c r="A259" s="202">
        <v>256</v>
      </c>
      <c r="B259" s="203" t="s">
        <v>1786</v>
      </c>
      <c r="C259" s="61" t="s">
        <v>3</v>
      </c>
      <c r="D259" s="61" t="s">
        <v>36</v>
      </c>
      <c r="E259" s="209">
        <v>2882000</v>
      </c>
      <c r="F259" s="205">
        <f t="shared" si="6"/>
        <v>2795540</v>
      </c>
      <c r="G259" s="206">
        <f t="shared" si="7"/>
        <v>2709080</v>
      </c>
      <c r="H259" s="210">
        <v>877.47</v>
      </c>
      <c r="I259" s="210">
        <v>604.07000000000005</v>
      </c>
      <c r="J259" s="210">
        <v>273.39999999999998</v>
      </c>
      <c r="K259" s="61" t="s">
        <v>2353</v>
      </c>
    </row>
    <row r="260" spans="1:11">
      <c r="A260" s="202">
        <v>257</v>
      </c>
      <c r="B260" s="203" t="s">
        <v>1787</v>
      </c>
      <c r="C260" s="61" t="s">
        <v>3</v>
      </c>
      <c r="D260" s="61" t="s">
        <v>36</v>
      </c>
      <c r="E260" s="209">
        <v>2882000</v>
      </c>
      <c r="F260" s="205">
        <f t="shared" ref="F260:F323" si="8">E260*0.97</f>
        <v>2795540</v>
      </c>
      <c r="G260" s="206">
        <f t="shared" ref="G260:G323" si="9">E260*0.94</f>
        <v>2709080</v>
      </c>
      <c r="H260" s="210">
        <v>877.47</v>
      </c>
      <c r="I260" s="210">
        <v>604.07000000000005</v>
      </c>
      <c r="J260" s="210">
        <v>273.39999999999998</v>
      </c>
      <c r="K260" s="61" t="s">
        <v>2353</v>
      </c>
    </row>
    <row r="261" spans="1:11">
      <c r="A261" s="202">
        <v>258</v>
      </c>
      <c r="B261" s="203" t="s">
        <v>1788</v>
      </c>
      <c r="C261" s="61" t="s">
        <v>3</v>
      </c>
      <c r="D261" s="61" t="s">
        <v>36</v>
      </c>
      <c r="E261" s="209">
        <v>2882000</v>
      </c>
      <c r="F261" s="205">
        <f t="shared" si="8"/>
        <v>2795540</v>
      </c>
      <c r="G261" s="206">
        <f t="shared" si="9"/>
        <v>2709080</v>
      </c>
      <c r="H261" s="210">
        <v>877.47</v>
      </c>
      <c r="I261" s="210">
        <v>604.07000000000005</v>
      </c>
      <c r="J261" s="210">
        <v>273.39999999999998</v>
      </c>
      <c r="K261" s="61" t="s">
        <v>2353</v>
      </c>
    </row>
    <row r="262" spans="1:11">
      <c r="A262" s="202">
        <v>259</v>
      </c>
      <c r="B262" s="203" t="s">
        <v>1789</v>
      </c>
      <c r="C262" s="61" t="s">
        <v>4465</v>
      </c>
      <c r="D262" s="61" t="s">
        <v>36</v>
      </c>
      <c r="E262" s="209">
        <v>2913000</v>
      </c>
      <c r="F262" s="205">
        <f t="shared" si="8"/>
        <v>2825610</v>
      </c>
      <c r="G262" s="206">
        <f t="shared" si="9"/>
        <v>2738220</v>
      </c>
      <c r="H262" s="210">
        <v>822.9</v>
      </c>
      <c r="I262" s="210">
        <v>604.07000000000005</v>
      </c>
      <c r="J262" s="210">
        <v>218.83</v>
      </c>
      <c r="K262" s="61" t="s">
        <v>2353</v>
      </c>
    </row>
    <row r="263" spans="1:11">
      <c r="A263" s="202">
        <v>260</v>
      </c>
      <c r="B263" s="203" t="s">
        <v>1790</v>
      </c>
      <c r="C263" s="61" t="s">
        <v>4465</v>
      </c>
      <c r="D263" s="61" t="s">
        <v>36</v>
      </c>
      <c r="E263" s="209">
        <v>2913000</v>
      </c>
      <c r="F263" s="205">
        <f t="shared" si="8"/>
        <v>2825610</v>
      </c>
      <c r="G263" s="206">
        <f t="shared" si="9"/>
        <v>2738220</v>
      </c>
      <c r="H263" s="210">
        <v>822.9</v>
      </c>
      <c r="I263" s="210">
        <v>604.07000000000005</v>
      </c>
      <c r="J263" s="210">
        <v>218.83</v>
      </c>
      <c r="K263" s="61" t="s">
        <v>2353</v>
      </c>
    </row>
    <row r="264" spans="1:11">
      <c r="A264" s="202">
        <v>261</v>
      </c>
      <c r="B264" s="203" t="s">
        <v>1791</v>
      </c>
      <c r="C264" s="61" t="s">
        <v>4465</v>
      </c>
      <c r="D264" s="61" t="s">
        <v>36</v>
      </c>
      <c r="E264" s="209">
        <v>2913000</v>
      </c>
      <c r="F264" s="205">
        <f t="shared" si="8"/>
        <v>2825610</v>
      </c>
      <c r="G264" s="206">
        <f t="shared" si="9"/>
        <v>2738220</v>
      </c>
      <c r="H264" s="210">
        <v>822.9</v>
      </c>
      <c r="I264" s="210">
        <v>604.07000000000005</v>
      </c>
      <c r="J264" s="210">
        <v>218.83</v>
      </c>
      <c r="K264" s="61" t="s">
        <v>2353</v>
      </c>
    </row>
    <row r="265" spans="1:11">
      <c r="A265" s="202">
        <v>262</v>
      </c>
      <c r="B265" s="203" t="s">
        <v>1792</v>
      </c>
      <c r="C265" s="61" t="s">
        <v>4465</v>
      </c>
      <c r="D265" s="61" t="s">
        <v>36</v>
      </c>
      <c r="E265" s="209">
        <v>2913000</v>
      </c>
      <c r="F265" s="205">
        <f t="shared" si="8"/>
        <v>2825610</v>
      </c>
      <c r="G265" s="206">
        <f t="shared" si="9"/>
        <v>2738220</v>
      </c>
      <c r="H265" s="210">
        <v>822.9</v>
      </c>
      <c r="I265" s="210">
        <v>604.07000000000005</v>
      </c>
      <c r="J265" s="210">
        <v>218.83</v>
      </c>
      <c r="K265" s="61" t="s">
        <v>2353</v>
      </c>
    </row>
    <row r="266" spans="1:11">
      <c r="A266" s="202">
        <v>263</v>
      </c>
      <c r="B266" s="203" t="s">
        <v>1793</v>
      </c>
      <c r="C266" s="61" t="s">
        <v>4465</v>
      </c>
      <c r="D266" s="61" t="s">
        <v>36</v>
      </c>
      <c r="E266" s="209">
        <v>2913000</v>
      </c>
      <c r="F266" s="205">
        <f t="shared" si="8"/>
        <v>2825610</v>
      </c>
      <c r="G266" s="206">
        <f t="shared" si="9"/>
        <v>2738220</v>
      </c>
      <c r="H266" s="210">
        <v>822.9</v>
      </c>
      <c r="I266" s="210">
        <v>604.07000000000005</v>
      </c>
      <c r="J266" s="210">
        <v>218.83</v>
      </c>
      <c r="K266" s="61" t="s">
        <v>2353</v>
      </c>
    </row>
    <row r="267" spans="1:11">
      <c r="A267" s="202">
        <v>264</v>
      </c>
      <c r="B267" s="203" t="s">
        <v>1794</v>
      </c>
      <c r="C267" s="61" t="s">
        <v>4464</v>
      </c>
      <c r="D267" s="61" t="s">
        <v>36</v>
      </c>
      <c r="E267" s="209">
        <v>2910000</v>
      </c>
      <c r="F267" s="205">
        <f t="shared" si="8"/>
        <v>2822700</v>
      </c>
      <c r="G267" s="206">
        <f t="shared" si="9"/>
        <v>2735400</v>
      </c>
      <c r="H267" s="210">
        <v>822.9</v>
      </c>
      <c r="I267" s="210">
        <v>604.07000000000005</v>
      </c>
      <c r="J267" s="210">
        <v>218.83</v>
      </c>
      <c r="K267" s="61" t="s">
        <v>2353</v>
      </c>
    </row>
    <row r="268" spans="1:11">
      <c r="A268" s="202">
        <v>265</v>
      </c>
      <c r="B268" s="203" t="s">
        <v>1795</v>
      </c>
      <c r="C268" s="61" t="s">
        <v>4464</v>
      </c>
      <c r="D268" s="61" t="s">
        <v>36</v>
      </c>
      <c r="E268" s="209">
        <v>2910000</v>
      </c>
      <c r="F268" s="205">
        <f t="shared" si="8"/>
        <v>2822700</v>
      </c>
      <c r="G268" s="206">
        <f t="shared" si="9"/>
        <v>2735400</v>
      </c>
      <c r="H268" s="210">
        <v>822.9</v>
      </c>
      <c r="I268" s="210">
        <v>604.07000000000005</v>
      </c>
      <c r="J268" s="210">
        <v>218.83</v>
      </c>
      <c r="K268" s="61" t="s">
        <v>2353</v>
      </c>
    </row>
    <row r="269" spans="1:11">
      <c r="A269" s="202">
        <v>266</v>
      </c>
      <c r="B269" s="203" t="s">
        <v>1796</v>
      </c>
      <c r="C269" s="61" t="s">
        <v>4464</v>
      </c>
      <c r="D269" s="61" t="s">
        <v>36</v>
      </c>
      <c r="E269" s="209">
        <v>2910000</v>
      </c>
      <c r="F269" s="205">
        <f t="shared" si="8"/>
        <v>2822700</v>
      </c>
      <c r="G269" s="206">
        <f t="shared" si="9"/>
        <v>2735400</v>
      </c>
      <c r="H269" s="210">
        <v>822.9</v>
      </c>
      <c r="I269" s="210">
        <v>604.07000000000005</v>
      </c>
      <c r="J269" s="210">
        <v>218.83</v>
      </c>
      <c r="K269" s="61" t="s">
        <v>2353</v>
      </c>
    </row>
    <row r="270" spans="1:11">
      <c r="A270" s="202">
        <v>267</v>
      </c>
      <c r="B270" s="203" t="s">
        <v>1797</v>
      </c>
      <c r="C270" s="61" t="s">
        <v>4464</v>
      </c>
      <c r="D270" s="61" t="s">
        <v>36</v>
      </c>
      <c r="E270" s="209">
        <v>2910000</v>
      </c>
      <c r="F270" s="205">
        <f t="shared" si="8"/>
        <v>2822700</v>
      </c>
      <c r="G270" s="206">
        <f t="shared" si="9"/>
        <v>2735400</v>
      </c>
      <c r="H270" s="210">
        <v>822.9</v>
      </c>
      <c r="I270" s="210">
        <v>604.07000000000005</v>
      </c>
      <c r="J270" s="210">
        <v>218.83</v>
      </c>
      <c r="K270" s="61" t="s">
        <v>2353</v>
      </c>
    </row>
    <row r="271" spans="1:11">
      <c r="A271" s="202">
        <v>268</v>
      </c>
      <c r="B271" s="203" t="s">
        <v>1798</v>
      </c>
      <c r="C271" s="61" t="s">
        <v>4464</v>
      </c>
      <c r="D271" s="61" t="s">
        <v>36</v>
      </c>
      <c r="E271" s="209">
        <v>2910000</v>
      </c>
      <c r="F271" s="205">
        <f t="shared" si="8"/>
        <v>2822700</v>
      </c>
      <c r="G271" s="206">
        <f t="shared" si="9"/>
        <v>2735400</v>
      </c>
      <c r="H271" s="210">
        <v>822.9</v>
      </c>
      <c r="I271" s="210">
        <v>604.07000000000005</v>
      </c>
      <c r="J271" s="210">
        <v>218.83</v>
      </c>
      <c r="K271" s="61" t="s">
        <v>2353</v>
      </c>
    </row>
    <row r="272" spans="1:11">
      <c r="A272" s="202">
        <v>269</v>
      </c>
      <c r="B272" s="203" t="s">
        <v>1799</v>
      </c>
      <c r="C272" s="61" t="s">
        <v>4463</v>
      </c>
      <c r="D272" s="61" t="s">
        <v>36</v>
      </c>
      <c r="E272" s="209">
        <v>2908000</v>
      </c>
      <c r="F272" s="205">
        <f t="shared" si="8"/>
        <v>2820760</v>
      </c>
      <c r="G272" s="206">
        <f t="shared" si="9"/>
        <v>2733520</v>
      </c>
      <c r="H272" s="210">
        <v>822.9</v>
      </c>
      <c r="I272" s="210">
        <v>604.07000000000005</v>
      </c>
      <c r="J272" s="210">
        <v>218.83</v>
      </c>
      <c r="K272" s="61" t="s">
        <v>2353</v>
      </c>
    </row>
    <row r="273" spans="1:11">
      <c r="A273" s="202">
        <v>270</v>
      </c>
      <c r="B273" s="203" t="s">
        <v>1800</v>
      </c>
      <c r="C273" s="61" t="s">
        <v>4463</v>
      </c>
      <c r="D273" s="61" t="s">
        <v>36</v>
      </c>
      <c r="E273" s="209">
        <v>2908000</v>
      </c>
      <c r="F273" s="205">
        <f t="shared" si="8"/>
        <v>2820760</v>
      </c>
      <c r="G273" s="206">
        <f t="shared" si="9"/>
        <v>2733520</v>
      </c>
      <c r="H273" s="210">
        <v>822.9</v>
      </c>
      <c r="I273" s="210">
        <v>604.07000000000005</v>
      </c>
      <c r="J273" s="210">
        <v>218.83</v>
      </c>
      <c r="K273" s="61" t="s">
        <v>2353</v>
      </c>
    </row>
    <row r="274" spans="1:11">
      <c r="A274" s="202">
        <v>271</v>
      </c>
      <c r="B274" s="203" t="s">
        <v>1801</v>
      </c>
      <c r="C274" s="61" t="s">
        <v>4463</v>
      </c>
      <c r="D274" s="61" t="s">
        <v>36</v>
      </c>
      <c r="E274" s="209">
        <v>2908000</v>
      </c>
      <c r="F274" s="205">
        <f t="shared" si="8"/>
        <v>2820760</v>
      </c>
      <c r="G274" s="206">
        <f t="shared" si="9"/>
        <v>2733520</v>
      </c>
      <c r="H274" s="210">
        <v>822.9</v>
      </c>
      <c r="I274" s="210">
        <v>604.07000000000005</v>
      </c>
      <c r="J274" s="210">
        <v>218.83</v>
      </c>
      <c r="K274" s="61" t="s">
        <v>2353</v>
      </c>
    </row>
    <row r="275" spans="1:11">
      <c r="A275" s="202">
        <v>272</v>
      </c>
      <c r="B275" s="203" t="s">
        <v>1802</v>
      </c>
      <c r="C275" s="61" t="s">
        <v>4463</v>
      </c>
      <c r="D275" s="61" t="s">
        <v>36</v>
      </c>
      <c r="E275" s="209">
        <v>2908000</v>
      </c>
      <c r="F275" s="205">
        <f t="shared" si="8"/>
        <v>2820760</v>
      </c>
      <c r="G275" s="206">
        <f t="shared" si="9"/>
        <v>2733520</v>
      </c>
      <c r="H275" s="210">
        <v>822.9</v>
      </c>
      <c r="I275" s="210">
        <v>604.07000000000005</v>
      </c>
      <c r="J275" s="210">
        <v>218.83</v>
      </c>
      <c r="K275" s="61" t="s">
        <v>2353</v>
      </c>
    </row>
    <row r="276" spans="1:11">
      <c r="A276" s="202">
        <v>273</v>
      </c>
      <c r="B276" s="203" t="s">
        <v>1803</v>
      </c>
      <c r="C276" s="61" t="s">
        <v>4463</v>
      </c>
      <c r="D276" s="61" t="s">
        <v>36</v>
      </c>
      <c r="E276" s="209">
        <v>2908000</v>
      </c>
      <c r="F276" s="205">
        <f t="shared" si="8"/>
        <v>2820760</v>
      </c>
      <c r="G276" s="206">
        <f t="shared" si="9"/>
        <v>2733520</v>
      </c>
      <c r="H276" s="210">
        <v>822.9</v>
      </c>
      <c r="I276" s="210">
        <v>604.07000000000005</v>
      </c>
      <c r="J276" s="210">
        <v>218.83</v>
      </c>
      <c r="K276" s="61" t="s">
        <v>2353</v>
      </c>
    </row>
    <row r="277" spans="1:11">
      <c r="A277" s="202">
        <v>274</v>
      </c>
      <c r="B277" s="203" t="s">
        <v>1804</v>
      </c>
      <c r="C277" s="61" t="s">
        <v>4495</v>
      </c>
      <c r="D277" s="61" t="s">
        <v>36</v>
      </c>
      <c r="E277" s="209">
        <v>2902000</v>
      </c>
      <c r="F277" s="205">
        <f t="shared" si="8"/>
        <v>2814940</v>
      </c>
      <c r="G277" s="206">
        <f t="shared" si="9"/>
        <v>2727880</v>
      </c>
      <c r="H277" s="210">
        <v>822.9</v>
      </c>
      <c r="I277" s="210">
        <v>604.07000000000005</v>
      </c>
      <c r="J277" s="210">
        <v>218.83</v>
      </c>
      <c r="K277" s="61" t="s">
        <v>2353</v>
      </c>
    </row>
    <row r="278" spans="1:11">
      <c r="A278" s="202">
        <v>275</v>
      </c>
      <c r="B278" s="203" t="s">
        <v>1805</v>
      </c>
      <c r="C278" s="61" t="s">
        <v>4495</v>
      </c>
      <c r="D278" s="61" t="s">
        <v>36</v>
      </c>
      <c r="E278" s="209">
        <v>2902000</v>
      </c>
      <c r="F278" s="205">
        <f t="shared" si="8"/>
        <v>2814940</v>
      </c>
      <c r="G278" s="206">
        <f t="shared" si="9"/>
        <v>2727880</v>
      </c>
      <c r="H278" s="210">
        <v>822.9</v>
      </c>
      <c r="I278" s="210">
        <v>604.07000000000005</v>
      </c>
      <c r="J278" s="210">
        <v>218.83</v>
      </c>
      <c r="K278" s="61" t="s">
        <v>2353</v>
      </c>
    </row>
    <row r="279" spans="1:11">
      <c r="A279" s="202">
        <v>276</v>
      </c>
      <c r="B279" s="203" t="s">
        <v>1806</v>
      </c>
      <c r="C279" s="61" t="s">
        <v>4495</v>
      </c>
      <c r="D279" s="61" t="s">
        <v>36</v>
      </c>
      <c r="E279" s="209">
        <v>2902000</v>
      </c>
      <c r="F279" s="205">
        <f t="shared" si="8"/>
        <v>2814940</v>
      </c>
      <c r="G279" s="206">
        <f t="shared" si="9"/>
        <v>2727880</v>
      </c>
      <c r="H279" s="210">
        <v>822.9</v>
      </c>
      <c r="I279" s="210">
        <v>604.07000000000005</v>
      </c>
      <c r="J279" s="210">
        <v>218.83</v>
      </c>
      <c r="K279" s="61" t="s">
        <v>2353</v>
      </c>
    </row>
    <row r="280" spans="1:11">
      <c r="A280" s="202">
        <v>277</v>
      </c>
      <c r="B280" s="203" t="s">
        <v>1807</v>
      </c>
      <c r="C280" s="61" t="s">
        <v>4495</v>
      </c>
      <c r="D280" s="61" t="s">
        <v>36</v>
      </c>
      <c r="E280" s="209">
        <v>2902000</v>
      </c>
      <c r="F280" s="205">
        <f t="shared" si="8"/>
        <v>2814940</v>
      </c>
      <c r="G280" s="206">
        <f t="shared" si="9"/>
        <v>2727880</v>
      </c>
      <c r="H280" s="210">
        <v>822.9</v>
      </c>
      <c r="I280" s="210">
        <v>604.07000000000005</v>
      </c>
      <c r="J280" s="210">
        <v>218.83</v>
      </c>
      <c r="K280" s="61" t="s">
        <v>2353</v>
      </c>
    </row>
    <row r="281" spans="1:11">
      <c r="A281" s="202">
        <v>278</v>
      </c>
      <c r="B281" s="203" t="s">
        <v>1808</v>
      </c>
      <c r="C281" s="61" t="s">
        <v>4495</v>
      </c>
      <c r="D281" s="61" t="s">
        <v>36</v>
      </c>
      <c r="E281" s="209">
        <v>2902000</v>
      </c>
      <c r="F281" s="205">
        <f t="shared" si="8"/>
        <v>2814940</v>
      </c>
      <c r="G281" s="206">
        <f t="shared" si="9"/>
        <v>2727880</v>
      </c>
      <c r="H281" s="210">
        <v>822.9</v>
      </c>
      <c r="I281" s="210">
        <v>604.07000000000005</v>
      </c>
      <c r="J281" s="210">
        <v>218.83</v>
      </c>
      <c r="K281" s="61" t="s">
        <v>2353</v>
      </c>
    </row>
    <row r="282" spans="1:11">
      <c r="A282" s="202">
        <v>279</v>
      </c>
      <c r="B282" s="203" t="s">
        <v>1809</v>
      </c>
      <c r="C282" s="61" t="s">
        <v>4495</v>
      </c>
      <c r="D282" s="61" t="s">
        <v>36</v>
      </c>
      <c r="E282" s="209">
        <v>2902000</v>
      </c>
      <c r="F282" s="205">
        <f t="shared" si="8"/>
        <v>2814940</v>
      </c>
      <c r="G282" s="206">
        <f t="shared" si="9"/>
        <v>2727880</v>
      </c>
      <c r="H282" s="210">
        <v>822.9</v>
      </c>
      <c r="I282" s="210">
        <v>604.07000000000005</v>
      </c>
      <c r="J282" s="210">
        <v>218.83</v>
      </c>
      <c r="K282" s="61" t="s">
        <v>2353</v>
      </c>
    </row>
    <row r="283" spans="1:11">
      <c r="A283" s="202">
        <v>280</v>
      </c>
      <c r="B283" s="203" t="s">
        <v>1810</v>
      </c>
      <c r="C283" s="61" t="s">
        <v>4495</v>
      </c>
      <c r="D283" s="61" t="s">
        <v>36</v>
      </c>
      <c r="E283" s="209">
        <v>2902000</v>
      </c>
      <c r="F283" s="205">
        <f t="shared" si="8"/>
        <v>2814940</v>
      </c>
      <c r="G283" s="206">
        <f t="shared" si="9"/>
        <v>2727880</v>
      </c>
      <c r="H283" s="210">
        <v>822.9</v>
      </c>
      <c r="I283" s="210">
        <v>604.07000000000005</v>
      </c>
      <c r="J283" s="210">
        <v>218.83</v>
      </c>
      <c r="K283" s="61" t="s">
        <v>2353</v>
      </c>
    </row>
    <row r="284" spans="1:11">
      <c r="A284" s="202">
        <v>281</v>
      </c>
      <c r="B284" s="203" t="s">
        <v>1811</v>
      </c>
      <c r="C284" s="61" t="s">
        <v>33</v>
      </c>
      <c r="D284" s="61" t="s">
        <v>36</v>
      </c>
      <c r="E284" s="209">
        <v>2897000</v>
      </c>
      <c r="F284" s="205">
        <f t="shared" si="8"/>
        <v>2810090</v>
      </c>
      <c r="G284" s="206">
        <f t="shared" si="9"/>
        <v>2723180</v>
      </c>
      <c r="H284" s="210">
        <v>822.9</v>
      </c>
      <c r="I284" s="210">
        <v>604.07000000000005</v>
      </c>
      <c r="J284" s="210">
        <v>218.83</v>
      </c>
      <c r="K284" s="61" t="s">
        <v>2353</v>
      </c>
    </row>
    <row r="285" spans="1:11">
      <c r="A285" s="202">
        <v>282</v>
      </c>
      <c r="B285" s="203" t="s">
        <v>1812</v>
      </c>
      <c r="C285" s="61" t="s">
        <v>33</v>
      </c>
      <c r="D285" s="61" t="s">
        <v>36</v>
      </c>
      <c r="E285" s="209">
        <v>2897000</v>
      </c>
      <c r="F285" s="205">
        <f t="shared" si="8"/>
        <v>2810090</v>
      </c>
      <c r="G285" s="206">
        <f t="shared" si="9"/>
        <v>2723180</v>
      </c>
      <c r="H285" s="210">
        <v>822.9</v>
      </c>
      <c r="I285" s="210">
        <v>604.07000000000005</v>
      </c>
      <c r="J285" s="210">
        <v>218.83</v>
      </c>
      <c r="K285" s="61" t="s">
        <v>2353</v>
      </c>
    </row>
    <row r="286" spans="1:11">
      <c r="A286" s="202">
        <v>283</v>
      </c>
      <c r="B286" s="203" t="s">
        <v>1813</v>
      </c>
      <c r="C286" s="61" t="s">
        <v>33</v>
      </c>
      <c r="D286" s="61" t="s">
        <v>36</v>
      </c>
      <c r="E286" s="209">
        <v>2897000</v>
      </c>
      <c r="F286" s="205">
        <f t="shared" si="8"/>
        <v>2810090</v>
      </c>
      <c r="G286" s="206">
        <f t="shared" si="9"/>
        <v>2723180</v>
      </c>
      <c r="H286" s="210">
        <v>822.9</v>
      </c>
      <c r="I286" s="210">
        <v>604.07000000000005</v>
      </c>
      <c r="J286" s="210">
        <v>218.83</v>
      </c>
      <c r="K286" s="61" t="s">
        <v>2353</v>
      </c>
    </row>
    <row r="287" spans="1:11">
      <c r="A287" s="202">
        <v>284</v>
      </c>
      <c r="B287" s="203" t="s">
        <v>1814</v>
      </c>
      <c r="C287" s="61" t="s">
        <v>33</v>
      </c>
      <c r="D287" s="61" t="s">
        <v>36</v>
      </c>
      <c r="E287" s="209">
        <v>2897000</v>
      </c>
      <c r="F287" s="205">
        <f t="shared" si="8"/>
        <v>2810090</v>
      </c>
      <c r="G287" s="206">
        <f t="shared" si="9"/>
        <v>2723180</v>
      </c>
      <c r="H287" s="210">
        <v>822.9</v>
      </c>
      <c r="I287" s="210">
        <v>604.07000000000005</v>
      </c>
      <c r="J287" s="210">
        <v>218.83</v>
      </c>
      <c r="K287" s="61" t="s">
        <v>2353</v>
      </c>
    </row>
    <row r="288" spans="1:11">
      <c r="A288" s="202">
        <v>285</v>
      </c>
      <c r="B288" s="203" t="s">
        <v>1815</v>
      </c>
      <c r="C288" s="61" t="s">
        <v>33</v>
      </c>
      <c r="D288" s="61" t="s">
        <v>36</v>
      </c>
      <c r="E288" s="209">
        <v>2897000</v>
      </c>
      <c r="F288" s="205">
        <f t="shared" si="8"/>
        <v>2810090</v>
      </c>
      <c r="G288" s="206">
        <f t="shared" si="9"/>
        <v>2723180</v>
      </c>
      <c r="H288" s="210">
        <v>822.9</v>
      </c>
      <c r="I288" s="210">
        <v>604.07000000000005</v>
      </c>
      <c r="J288" s="210">
        <v>218.83</v>
      </c>
      <c r="K288" s="61" t="s">
        <v>2353</v>
      </c>
    </row>
    <row r="289" spans="1:11">
      <c r="A289" s="202">
        <v>286</v>
      </c>
      <c r="B289" s="203" t="s">
        <v>1816</v>
      </c>
      <c r="C289" s="61" t="s">
        <v>33</v>
      </c>
      <c r="D289" s="61" t="s">
        <v>36</v>
      </c>
      <c r="E289" s="209">
        <v>2897000</v>
      </c>
      <c r="F289" s="205">
        <f t="shared" si="8"/>
        <v>2810090</v>
      </c>
      <c r="G289" s="206">
        <f t="shared" si="9"/>
        <v>2723180</v>
      </c>
      <c r="H289" s="210">
        <v>822.9</v>
      </c>
      <c r="I289" s="210">
        <v>604.07000000000005</v>
      </c>
      <c r="J289" s="210">
        <v>218.83</v>
      </c>
      <c r="K289" s="61" t="s">
        <v>2353</v>
      </c>
    </row>
    <row r="290" spans="1:11">
      <c r="A290" s="202">
        <v>287</v>
      </c>
      <c r="B290" s="203" t="s">
        <v>1817</v>
      </c>
      <c r="C290" s="61" t="s">
        <v>33</v>
      </c>
      <c r="D290" s="61" t="s">
        <v>36</v>
      </c>
      <c r="E290" s="209">
        <v>2897000</v>
      </c>
      <c r="F290" s="205">
        <f t="shared" si="8"/>
        <v>2810090</v>
      </c>
      <c r="G290" s="206">
        <f t="shared" si="9"/>
        <v>2723180</v>
      </c>
      <c r="H290" s="210">
        <v>822.9</v>
      </c>
      <c r="I290" s="210">
        <v>604.07000000000005</v>
      </c>
      <c r="J290" s="210">
        <v>218.83</v>
      </c>
      <c r="K290" s="61" t="s">
        <v>2353</v>
      </c>
    </row>
    <row r="291" spans="1:11">
      <c r="A291" s="202">
        <v>288</v>
      </c>
      <c r="B291" s="203" t="s">
        <v>1818</v>
      </c>
      <c r="C291" s="61" t="s">
        <v>33</v>
      </c>
      <c r="D291" s="61" t="s">
        <v>36</v>
      </c>
      <c r="E291" s="209">
        <v>2897000</v>
      </c>
      <c r="F291" s="205">
        <f t="shared" si="8"/>
        <v>2810090</v>
      </c>
      <c r="G291" s="206">
        <f t="shared" si="9"/>
        <v>2723180</v>
      </c>
      <c r="H291" s="210">
        <v>822.9</v>
      </c>
      <c r="I291" s="210">
        <v>604.07000000000005</v>
      </c>
      <c r="J291" s="210">
        <v>218.83</v>
      </c>
      <c r="K291" s="61" t="s">
        <v>2353</v>
      </c>
    </row>
    <row r="292" spans="1:11">
      <c r="A292" s="202">
        <v>289</v>
      </c>
      <c r="B292" s="203" t="s">
        <v>1819</v>
      </c>
      <c r="C292" s="61" t="s">
        <v>4461</v>
      </c>
      <c r="D292" s="61" t="s">
        <v>36</v>
      </c>
      <c r="E292" s="209">
        <v>2891000</v>
      </c>
      <c r="F292" s="205">
        <f t="shared" si="8"/>
        <v>2804270</v>
      </c>
      <c r="G292" s="206">
        <f t="shared" si="9"/>
        <v>2717540</v>
      </c>
      <c r="H292" s="210">
        <v>822.9</v>
      </c>
      <c r="I292" s="210">
        <v>604.07000000000005</v>
      </c>
      <c r="J292" s="210">
        <v>218.83</v>
      </c>
      <c r="K292" s="61" t="s">
        <v>2353</v>
      </c>
    </row>
    <row r="293" spans="1:11">
      <c r="A293" s="202">
        <v>290</v>
      </c>
      <c r="B293" s="203" t="s">
        <v>1820</v>
      </c>
      <c r="C293" s="61" t="s">
        <v>4461</v>
      </c>
      <c r="D293" s="61" t="s">
        <v>36</v>
      </c>
      <c r="E293" s="209">
        <v>2891000</v>
      </c>
      <c r="F293" s="205">
        <f t="shared" si="8"/>
        <v>2804270</v>
      </c>
      <c r="G293" s="206">
        <f t="shared" si="9"/>
        <v>2717540</v>
      </c>
      <c r="H293" s="210">
        <v>822.9</v>
      </c>
      <c r="I293" s="210">
        <v>604.07000000000005</v>
      </c>
      <c r="J293" s="210">
        <v>218.83</v>
      </c>
      <c r="K293" s="61" t="s">
        <v>2353</v>
      </c>
    </row>
    <row r="294" spans="1:11">
      <c r="A294" s="202">
        <v>291</v>
      </c>
      <c r="B294" s="203" t="s">
        <v>1821</v>
      </c>
      <c r="C294" s="61" t="s">
        <v>4461</v>
      </c>
      <c r="D294" s="61" t="s">
        <v>36</v>
      </c>
      <c r="E294" s="209">
        <v>2891000</v>
      </c>
      <c r="F294" s="205">
        <f t="shared" si="8"/>
        <v>2804270</v>
      </c>
      <c r="G294" s="206">
        <f t="shared" si="9"/>
        <v>2717540</v>
      </c>
      <c r="H294" s="210">
        <v>822.9</v>
      </c>
      <c r="I294" s="210">
        <v>604.07000000000005</v>
      </c>
      <c r="J294" s="210">
        <v>218.83</v>
      </c>
      <c r="K294" s="61" t="s">
        <v>2353</v>
      </c>
    </row>
    <row r="295" spans="1:11">
      <c r="A295" s="202">
        <v>292</v>
      </c>
      <c r="B295" s="203" t="s">
        <v>1822</v>
      </c>
      <c r="C295" s="61" t="s">
        <v>4461</v>
      </c>
      <c r="D295" s="61" t="s">
        <v>36</v>
      </c>
      <c r="E295" s="209">
        <v>2891000</v>
      </c>
      <c r="F295" s="205">
        <f t="shared" si="8"/>
        <v>2804270</v>
      </c>
      <c r="G295" s="206">
        <f t="shared" si="9"/>
        <v>2717540</v>
      </c>
      <c r="H295" s="210">
        <v>822.9</v>
      </c>
      <c r="I295" s="210">
        <v>604.07000000000005</v>
      </c>
      <c r="J295" s="210">
        <v>218.83</v>
      </c>
      <c r="K295" s="61" t="s">
        <v>2353</v>
      </c>
    </row>
    <row r="296" spans="1:11">
      <c r="A296" s="202">
        <v>293</v>
      </c>
      <c r="B296" s="203" t="s">
        <v>1823</v>
      </c>
      <c r="C296" s="61" t="s">
        <v>4461</v>
      </c>
      <c r="D296" s="61" t="s">
        <v>36</v>
      </c>
      <c r="E296" s="209">
        <v>2891000</v>
      </c>
      <c r="F296" s="205">
        <f t="shared" si="8"/>
        <v>2804270</v>
      </c>
      <c r="G296" s="206">
        <f t="shared" si="9"/>
        <v>2717540</v>
      </c>
      <c r="H296" s="210">
        <v>822.9</v>
      </c>
      <c r="I296" s="210">
        <v>604.07000000000005</v>
      </c>
      <c r="J296" s="210">
        <v>218.83</v>
      </c>
      <c r="K296" s="61" t="s">
        <v>2353</v>
      </c>
    </row>
    <row r="297" spans="1:11">
      <c r="A297" s="202">
        <v>294</v>
      </c>
      <c r="B297" s="203" t="s">
        <v>1824</v>
      </c>
      <c r="C297" s="61" t="s">
        <v>4461</v>
      </c>
      <c r="D297" s="61" t="s">
        <v>36</v>
      </c>
      <c r="E297" s="209">
        <v>2891000</v>
      </c>
      <c r="F297" s="205">
        <f t="shared" si="8"/>
        <v>2804270</v>
      </c>
      <c r="G297" s="206">
        <f t="shared" si="9"/>
        <v>2717540</v>
      </c>
      <c r="H297" s="210">
        <v>822.9</v>
      </c>
      <c r="I297" s="210">
        <v>604.07000000000005</v>
      </c>
      <c r="J297" s="210">
        <v>218.83</v>
      </c>
      <c r="K297" s="61" t="s">
        <v>2353</v>
      </c>
    </row>
    <row r="298" spans="1:11">
      <c r="A298" s="202">
        <v>295</v>
      </c>
      <c r="B298" s="203" t="s">
        <v>1825</v>
      </c>
      <c r="C298" s="61" t="s">
        <v>4461</v>
      </c>
      <c r="D298" s="61" t="s">
        <v>36</v>
      </c>
      <c r="E298" s="209">
        <v>2891000</v>
      </c>
      <c r="F298" s="205">
        <f t="shared" si="8"/>
        <v>2804270</v>
      </c>
      <c r="G298" s="206">
        <f t="shared" si="9"/>
        <v>2717540</v>
      </c>
      <c r="H298" s="210">
        <v>822.9</v>
      </c>
      <c r="I298" s="210">
        <v>604.07000000000005</v>
      </c>
      <c r="J298" s="210">
        <v>218.83</v>
      </c>
      <c r="K298" s="61" t="s">
        <v>2353</v>
      </c>
    </row>
    <row r="299" spans="1:11">
      <c r="A299" s="202">
        <v>296</v>
      </c>
      <c r="B299" s="203" t="s">
        <v>1826</v>
      </c>
      <c r="C299" s="61" t="s">
        <v>4461</v>
      </c>
      <c r="D299" s="61" t="s">
        <v>36</v>
      </c>
      <c r="E299" s="209">
        <v>2891000</v>
      </c>
      <c r="F299" s="205">
        <f t="shared" si="8"/>
        <v>2804270</v>
      </c>
      <c r="G299" s="206">
        <f t="shared" si="9"/>
        <v>2717540</v>
      </c>
      <c r="H299" s="210">
        <v>822.9</v>
      </c>
      <c r="I299" s="210">
        <v>604.07000000000005</v>
      </c>
      <c r="J299" s="210">
        <v>218.83</v>
      </c>
      <c r="K299" s="61" t="s">
        <v>2353</v>
      </c>
    </row>
    <row r="300" spans="1:11">
      <c r="A300" s="202">
        <v>297</v>
      </c>
      <c r="B300" s="203" t="s">
        <v>1827</v>
      </c>
      <c r="C300" s="61" t="s">
        <v>4461</v>
      </c>
      <c r="D300" s="61" t="s">
        <v>36</v>
      </c>
      <c r="E300" s="209">
        <v>2891000</v>
      </c>
      <c r="F300" s="205">
        <f t="shared" si="8"/>
        <v>2804270</v>
      </c>
      <c r="G300" s="206">
        <f t="shared" si="9"/>
        <v>2717540</v>
      </c>
      <c r="H300" s="210">
        <v>822.9</v>
      </c>
      <c r="I300" s="210">
        <v>604.07000000000005</v>
      </c>
      <c r="J300" s="210">
        <v>218.83</v>
      </c>
      <c r="K300" s="61" t="s">
        <v>2353</v>
      </c>
    </row>
    <row r="301" spans="1:11">
      <c r="A301" s="202">
        <v>298</v>
      </c>
      <c r="B301" s="203" t="s">
        <v>1828</v>
      </c>
      <c r="C301" s="61" t="s">
        <v>4460</v>
      </c>
      <c r="D301" s="61" t="s">
        <v>36</v>
      </c>
      <c r="E301" s="209">
        <v>2888000</v>
      </c>
      <c r="F301" s="205">
        <f t="shared" si="8"/>
        <v>2801360</v>
      </c>
      <c r="G301" s="206">
        <f t="shared" si="9"/>
        <v>2714720</v>
      </c>
      <c r="H301" s="210">
        <v>822.9</v>
      </c>
      <c r="I301" s="210">
        <v>604.07000000000005</v>
      </c>
      <c r="J301" s="210">
        <v>218.83</v>
      </c>
      <c r="K301" s="61" t="s">
        <v>2353</v>
      </c>
    </row>
    <row r="302" spans="1:11">
      <c r="A302" s="202">
        <v>299</v>
      </c>
      <c r="B302" s="203" t="s">
        <v>1829</v>
      </c>
      <c r="C302" s="61" t="s">
        <v>4460</v>
      </c>
      <c r="D302" s="61" t="s">
        <v>36</v>
      </c>
      <c r="E302" s="209">
        <v>2888000</v>
      </c>
      <c r="F302" s="205">
        <f t="shared" si="8"/>
        <v>2801360</v>
      </c>
      <c r="G302" s="206">
        <f t="shared" si="9"/>
        <v>2714720</v>
      </c>
      <c r="H302" s="210">
        <v>822.9</v>
      </c>
      <c r="I302" s="210">
        <v>604.07000000000005</v>
      </c>
      <c r="J302" s="210">
        <v>218.83</v>
      </c>
      <c r="K302" s="61" t="s">
        <v>2353</v>
      </c>
    </row>
    <row r="303" spans="1:11">
      <c r="A303" s="202">
        <v>300</v>
      </c>
      <c r="B303" s="203" t="s">
        <v>1830</v>
      </c>
      <c r="C303" s="61" t="s">
        <v>4460</v>
      </c>
      <c r="D303" s="61" t="s">
        <v>36</v>
      </c>
      <c r="E303" s="209">
        <v>2888000</v>
      </c>
      <c r="F303" s="205">
        <f t="shared" si="8"/>
        <v>2801360</v>
      </c>
      <c r="G303" s="206">
        <f t="shared" si="9"/>
        <v>2714720</v>
      </c>
      <c r="H303" s="210">
        <v>822.9</v>
      </c>
      <c r="I303" s="210">
        <v>604.07000000000005</v>
      </c>
      <c r="J303" s="210">
        <v>218.83</v>
      </c>
      <c r="K303" s="61" t="s">
        <v>2353</v>
      </c>
    </row>
    <row r="304" spans="1:11">
      <c r="A304" s="202">
        <v>301</v>
      </c>
      <c r="B304" s="203" t="s">
        <v>1831</v>
      </c>
      <c r="C304" s="61" t="s">
        <v>4460</v>
      </c>
      <c r="D304" s="61" t="s">
        <v>36</v>
      </c>
      <c r="E304" s="209">
        <v>2888000</v>
      </c>
      <c r="F304" s="205">
        <f t="shared" si="8"/>
        <v>2801360</v>
      </c>
      <c r="G304" s="206">
        <f t="shared" si="9"/>
        <v>2714720</v>
      </c>
      <c r="H304" s="210">
        <v>822.9</v>
      </c>
      <c r="I304" s="210">
        <v>604.07000000000005</v>
      </c>
      <c r="J304" s="210">
        <v>218.83</v>
      </c>
      <c r="K304" s="61" t="s">
        <v>2353</v>
      </c>
    </row>
    <row r="305" spans="1:11">
      <c r="A305" s="202">
        <v>302</v>
      </c>
      <c r="B305" s="203" t="s">
        <v>1832</v>
      </c>
      <c r="C305" s="61" t="s">
        <v>4460</v>
      </c>
      <c r="D305" s="61" t="s">
        <v>36</v>
      </c>
      <c r="E305" s="209">
        <v>2888000</v>
      </c>
      <c r="F305" s="205">
        <f t="shared" si="8"/>
        <v>2801360</v>
      </c>
      <c r="G305" s="206">
        <f t="shared" si="9"/>
        <v>2714720</v>
      </c>
      <c r="H305" s="210">
        <v>822.9</v>
      </c>
      <c r="I305" s="210">
        <v>604.07000000000005</v>
      </c>
      <c r="J305" s="210">
        <v>218.83</v>
      </c>
      <c r="K305" s="61" t="s">
        <v>2353</v>
      </c>
    </row>
    <row r="306" spans="1:11">
      <c r="A306" s="202">
        <v>303</v>
      </c>
      <c r="B306" s="203" t="s">
        <v>1833</v>
      </c>
      <c r="C306" s="61" t="s">
        <v>4460</v>
      </c>
      <c r="D306" s="61" t="s">
        <v>36</v>
      </c>
      <c r="E306" s="209">
        <v>2888000</v>
      </c>
      <c r="F306" s="205">
        <f t="shared" si="8"/>
        <v>2801360</v>
      </c>
      <c r="G306" s="206">
        <f t="shared" si="9"/>
        <v>2714720</v>
      </c>
      <c r="H306" s="210">
        <v>822.9</v>
      </c>
      <c r="I306" s="210">
        <v>604.07000000000005</v>
      </c>
      <c r="J306" s="210">
        <v>218.83</v>
      </c>
      <c r="K306" s="61" t="s">
        <v>2353</v>
      </c>
    </row>
    <row r="307" spans="1:11">
      <c r="A307" s="202">
        <v>304</v>
      </c>
      <c r="B307" s="203" t="s">
        <v>1834</v>
      </c>
      <c r="C307" s="61" t="s">
        <v>4460</v>
      </c>
      <c r="D307" s="61" t="s">
        <v>36</v>
      </c>
      <c r="E307" s="209">
        <v>2888000</v>
      </c>
      <c r="F307" s="205">
        <f t="shared" si="8"/>
        <v>2801360</v>
      </c>
      <c r="G307" s="206">
        <f t="shared" si="9"/>
        <v>2714720</v>
      </c>
      <c r="H307" s="210">
        <v>822.9</v>
      </c>
      <c r="I307" s="210">
        <v>604.07000000000005</v>
      </c>
      <c r="J307" s="210">
        <v>218.83</v>
      </c>
      <c r="K307" s="61" t="s">
        <v>2353</v>
      </c>
    </row>
    <row r="308" spans="1:11">
      <c r="A308" s="202">
        <v>305</v>
      </c>
      <c r="B308" s="203" t="s">
        <v>1835</v>
      </c>
      <c r="C308" s="61" t="s">
        <v>4460</v>
      </c>
      <c r="D308" s="61" t="s">
        <v>36</v>
      </c>
      <c r="E308" s="209">
        <v>2888000</v>
      </c>
      <c r="F308" s="205">
        <f t="shared" si="8"/>
        <v>2801360</v>
      </c>
      <c r="G308" s="206">
        <f t="shared" si="9"/>
        <v>2714720</v>
      </c>
      <c r="H308" s="210">
        <v>822.9</v>
      </c>
      <c r="I308" s="210">
        <v>604.07000000000005</v>
      </c>
      <c r="J308" s="210">
        <v>218.83</v>
      </c>
      <c r="K308" s="61" t="s">
        <v>2353</v>
      </c>
    </row>
    <row r="309" spans="1:11">
      <c r="A309" s="202">
        <v>306</v>
      </c>
      <c r="B309" s="203" t="s">
        <v>1836</v>
      </c>
      <c r="C309" s="61" t="s">
        <v>4460</v>
      </c>
      <c r="D309" s="61" t="s">
        <v>36</v>
      </c>
      <c r="E309" s="209">
        <v>2888000</v>
      </c>
      <c r="F309" s="205">
        <f t="shared" si="8"/>
        <v>2801360</v>
      </c>
      <c r="G309" s="206">
        <f t="shared" si="9"/>
        <v>2714720</v>
      </c>
      <c r="H309" s="210">
        <v>822.9</v>
      </c>
      <c r="I309" s="210">
        <v>604.07000000000005</v>
      </c>
      <c r="J309" s="210">
        <v>218.83</v>
      </c>
      <c r="K309" s="61" t="s">
        <v>2353</v>
      </c>
    </row>
    <row r="310" spans="1:11">
      <c r="A310" s="202">
        <v>307</v>
      </c>
      <c r="B310" s="203" t="s">
        <v>1837</v>
      </c>
      <c r="C310" s="61" t="s">
        <v>11</v>
      </c>
      <c r="D310" s="61" t="s">
        <v>36</v>
      </c>
      <c r="E310" s="209">
        <v>2885000</v>
      </c>
      <c r="F310" s="205">
        <f t="shared" si="8"/>
        <v>2798450</v>
      </c>
      <c r="G310" s="206">
        <f t="shared" si="9"/>
        <v>2711900</v>
      </c>
      <c r="H310" s="210">
        <v>822.9</v>
      </c>
      <c r="I310" s="210">
        <v>604.07000000000005</v>
      </c>
      <c r="J310" s="210">
        <v>218.83</v>
      </c>
      <c r="K310" s="61" t="s">
        <v>2353</v>
      </c>
    </row>
    <row r="311" spans="1:11">
      <c r="A311" s="202">
        <v>308</v>
      </c>
      <c r="B311" s="203" t="s">
        <v>1838</v>
      </c>
      <c r="C311" s="61" t="s">
        <v>11</v>
      </c>
      <c r="D311" s="61" t="s">
        <v>36</v>
      </c>
      <c r="E311" s="209">
        <v>2885000</v>
      </c>
      <c r="F311" s="205">
        <f t="shared" si="8"/>
        <v>2798450</v>
      </c>
      <c r="G311" s="206">
        <f t="shared" si="9"/>
        <v>2711900</v>
      </c>
      <c r="H311" s="210">
        <v>822.9</v>
      </c>
      <c r="I311" s="210">
        <v>604.07000000000005</v>
      </c>
      <c r="J311" s="210">
        <v>218.83</v>
      </c>
      <c r="K311" s="61" t="s">
        <v>2353</v>
      </c>
    </row>
    <row r="312" spans="1:11">
      <c r="A312" s="202">
        <v>309</v>
      </c>
      <c r="B312" s="203" t="s">
        <v>1839</v>
      </c>
      <c r="C312" s="61" t="s">
        <v>11</v>
      </c>
      <c r="D312" s="61" t="s">
        <v>36</v>
      </c>
      <c r="E312" s="209">
        <v>2885000</v>
      </c>
      <c r="F312" s="205">
        <f t="shared" si="8"/>
        <v>2798450</v>
      </c>
      <c r="G312" s="206">
        <f t="shared" si="9"/>
        <v>2711900</v>
      </c>
      <c r="H312" s="210">
        <v>822.9</v>
      </c>
      <c r="I312" s="210">
        <v>604.07000000000005</v>
      </c>
      <c r="J312" s="210">
        <v>218.83</v>
      </c>
      <c r="K312" s="61" t="s">
        <v>2353</v>
      </c>
    </row>
    <row r="313" spans="1:11">
      <c r="A313" s="202">
        <v>310</v>
      </c>
      <c r="B313" s="203" t="s">
        <v>1840</v>
      </c>
      <c r="C313" s="61" t="s">
        <v>11</v>
      </c>
      <c r="D313" s="61" t="s">
        <v>36</v>
      </c>
      <c r="E313" s="209">
        <v>2885000</v>
      </c>
      <c r="F313" s="205">
        <f t="shared" si="8"/>
        <v>2798450</v>
      </c>
      <c r="G313" s="206">
        <f t="shared" si="9"/>
        <v>2711900</v>
      </c>
      <c r="H313" s="210">
        <v>822.9</v>
      </c>
      <c r="I313" s="210">
        <v>604.07000000000005</v>
      </c>
      <c r="J313" s="210">
        <v>218.83</v>
      </c>
      <c r="K313" s="61" t="s">
        <v>2353</v>
      </c>
    </row>
    <row r="314" spans="1:11">
      <c r="A314" s="202">
        <v>311</v>
      </c>
      <c r="B314" s="203" t="s">
        <v>1841</v>
      </c>
      <c r="C314" s="61" t="s">
        <v>11</v>
      </c>
      <c r="D314" s="61" t="s">
        <v>36</v>
      </c>
      <c r="E314" s="209">
        <v>2885000</v>
      </c>
      <c r="F314" s="205">
        <f t="shared" si="8"/>
        <v>2798450</v>
      </c>
      <c r="G314" s="206">
        <f t="shared" si="9"/>
        <v>2711900</v>
      </c>
      <c r="H314" s="210">
        <v>822.9</v>
      </c>
      <c r="I314" s="210">
        <v>604.07000000000005</v>
      </c>
      <c r="J314" s="210">
        <v>218.83</v>
      </c>
      <c r="K314" s="61" t="s">
        <v>2353</v>
      </c>
    </row>
    <row r="315" spans="1:11">
      <c r="A315" s="202">
        <v>312</v>
      </c>
      <c r="B315" s="203" t="s">
        <v>1842</v>
      </c>
      <c r="C315" s="61" t="s">
        <v>11</v>
      </c>
      <c r="D315" s="61" t="s">
        <v>36</v>
      </c>
      <c r="E315" s="209">
        <v>2885000</v>
      </c>
      <c r="F315" s="205">
        <f t="shared" si="8"/>
        <v>2798450</v>
      </c>
      <c r="G315" s="206">
        <f t="shared" si="9"/>
        <v>2711900</v>
      </c>
      <c r="H315" s="210">
        <v>822.9</v>
      </c>
      <c r="I315" s="210">
        <v>604.07000000000005</v>
      </c>
      <c r="J315" s="210">
        <v>218.83</v>
      </c>
      <c r="K315" s="61" t="s">
        <v>2353</v>
      </c>
    </row>
    <row r="316" spans="1:11">
      <c r="A316" s="202">
        <v>313</v>
      </c>
      <c r="B316" s="203" t="s">
        <v>1843</v>
      </c>
      <c r="C316" s="61" t="s">
        <v>11</v>
      </c>
      <c r="D316" s="61" t="s">
        <v>36</v>
      </c>
      <c r="E316" s="209">
        <v>2885000</v>
      </c>
      <c r="F316" s="205">
        <f t="shared" si="8"/>
        <v>2798450</v>
      </c>
      <c r="G316" s="206">
        <f t="shared" si="9"/>
        <v>2711900</v>
      </c>
      <c r="H316" s="210">
        <v>822.9</v>
      </c>
      <c r="I316" s="210">
        <v>604.07000000000005</v>
      </c>
      <c r="J316" s="210">
        <v>218.83</v>
      </c>
      <c r="K316" s="61" t="s">
        <v>2353</v>
      </c>
    </row>
    <row r="317" spans="1:11">
      <c r="A317" s="202">
        <v>314</v>
      </c>
      <c r="B317" s="203" t="s">
        <v>1844</v>
      </c>
      <c r="C317" s="61" t="s">
        <v>11</v>
      </c>
      <c r="D317" s="61" t="s">
        <v>36</v>
      </c>
      <c r="E317" s="209">
        <v>2885000</v>
      </c>
      <c r="F317" s="205">
        <f t="shared" si="8"/>
        <v>2798450</v>
      </c>
      <c r="G317" s="206">
        <f t="shared" si="9"/>
        <v>2711900</v>
      </c>
      <c r="H317" s="210">
        <v>822.9</v>
      </c>
      <c r="I317" s="210">
        <v>604.07000000000005</v>
      </c>
      <c r="J317" s="210">
        <v>218.83</v>
      </c>
      <c r="K317" s="61" t="s">
        <v>2353</v>
      </c>
    </row>
    <row r="318" spans="1:11">
      <c r="A318" s="202">
        <v>315</v>
      </c>
      <c r="B318" s="203" t="s">
        <v>1845</v>
      </c>
      <c r="C318" s="61" t="s">
        <v>11</v>
      </c>
      <c r="D318" s="61" t="s">
        <v>36</v>
      </c>
      <c r="E318" s="209">
        <v>2885000</v>
      </c>
      <c r="F318" s="205">
        <f t="shared" si="8"/>
        <v>2798450</v>
      </c>
      <c r="G318" s="206">
        <f t="shared" si="9"/>
        <v>2711900</v>
      </c>
      <c r="H318" s="210">
        <v>822.9</v>
      </c>
      <c r="I318" s="210">
        <v>604.07000000000005</v>
      </c>
      <c r="J318" s="210">
        <v>218.83</v>
      </c>
      <c r="K318" s="61" t="s">
        <v>2353</v>
      </c>
    </row>
    <row r="319" spans="1:11">
      <c r="A319" s="202">
        <v>316</v>
      </c>
      <c r="B319" s="203" t="s">
        <v>1846</v>
      </c>
      <c r="C319" s="61" t="s">
        <v>5</v>
      </c>
      <c r="D319" s="61" t="s">
        <v>36</v>
      </c>
      <c r="E319" s="209">
        <v>2874000</v>
      </c>
      <c r="F319" s="205">
        <f t="shared" si="8"/>
        <v>2787780</v>
      </c>
      <c r="G319" s="206">
        <f t="shared" si="9"/>
        <v>2701560</v>
      </c>
      <c r="H319" s="210">
        <v>822.9</v>
      </c>
      <c r="I319" s="210">
        <v>604.07000000000005</v>
      </c>
      <c r="J319" s="210">
        <v>218.83</v>
      </c>
      <c r="K319" s="61" t="s">
        <v>2353</v>
      </c>
    </row>
    <row r="320" spans="1:11">
      <c r="A320" s="202">
        <v>317</v>
      </c>
      <c r="B320" s="203" t="s">
        <v>1847</v>
      </c>
      <c r="C320" s="61" t="s">
        <v>5</v>
      </c>
      <c r="D320" s="61" t="s">
        <v>36</v>
      </c>
      <c r="E320" s="209">
        <v>2874000</v>
      </c>
      <c r="F320" s="205">
        <f t="shared" si="8"/>
        <v>2787780</v>
      </c>
      <c r="G320" s="206">
        <f t="shared" si="9"/>
        <v>2701560</v>
      </c>
      <c r="H320" s="210">
        <v>822.9</v>
      </c>
      <c r="I320" s="210">
        <v>604.07000000000005</v>
      </c>
      <c r="J320" s="210">
        <v>218.83</v>
      </c>
      <c r="K320" s="61" t="s">
        <v>2353</v>
      </c>
    </row>
    <row r="321" spans="1:11">
      <c r="A321" s="202">
        <v>318</v>
      </c>
      <c r="B321" s="203" t="s">
        <v>1848</v>
      </c>
      <c r="C321" s="61" t="s">
        <v>5</v>
      </c>
      <c r="D321" s="61" t="s">
        <v>36</v>
      </c>
      <c r="E321" s="209">
        <v>2874000</v>
      </c>
      <c r="F321" s="205">
        <f t="shared" si="8"/>
        <v>2787780</v>
      </c>
      <c r="G321" s="206">
        <f t="shared" si="9"/>
        <v>2701560</v>
      </c>
      <c r="H321" s="210">
        <v>822.9</v>
      </c>
      <c r="I321" s="210">
        <v>604.07000000000005</v>
      </c>
      <c r="J321" s="210">
        <v>218.83</v>
      </c>
      <c r="K321" s="61" t="s">
        <v>2353</v>
      </c>
    </row>
    <row r="322" spans="1:11">
      <c r="A322" s="202">
        <v>319</v>
      </c>
      <c r="B322" s="203" t="s">
        <v>1849</v>
      </c>
      <c r="C322" s="61" t="s">
        <v>5</v>
      </c>
      <c r="D322" s="61" t="s">
        <v>36</v>
      </c>
      <c r="E322" s="209">
        <v>2874000</v>
      </c>
      <c r="F322" s="205">
        <f t="shared" si="8"/>
        <v>2787780</v>
      </c>
      <c r="G322" s="206">
        <f t="shared" si="9"/>
        <v>2701560</v>
      </c>
      <c r="H322" s="210">
        <v>822.9</v>
      </c>
      <c r="I322" s="210">
        <v>604.07000000000005</v>
      </c>
      <c r="J322" s="210">
        <v>218.83</v>
      </c>
      <c r="K322" s="61" t="s">
        <v>2353</v>
      </c>
    </row>
    <row r="323" spans="1:11">
      <c r="A323" s="202">
        <v>320</v>
      </c>
      <c r="B323" s="203" t="s">
        <v>1850</v>
      </c>
      <c r="C323" s="61" t="s">
        <v>5</v>
      </c>
      <c r="D323" s="61" t="s">
        <v>36</v>
      </c>
      <c r="E323" s="209">
        <v>2874000</v>
      </c>
      <c r="F323" s="205">
        <f t="shared" si="8"/>
        <v>2787780</v>
      </c>
      <c r="G323" s="206">
        <f t="shared" si="9"/>
        <v>2701560</v>
      </c>
      <c r="H323" s="210">
        <v>822.9</v>
      </c>
      <c r="I323" s="210">
        <v>604.07000000000005</v>
      </c>
      <c r="J323" s="210">
        <v>218.83</v>
      </c>
      <c r="K323" s="61" t="s">
        <v>2353</v>
      </c>
    </row>
    <row r="324" spans="1:11">
      <c r="A324" s="202">
        <v>321</v>
      </c>
      <c r="B324" s="203" t="s">
        <v>1851</v>
      </c>
      <c r="C324" s="61" t="s">
        <v>5</v>
      </c>
      <c r="D324" s="61" t="s">
        <v>36</v>
      </c>
      <c r="E324" s="209">
        <v>2874000</v>
      </c>
      <c r="F324" s="205">
        <f t="shared" ref="F324:F387" si="10">E324*0.97</f>
        <v>2787780</v>
      </c>
      <c r="G324" s="206">
        <f t="shared" ref="G324:G387" si="11">E324*0.94</f>
        <v>2701560</v>
      </c>
      <c r="H324" s="210">
        <v>822.9</v>
      </c>
      <c r="I324" s="210">
        <v>604.07000000000005</v>
      </c>
      <c r="J324" s="210">
        <v>218.83</v>
      </c>
      <c r="K324" s="61" t="s">
        <v>2353</v>
      </c>
    </row>
    <row r="325" spans="1:11">
      <c r="A325" s="202">
        <v>322</v>
      </c>
      <c r="B325" s="203" t="s">
        <v>1852</v>
      </c>
      <c r="C325" s="61" t="s">
        <v>5</v>
      </c>
      <c r="D325" s="61" t="s">
        <v>36</v>
      </c>
      <c r="E325" s="209">
        <v>2874000</v>
      </c>
      <c r="F325" s="205">
        <f t="shared" si="10"/>
        <v>2787780</v>
      </c>
      <c r="G325" s="206">
        <f t="shared" si="11"/>
        <v>2701560</v>
      </c>
      <c r="H325" s="210">
        <v>822.9</v>
      </c>
      <c r="I325" s="210">
        <v>604.07000000000005</v>
      </c>
      <c r="J325" s="210">
        <v>218.83</v>
      </c>
      <c r="K325" s="61" t="s">
        <v>2353</v>
      </c>
    </row>
    <row r="326" spans="1:11">
      <c r="A326" s="202">
        <v>323</v>
      </c>
      <c r="B326" s="203" t="s">
        <v>1853</v>
      </c>
      <c r="C326" s="61" t="s">
        <v>5</v>
      </c>
      <c r="D326" s="61" t="s">
        <v>36</v>
      </c>
      <c r="E326" s="209">
        <v>2874000</v>
      </c>
      <c r="F326" s="205">
        <f t="shared" si="10"/>
        <v>2787780</v>
      </c>
      <c r="G326" s="206">
        <f t="shared" si="11"/>
        <v>2701560</v>
      </c>
      <c r="H326" s="210">
        <v>822.9</v>
      </c>
      <c r="I326" s="210">
        <v>604.07000000000005</v>
      </c>
      <c r="J326" s="210">
        <v>218.83</v>
      </c>
      <c r="K326" s="61" t="s">
        <v>2353</v>
      </c>
    </row>
    <row r="327" spans="1:11">
      <c r="A327" s="202">
        <v>324</v>
      </c>
      <c r="B327" s="203" t="s">
        <v>1854</v>
      </c>
      <c r="C327" s="61" t="s">
        <v>5</v>
      </c>
      <c r="D327" s="61" t="s">
        <v>36</v>
      </c>
      <c r="E327" s="209">
        <v>2874000</v>
      </c>
      <c r="F327" s="205">
        <f t="shared" si="10"/>
        <v>2787780</v>
      </c>
      <c r="G327" s="206">
        <f t="shared" si="11"/>
        <v>2701560</v>
      </c>
      <c r="H327" s="210">
        <v>822.9</v>
      </c>
      <c r="I327" s="210">
        <v>604.07000000000005</v>
      </c>
      <c r="J327" s="210">
        <v>218.83</v>
      </c>
      <c r="K327" s="61" t="s">
        <v>2353</v>
      </c>
    </row>
    <row r="328" spans="1:11">
      <c r="A328" s="202">
        <v>325</v>
      </c>
      <c r="B328" s="203" t="s">
        <v>1855</v>
      </c>
      <c r="C328" s="61" t="s">
        <v>4</v>
      </c>
      <c r="D328" s="61" t="s">
        <v>36</v>
      </c>
      <c r="E328" s="209">
        <v>2872000</v>
      </c>
      <c r="F328" s="205">
        <f t="shared" si="10"/>
        <v>2785840</v>
      </c>
      <c r="G328" s="206">
        <f t="shared" si="11"/>
        <v>2699680</v>
      </c>
      <c r="H328" s="210">
        <v>822.9</v>
      </c>
      <c r="I328" s="210">
        <v>604.07000000000005</v>
      </c>
      <c r="J328" s="210">
        <v>218.83</v>
      </c>
      <c r="K328" s="61" t="s">
        <v>2353</v>
      </c>
    </row>
    <row r="329" spans="1:11">
      <c r="A329" s="202">
        <v>326</v>
      </c>
      <c r="B329" s="203" t="s">
        <v>1856</v>
      </c>
      <c r="C329" s="61" t="s">
        <v>4</v>
      </c>
      <c r="D329" s="61" t="s">
        <v>36</v>
      </c>
      <c r="E329" s="209">
        <v>2872000</v>
      </c>
      <c r="F329" s="205">
        <f t="shared" si="10"/>
        <v>2785840</v>
      </c>
      <c r="G329" s="206">
        <f t="shared" si="11"/>
        <v>2699680</v>
      </c>
      <c r="H329" s="210">
        <v>822.9</v>
      </c>
      <c r="I329" s="210">
        <v>604.07000000000005</v>
      </c>
      <c r="J329" s="210">
        <v>218.83</v>
      </c>
      <c r="K329" s="61" t="s">
        <v>2353</v>
      </c>
    </row>
    <row r="330" spans="1:11">
      <c r="A330" s="202">
        <v>327</v>
      </c>
      <c r="B330" s="203" t="s">
        <v>1857</v>
      </c>
      <c r="C330" s="61" t="s">
        <v>4</v>
      </c>
      <c r="D330" s="61" t="s">
        <v>36</v>
      </c>
      <c r="E330" s="209">
        <v>2872000</v>
      </c>
      <c r="F330" s="205">
        <f t="shared" si="10"/>
        <v>2785840</v>
      </c>
      <c r="G330" s="206">
        <f t="shared" si="11"/>
        <v>2699680</v>
      </c>
      <c r="H330" s="210">
        <v>822.9</v>
      </c>
      <c r="I330" s="210">
        <v>604.07000000000005</v>
      </c>
      <c r="J330" s="210">
        <v>218.83</v>
      </c>
      <c r="K330" s="61" t="s">
        <v>2353</v>
      </c>
    </row>
    <row r="331" spans="1:11">
      <c r="A331" s="202">
        <v>328</v>
      </c>
      <c r="B331" s="203" t="s">
        <v>1858</v>
      </c>
      <c r="C331" s="61" t="s">
        <v>4</v>
      </c>
      <c r="D331" s="61" t="s">
        <v>36</v>
      </c>
      <c r="E331" s="209">
        <v>2872000</v>
      </c>
      <c r="F331" s="205">
        <f t="shared" si="10"/>
        <v>2785840</v>
      </c>
      <c r="G331" s="206">
        <f t="shared" si="11"/>
        <v>2699680</v>
      </c>
      <c r="H331" s="210">
        <v>822.9</v>
      </c>
      <c r="I331" s="210">
        <v>604.07000000000005</v>
      </c>
      <c r="J331" s="210">
        <v>218.83</v>
      </c>
      <c r="K331" s="61" t="s">
        <v>2353</v>
      </c>
    </row>
    <row r="332" spans="1:11">
      <c r="A332" s="202">
        <v>329</v>
      </c>
      <c r="B332" s="203" t="s">
        <v>1859</v>
      </c>
      <c r="C332" s="61" t="s">
        <v>4</v>
      </c>
      <c r="D332" s="61" t="s">
        <v>36</v>
      </c>
      <c r="E332" s="209">
        <v>2872000</v>
      </c>
      <c r="F332" s="205">
        <f t="shared" si="10"/>
        <v>2785840</v>
      </c>
      <c r="G332" s="206">
        <f t="shared" si="11"/>
        <v>2699680</v>
      </c>
      <c r="H332" s="210">
        <v>822.9</v>
      </c>
      <c r="I332" s="210">
        <v>604.07000000000005</v>
      </c>
      <c r="J332" s="210">
        <v>218.83</v>
      </c>
      <c r="K332" s="61" t="s">
        <v>2353</v>
      </c>
    </row>
    <row r="333" spans="1:11">
      <c r="A333" s="202">
        <v>330</v>
      </c>
      <c r="B333" s="203" t="s">
        <v>1860</v>
      </c>
      <c r="C333" s="61" t="s">
        <v>4</v>
      </c>
      <c r="D333" s="61" t="s">
        <v>36</v>
      </c>
      <c r="E333" s="209">
        <v>2872000</v>
      </c>
      <c r="F333" s="205">
        <f t="shared" si="10"/>
        <v>2785840</v>
      </c>
      <c r="G333" s="206">
        <f t="shared" si="11"/>
        <v>2699680</v>
      </c>
      <c r="H333" s="210">
        <v>822.9</v>
      </c>
      <c r="I333" s="210">
        <v>604.07000000000005</v>
      </c>
      <c r="J333" s="210">
        <v>218.83</v>
      </c>
      <c r="K333" s="61" t="s">
        <v>2353</v>
      </c>
    </row>
    <row r="334" spans="1:11">
      <c r="A334" s="202">
        <v>331</v>
      </c>
      <c r="B334" s="203" t="s">
        <v>1861</v>
      </c>
      <c r="C334" s="61" t="s">
        <v>4</v>
      </c>
      <c r="D334" s="61" t="s">
        <v>36</v>
      </c>
      <c r="E334" s="209">
        <v>2872000</v>
      </c>
      <c r="F334" s="205">
        <f t="shared" si="10"/>
        <v>2785840</v>
      </c>
      <c r="G334" s="206">
        <f t="shared" si="11"/>
        <v>2699680</v>
      </c>
      <c r="H334" s="210">
        <v>822.9</v>
      </c>
      <c r="I334" s="210">
        <v>604.07000000000005</v>
      </c>
      <c r="J334" s="210">
        <v>218.83</v>
      </c>
      <c r="K334" s="61" t="s">
        <v>2353</v>
      </c>
    </row>
    <row r="335" spans="1:11">
      <c r="A335" s="202">
        <v>332</v>
      </c>
      <c r="B335" s="203" t="s">
        <v>1862</v>
      </c>
      <c r="C335" s="61" t="s">
        <v>4</v>
      </c>
      <c r="D335" s="61" t="s">
        <v>36</v>
      </c>
      <c r="E335" s="209">
        <v>2872000</v>
      </c>
      <c r="F335" s="205">
        <f t="shared" si="10"/>
        <v>2785840</v>
      </c>
      <c r="G335" s="206">
        <f t="shared" si="11"/>
        <v>2699680</v>
      </c>
      <c r="H335" s="210">
        <v>822.9</v>
      </c>
      <c r="I335" s="210">
        <v>604.07000000000005</v>
      </c>
      <c r="J335" s="210">
        <v>218.83</v>
      </c>
      <c r="K335" s="61" t="s">
        <v>2353</v>
      </c>
    </row>
    <row r="336" spans="1:11">
      <c r="A336" s="202">
        <v>333</v>
      </c>
      <c r="B336" s="203" t="s">
        <v>1863</v>
      </c>
      <c r="C336" s="61" t="s">
        <v>4</v>
      </c>
      <c r="D336" s="61" t="s">
        <v>36</v>
      </c>
      <c r="E336" s="209">
        <v>2872000</v>
      </c>
      <c r="F336" s="205">
        <f t="shared" si="10"/>
        <v>2785840</v>
      </c>
      <c r="G336" s="206">
        <f t="shared" si="11"/>
        <v>2699680</v>
      </c>
      <c r="H336" s="210">
        <v>822.9</v>
      </c>
      <c r="I336" s="210">
        <v>604.07000000000005</v>
      </c>
      <c r="J336" s="210">
        <v>218.83</v>
      </c>
      <c r="K336" s="61" t="s">
        <v>2353</v>
      </c>
    </row>
    <row r="337" spans="1:11">
      <c r="A337" s="202">
        <v>334</v>
      </c>
      <c r="B337" s="203" t="s">
        <v>1864</v>
      </c>
      <c r="C337" s="61" t="s">
        <v>4458</v>
      </c>
      <c r="D337" s="61" t="s">
        <v>36</v>
      </c>
      <c r="E337" s="209">
        <v>2869000</v>
      </c>
      <c r="F337" s="205">
        <f t="shared" si="10"/>
        <v>2782930</v>
      </c>
      <c r="G337" s="206">
        <f t="shared" si="11"/>
        <v>2696860</v>
      </c>
      <c r="H337" s="210">
        <v>822.9</v>
      </c>
      <c r="I337" s="210">
        <v>604.07000000000005</v>
      </c>
      <c r="J337" s="210">
        <v>218.83</v>
      </c>
      <c r="K337" s="61" t="s">
        <v>2353</v>
      </c>
    </row>
    <row r="338" spans="1:11">
      <c r="A338" s="202">
        <v>335</v>
      </c>
      <c r="B338" s="203" t="s">
        <v>1865</v>
      </c>
      <c r="C338" s="61" t="s">
        <v>4458</v>
      </c>
      <c r="D338" s="61" t="s">
        <v>36</v>
      </c>
      <c r="E338" s="209">
        <v>2869000</v>
      </c>
      <c r="F338" s="205">
        <f t="shared" si="10"/>
        <v>2782930</v>
      </c>
      <c r="G338" s="206">
        <f t="shared" si="11"/>
        <v>2696860</v>
      </c>
      <c r="H338" s="210">
        <v>822.9</v>
      </c>
      <c r="I338" s="210">
        <v>604.07000000000005</v>
      </c>
      <c r="J338" s="210">
        <v>218.83</v>
      </c>
      <c r="K338" s="61" t="s">
        <v>2353</v>
      </c>
    </row>
    <row r="339" spans="1:11">
      <c r="A339" s="202">
        <v>336</v>
      </c>
      <c r="B339" s="203" t="s">
        <v>1866</v>
      </c>
      <c r="C339" s="61" t="s">
        <v>4458</v>
      </c>
      <c r="D339" s="61" t="s">
        <v>36</v>
      </c>
      <c r="E339" s="209">
        <v>2869000</v>
      </c>
      <c r="F339" s="205">
        <f t="shared" si="10"/>
        <v>2782930</v>
      </c>
      <c r="G339" s="206">
        <f t="shared" si="11"/>
        <v>2696860</v>
      </c>
      <c r="H339" s="210">
        <v>822.9</v>
      </c>
      <c r="I339" s="210">
        <v>604.07000000000005</v>
      </c>
      <c r="J339" s="210">
        <v>218.83</v>
      </c>
      <c r="K339" s="61" t="s">
        <v>2353</v>
      </c>
    </row>
    <row r="340" spans="1:11">
      <c r="A340" s="202">
        <v>337</v>
      </c>
      <c r="B340" s="203" t="s">
        <v>1867</v>
      </c>
      <c r="C340" s="61" t="s">
        <v>4458</v>
      </c>
      <c r="D340" s="61" t="s">
        <v>36</v>
      </c>
      <c r="E340" s="209">
        <v>2869000</v>
      </c>
      <c r="F340" s="205">
        <f t="shared" si="10"/>
        <v>2782930</v>
      </c>
      <c r="G340" s="206">
        <f t="shared" si="11"/>
        <v>2696860</v>
      </c>
      <c r="H340" s="210">
        <v>822.9</v>
      </c>
      <c r="I340" s="210">
        <v>604.07000000000005</v>
      </c>
      <c r="J340" s="210">
        <v>218.83</v>
      </c>
      <c r="K340" s="61" t="s">
        <v>2353</v>
      </c>
    </row>
    <row r="341" spans="1:11">
      <c r="A341" s="202">
        <v>338</v>
      </c>
      <c r="B341" s="203" t="s">
        <v>1868</v>
      </c>
      <c r="C341" s="61" t="s">
        <v>4458</v>
      </c>
      <c r="D341" s="61" t="s">
        <v>36</v>
      </c>
      <c r="E341" s="209">
        <v>2869000</v>
      </c>
      <c r="F341" s="205">
        <f t="shared" si="10"/>
        <v>2782930</v>
      </c>
      <c r="G341" s="206">
        <f t="shared" si="11"/>
        <v>2696860</v>
      </c>
      <c r="H341" s="210">
        <v>822.9</v>
      </c>
      <c r="I341" s="210">
        <v>604.07000000000005</v>
      </c>
      <c r="J341" s="210">
        <v>218.83</v>
      </c>
      <c r="K341" s="61" t="s">
        <v>2353</v>
      </c>
    </row>
    <row r="342" spans="1:11">
      <c r="A342" s="202">
        <v>339</v>
      </c>
      <c r="B342" s="203" t="s">
        <v>1869</v>
      </c>
      <c r="C342" s="61" t="s">
        <v>4458</v>
      </c>
      <c r="D342" s="61" t="s">
        <v>36</v>
      </c>
      <c r="E342" s="209">
        <v>2869000</v>
      </c>
      <c r="F342" s="205">
        <f t="shared" si="10"/>
        <v>2782930</v>
      </c>
      <c r="G342" s="206">
        <f t="shared" si="11"/>
        <v>2696860</v>
      </c>
      <c r="H342" s="210">
        <v>822.9</v>
      </c>
      <c r="I342" s="210">
        <v>604.07000000000005</v>
      </c>
      <c r="J342" s="210">
        <v>218.83</v>
      </c>
      <c r="K342" s="61" t="s">
        <v>2353</v>
      </c>
    </row>
    <row r="343" spans="1:11">
      <c r="A343" s="202">
        <v>340</v>
      </c>
      <c r="B343" s="203" t="s">
        <v>1870</v>
      </c>
      <c r="C343" s="61" t="s">
        <v>4458</v>
      </c>
      <c r="D343" s="61" t="s">
        <v>36</v>
      </c>
      <c r="E343" s="209">
        <v>2869000</v>
      </c>
      <c r="F343" s="205">
        <f t="shared" si="10"/>
        <v>2782930</v>
      </c>
      <c r="G343" s="206">
        <f t="shared" si="11"/>
        <v>2696860</v>
      </c>
      <c r="H343" s="210">
        <v>822.9</v>
      </c>
      <c r="I343" s="210">
        <v>604.07000000000005</v>
      </c>
      <c r="J343" s="210">
        <v>218.83</v>
      </c>
      <c r="K343" s="61" t="s">
        <v>2353</v>
      </c>
    </row>
    <row r="344" spans="1:11">
      <c r="A344" s="202">
        <v>341</v>
      </c>
      <c r="B344" s="203" t="s">
        <v>1871</v>
      </c>
      <c r="C344" s="61" t="s">
        <v>4458</v>
      </c>
      <c r="D344" s="61" t="s">
        <v>36</v>
      </c>
      <c r="E344" s="209">
        <v>2869000</v>
      </c>
      <c r="F344" s="205">
        <f t="shared" si="10"/>
        <v>2782930</v>
      </c>
      <c r="G344" s="206">
        <f t="shared" si="11"/>
        <v>2696860</v>
      </c>
      <c r="H344" s="210">
        <v>822.9</v>
      </c>
      <c r="I344" s="210">
        <v>604.07000000000005</v>
      </c>
      <c r="J344" s="210">
        <v>218.83</v>
      </c>
      <c r="K344" s="61" t="s">
        <v>2353</v>
      </c>
    </row>
    <row r="345" spans="1:11">
      <c r="A345" s="202">
        <v>342</v>
      </c>
      <c r="B345" s="203" t="s">
        <v>1872</v>
      </c>
      <c r="C345" s="61" t="s">
        <v>4458</v>
      </c>
      <c r="D345" s="61" t="s">
        <v>36</v>
      </c>
      <c r="E345" s="209">
        <v>2869000</v>
      </c>
      <c r="F345" s="205">
        <f t="shared" si="10"/>
        <v>2782930</v>
      </c>
      <c r="G345" s="206">
        <f t="shared" si="11"/>
        <v>2696860</v>
      </c>
      <c r="H345" s="210">
        <v>822.9</v>
      </c>
      <c r="I345" s="210">
        <v>604.07000000000005</v>
      </c>
      <c r="J345" s="210">
        <v>218.83</v>
      </c>
      <c r="K345" s="61" t="s">
        <v>2353</v>
      </c>
    </row>
    <row r="346" spans="1:11">
      <c r="A346" s="202">
        <v>343</v>
      </c>
      <c r="B346" s="203" t="s">
        <v>1873</v>
      </c>
      <c r="C346" s="61" t="s">
        <v>6</v>
      </c>
      <c r="D346" s="61" t="s">
        <v>36</v>
      </c>
      <c r="E346" s="209">
        <v>2866000</v>
      </c>
      <c r="F346" s="205">
        <f t="shared" si="10"/>
        <v>2780020</v>
      </c>
      <c r="G346" s="206">
        <f t="shared" si="11"/>
        <v>2694040</v>
      </c>
      <c r="H346" s="210">
        <v>822.9</v>
      </c>
      <c r="I346" s="210">
        <v>604.07000000000005</v>
      </c>
      <c r="J346" s="210">
        <v>218.83</v>
      </c>
      <c r="K346" s="61" t="s">
        <v>2353</v>
      </c>
    </row>
    <row r="347" spans="1:11">
      <c r="A347" s="202">
        <v>344</v>
      </c>
      <c r="B347" s="203" t="s">
        <v>1874</v>
      </c>
      <c r="C347" s="61" t="s">
        <v>6</v>
      </c>
      <c r="D347" s="61" t="s">
        <v>36</v>
      </c>
      <c r="E347" s="209">
        <v>2866000</v>
      </c>
      <c r="F347" s="205">
        <f t="shared" si="10"/>
        <v>2780020</v>
      </c>
      <c r="G347" s="206">
        <f t="shared" si="11"/>
        <v>2694040</v>
      </c>
      <c r="H347" s="210">
        <v>822.9</v>
      </c>
      <c r="I347" s="210">
        <v>604.07000000000005</v>
      </c>
      <c r="J347" s="210">
        <v>218.83</v>
      </c>
      <c r="K347" s="61" t="s">
        <v>2353</v>
      </c>
    </row>
    <row r="348" spans="1:11">
      <c r="A348" s="202">
        <v>345</v>
      </c>
      <c r="B348" s="203" t="s">
        <v>1875</v>
      </c>
      <c r="C348" s="61" t="s">
        <v>6</v>
      </c>
      <c r="D348" s="61" t="s">
        <v>36</v>
      </c>
      <c r="E348" s="209">
        <v>2866000</v>
      </c>
      <c r="F348" s="205">
        <f t="shared" si="10"/>
        <v>2780020</v>
      </c>
      <c r="G348" s="206">
        <f t="shared" si="11"/>
        <v>2694040</v>
      </c>
      <c r="H348" s="210">
        <v>822.9</v>
      </c>
      <c r="I348" s="210">
        <v>604.07000000000005</v>
      </c>
      <c r="J348" s="210">
        <v>218.83</v>
      </c>
      <c r="K348" s="61" t="s">
        <v>2353</v>
      </c>
    </row>
    <row r="349" spans="1:11">
      <c r="A349" s="202">
        <v>346</v>
      </c>
      <c r="B349" s="203" t="s">
        <v>1876</v>
      </c>
      <c r="C349" s="61" t="s">
        <v>6</v>
      </c>
      <c r="D349" s="61" t="s">
        <v>36</v>
      </c>
      <c r="E349" s="209">
        <v>2866000</v>
      </c>
      <c r="F349" s="205">
        <f t="shared" si="10"/>
        <v>2780020</v>
      </c>
      <c r="G349" s="206">
        <f t="shared" si="11"/>
        <v>2694040</v>
      </c>
      <c r="H349" s="210">
        <v>822.9</v>
      </c>
      <c r="I349" s="210">
        <v>604.07000000000005</v>
      </c>
      <c r="J349" s="210">
        <v>218.83</v>
      </c>
      <c r="K349" s="61" t="s">
        <v>2353</v>
      </c>
    </row>
    <row r="350" spans="1:11">
      <c r="A350" s="202">
        <v>347</v>
      </c>
      <c r="B350" s="203" t="s">
        <v>1877</v>
      </c>
      <c r="C350" s="61" t="s">
        <v>6</v>
      </c>
      <c r="D350" s="61" t="s">
        <v>36</v>
      </c>
      <c r="E350" s="209">
        <v>2866000</v>
      </c>
      <c r="F350" s="205">
        <f t="shared" si="10"/>
        <v>2780020</v>
      </c>
      <c r="G350" s="206">
        <f t="shared" si="11"/>
        <v>2694040</v>
      </c>
      <c r="H350" s="210">
        <v>822.9</v>
      </c>
      <c r="I350" s="210">
        <v>604.07000000000005</v>
      </c>
      <c r="J350" s="210">
        <v>218.83</v>
      </c>
      <c r="K350" s="61" t="s">
        <v>2353</v>
      </c>
    </row>
    <row r="351" spans="1:11">
      <c r="A351" s="202">
        <v>348</v>
      </c>
      <c r="B351" s="203" t="s">
        <v>1878</v>
      </c>
      <c r="C351" s="61" t="s">
        <v>6</v>
      </c>
      <c r="D351" s="61" t="s">
        <v>36</v>
      </c>
      <c r="E351" s="209">
        <v>2866000</v>
      </c>
      <c r="F351" s="205">
        <f t="shared" si="10"/>
        <v>2780020</v>
      </c>
      <c r="G351" s="206">
        <f t="shared" si="11"/>
        <v>2694040</v>
      </c>
      <c r="H351" s="210">
        <v>822.9</v>
      </c>
      <c r="I351" s="210">
        <v>604.07000000000005</v>
      </c>
      <c r="J351" s="210">
        <v>218.83</v>
      </c>
      <c r="K351" s="61" t="s">
        <v>2353</v>
      </c>
    </row>
    <row r="352" spans="1:11">
      <c r="A352" s="202">
        <v>349</v>
      </c>
      <c r="B352" s="203" t="s">
        <v>1879</v>
      </c>
      <c r="C352" s="61" t="s">
        <v>6</v>
      </c>
      <c r="D352" s="61" t="s">
        <v>36</v>
      </c>
      <c r="E352" s="209">
        <v>2866000</v>
      </c>
      <c r="F352" s="205">
        <f t="shared" si="10"/>
        <v>2780020</v>
      </c>
      <c r="G352" s="206">
        <f t="shared" si="11"/>
        <v>2694040</v>
      </c>
      <c r="H352" s="210">
        <v>822.9</v>
      </c>
      <c r="I352" s="210">
        <v>604.07000000000005</v>
      </c>
      <c r="J352" s="210">
        <v>218.83</v>
      </c>
      <c r="K352" s="61" t="s">
        <v>2353</v>
      </c>
    </row>
    <row r="353" spans="1:11">
      <c r="A353" s="202">
        <v>350</v>
      </c>
      <c r="B353" s="203" t="s">
        <v>1880</v>
      </c>
      <c r="C353" s="61" t="s">
        <v>6</v>
      </c>
      <c r="D353" s="61" t="s">
        <v>36</v>
      </c>
      <c r="E353" s="209">
        <v>2866000</v>
      </c>
      <c r="F353" s="205">
        <f t="shared" si="10"/>
        <v>2780020</v>
      </c>
      <c r="G353" s="206">
        <f t="shared" si="11"/>
        <v>2694040</v>
      </c>
      <c r="H353" s="210">
        <v>822.9</v>
      </c>
      <c r="I353" s="210">
        <v>604.07000000000005</v>
      </c>
      <c r="J353" s="210">
        <v>218.83</v>
      </c>
      <c r="K353" s="61" t="s">
        <v>2353</v>
      </c>
    </row>
    <row r="354" spans="1:11">
      <c r="A354" s="202">
        <v>351</v>
      </c>
      <c r="B354" s="203" t="s">
        <v>1881</v>
      </c>
      <c r="C354" s="61" t="s">
        <v>6</v>
      </c>
      <c r="D354" s="61" t="s">
        <v>36</v>
      </c>
      <c r="E354" s="209">
        <v>2866000</v>
      </c>
      <c r="F354" s="205">
        <f t="shared" si="10"/>
        <v>2780020</v>
      </c>
      <c r="G354" s="206">
        <f t="shared" si="11"/>
        <v>2694040</v>
      </c>
      <c r="H354" s="210">
        <v>822.9</v>
      </c>
      <c r="I354" s="210">
        <v>604.07000000000005</v>
      </c>
      <c r="J354" s="210">
        <v>218.83</v>
      </c>
      <c r="K354" s="61" t="s">
        <v>2353</v>
      </c>
    </row>
    <row r="355" spans="1:11">
      <c r="A355" s="202">
        <v>352</v>
      </c>
      <c r="B355" s="203" t="s">
        <v>1882</v>
      </c>
      <c r="C355" s="61" t="s">
        <v>7</v>
      </c>
      <c r="D355" s="61" t="s">
        <v>36</v>
      </c>
      <c r="E355" s="209">
        <v>2863000</v>
      </c>
      <c r="F355" s="205">
        <f t="shared" si="10"/>
        <v>2777110</v>
      </c>
      <c r="G355" s="206">
        <f t="shared" si="11"/>
        <v>2691220</v>
      </c>
      <c r="H355" s="210">
        <v>822.9</v>
      </c>
      <c r="I355" s="210">
        <v>604.07000000000005</v>
      </c>
      <c r="J355" s="210">
        <v>218.83</v>
      </c>
      <c r="K355" s="61" t="s">
        <v>2353</v>
      </c>
    </row>
    <row r="356" spans="1:11">
      <c r="A356" s="202">
        <v>353</v>
      </c>
      <c r="B356" s="203" t="s">
        <v>1883</v>
      </c>
      <c r="C356" s="61" t="s">
        <v>7</v>
      </c>
      <c r="D356" s="61" t="s">
        <v>36</v>
      </c>
      <c r="E356" s="209">
        <v>2863000</v>
      </c>
      <c r="F356" s="205">
        <f t="shared" si="10"/>
        <v>2777110</v>
      </c>
      <c r="G356" s="206">
        <f t="shared" si="11"/>
        <v>2691220</v>
      </c>
      <c r="H356" s="210">
        <v>822.9</v>
      </c>
      <c r="I356" s="210">
        <v>604.07000000000005</v>
      </c>
      <c r="J356" s="210">
        <v>218.83</v>
      </c>
      <c r="K356" s="61" t="s">
        <v>2353</v>
      </c>
    </row>
    <row r="357" spans="1:11">
      <c r="A357" s="202">
        <v>354</v>
      </c>
      <c r="B357" s="203" t="s">
        <v>1884</v>
      </c>
      <c r="C357" s="61" t="s">
        <v>7</v>
      </c>
      <c r="D357" s="61" t="s">
        <v>36</v>
      </c>
      <c r="E357" s="209">
        <v>2863000</v>
      </c>
      <c r="F357" s="205">
        <f t="shared" si="10"/>
        <v>2777110</v>
      </c>
      <c r="G357" s="206">
        <f t="shared" si="11"/>
        <v>2691220</v>
      </c>
      <c r="H357" s="210">
        <v>822.9</v>
      </c>
      <c r="I357" s="210">
        <v>604.07000000000005</v>
      </c>
      <c r="J357" s="210">
        <v>218.83</v>
      </c>
      <c r="K357" s="61" t="s">
        <v>2353</v>
      </c>
    </row>
    <row r="358" spans="1:11">
      <c r="A358" s="202">
        <v>355</v>
      </c>
      <c r="B358" s="203" t="s">
        <v>1885</v>
      </c>
      <c r="C358" s="61" t="s">
        <v>7</v>
      </c>
      <c r="D358" s="61" t="s">
        <v>36</v>
      </c>
      <c r="E358" s="209">
        <v>2863000</v>
      </c>
      <c r="F358" s="205">
        <f t="shared" si="10"/>
        <v>2777110</v>
      </c>
      <c r="G358" s="206">
        <f t="shared" si="11"/>
        <v>2691220</v>
      </c>
      <c r="H358" s="210">
        <v>822.9</v>
      </c>
      <c r="I358" s="210">
        <v>604.07000000000005</v>
      </c>
      <c r="J358" s="210">
        <v>218.83</v>
      </c>
      <c r="K358" s="61" t="s">
        <v>2353</v>
      </c>
    </row>
    <row r="359" spans="1:11">
      <c r="A359" s="202">
        <v>356</v>
      </c>
      <c r="B359" s="203" t="s">
        <v>1886</v>
      </c>
      <c r="C359" s="61" t="s">
        <v>7</v>
      </c>
      <c r="D359" s="61" t="s">
        <v>36</v>
      </c>
      <c r="E359" s="209">
        <v>2863000</v>
      </c>
      <c r="F359" s="205">
        <f t="shared" si="10"/>
        <v>2777110</v>
      </c>
      <c r="G359" s="206">
        <f t="shared" si="11"/>
        <v>2691220</v>
      </c>
      <c r="H359" s="210">
        <v>822.9</v>
      </c>
      <c r="I359" s="210">
        <v>604.07000000000005</v>
      </c>
      <c r="J359" s="210">
        <v>218.83</v>
      </c>
      <c r="K359" s="61" t="s">
        <v>2353</v>
      </c>
    </row>
    <row r="360" spans="1:11">
      <c r="A360" s="202">
        <v>357</v>
      </c>
      <c r="B360" s="203" t="s">
        <v>1887</v>
      </c>
      <c r="C360" s="61" t="s">
        <v>7</v>
      </c>
      <c r="D360" s="61" t="s">
        <v>36</v>
      </c>
      <c r="E360" s="209">
        <v>2863000</v>
      </c>
      <c r="F360" s="205">
        <f t="shared" si="10"/>
        <v>2777110</v>
      </c>
      <c r="G360" s="206">
        <f t="shared" si="11"/>
        <v>2691220</v>
      </c>
      <c r="H360" s="210">
        <v>822.9</v>
      </c>
      <c r="I360" s="210">
        <v>604.07000000000005</v>
      </c>
      <c r="J360" s="210">
        <v>218.83</v>
      </c>
      <c r="K360" s="61" t="s">
        <v>2353</v>
      </c>
    </row>
    <row r="361" spans="1:11">
      <c r="A361" s="202">
        <v>358</v>
      </c>
      <c r="B361" s="203" t="s">
        <v>1888</v>
      </c>
      <c r="C361" s="61" t="s">
        <v>7</v>
      </c>
      <c r="D361" s="61" t="s">
        <v>36</v>
      </c>
      <c r="E361" s="209">
        <v>2863000</v>
      </c>
      <c r="F361" s="205">
        <f t="shared" si="10"/>
        <v>2777110</v>
      </c>
      <c r="G361" s="206">
        <f t="shared" si="11"/>
        <v>2691220</v>
      </c>
      <c r="H361" s="210">
        <v>822.9</v>
      </c>
      <c r="I361" s="210">
        <v>604.07000000000005</v>
      </c>
      <c r="J361" s="210">
        <v>218.83</v>
      </c>
      <c r="K361" s="61" t="s">
        <v>2353</v>
      </c>
    </row>
    <row r="362" spans="1:11">
      <c r="A362" s="202">
        <v>359</v>
      </c>
      <c r="B362" s="203" t="s">
        <v>1889</v>
      </c>
      <c r="C362" s="61" t="s">
        <v>7</v>
      </c>
      <c r="D362" s="61" t="s">
        <v>36</v>
      </c>
      <c r="E362" s="209">
        <v>2863000</v>
      </c>
      <c r="F362" s="205">
        <f t="shared" si="10"/>
        <v>2777110</v>
      </c>
      <c r="G362" s="206">
        <f t="shared" si="11"/>
        <v>2691220</v>
      </c>
      <c r="H362" s="210">
        <v>822.9</v>
      </c>
      <c r="I362" s="210">
        <v>604.07000000000005</v>
      </c>
      <c r="J362" s="210">
        <v>218.83</v>
      </c>
      <c r="K362" s="61" t="s">
        <v>2353</v>
      </c>
    </row>
    <row r="363" spans="1:11">
      <c r="A363" s="202">
        <v>360</v>
      </c>
      <c r="B363" s="203" t="s">
        <v>1890</v>
      </c>
      <c r="C363" s="61" t="s">
        <v>8</v>
      </c>
      <c r="D363" s="61" t="s">
        <v>36</v>
      </c>
      <c r="E363" s="209">
        <v>2861000</v>
      </c>
      <c r="F363" s="205">
        <f t="shared" si="10"/>
        <v>2775170</v>
      </c>
      <c r="G363" s="206">
        <f t="shared" si="11"/>
        <v>2689340</v>
      </c>
      <c r="H363" s="210">
        <v>822.9</v>
      </c>
      <c r="I363" s="210">
        <v>604.07000000000005</v>
      </c>
      <c r="J363" s="210">
        <v>218.83</v>
      </c>
      <c r="K363" s="61" t="s">
        <v>2353</v>
      </c>
    </row>
    <row r="364" spans="1:11">
      <c r="A364" s="202">
        <v>361</v>
      </c>
      <c r="B364" s="203" t="s">
        <v>1891</v>
      </c>
      <c r="C364" s="61" t="s">
        <v>8</v>
      </c>
      <c r="D364" s="61" t="s">
        <v>36</v>
      </c>
      <c r="E364" s="209">
        <v>2861000</v>
      </c>
      <c r="F364" s="205">
        <f t="shared" si="10"/>
        <v>2775170</v>
      </c>
      <c r="G364" s="206">
        <f t="shared" si="11"/>
        <v>2689340</v>
      </c>
      <c r="H364" s="210">
        <v>822.9</v>
      </c>
      <c r="I364" s="210">
        <v>604.07000000000005</v>
      </c>
      <c r="J364" s="210">
        <v>218.83</v>
      </c>
      <c r="K364" s="61" t="s">
        <v>2353</v>
      </c>
    </row>
    <row r="365" spans="1:11">
      <c r="A365" s="202">
        <v>362</v>
      </c>
      <c r="B365" s="203" t="s">
        <v>1892</v>
      </c>
      <c r="C365" s="61" t="s">
        <v>8</v>
      </c>
      <c r="D365" s="61" t="s">
        <v>36</v>
      </c>
      <c r="E365" s="209">
        <v>2861000</v>
      </c>
      <c r="F365" s="205">
        <f t="shared" si="10"/>
        <v>2775170</v>
      </c>
      <c r="G365" s="206">
        <f t="shared" si="11"/>
        <v>2689340</v>
      </c>
      <c r="H365" s="210">
        <v>822.9</v>
      </c>
      <c r="I365" s="210">
        <v>604.07000000000005</v>
      </c>
      <c r="J365" s="210">
        <v>218.83</v>
      </c>
      <c r="K365" s="61" t="s">
        <v>2353</v>
      </c>
    </row>
    <row r="366" spans="1:11">
      <c r="A366" s="202">
        <v>363</v>
      </c>
      <c r="B366" s="203" t="s">
        <v>1893</v>
      </c>
      <c r="C366" s="61" t="s">
        <v>8</v>
      </c>
      <c r="D366" s="61" t="s">
        <v>36</v>
      </c>
      <c r="E366" s="209">
        <v>2861000</v>
      </c>
      <c r="F366" s="205">
        <f t="shared" si="10"/>
        <v>2775170</v>
      </c>
      <c r="G366" s="206">
        <f t="shared" si="11"/>
        <v>2689340</v>
      </c>
      <c r="H366" s="210">
        <v>822.9</v>
      </c>
      <c r="I366" s="210">
        <v>604.07000000000005</v>
      </c>
      <c r="J366" s="210">
        <v>218.83</v>
      </c>
      <c r="K366" s="61" t="s">
        <v>2353</v>
      </c>
    </row>
    <row r="367" spans="1:11">
      <c r="A367" s="202">
        <v>364</v>
      </c>
      <c r="B367" s="203" t="s">
        <v>1894</v>
      </c>
      <c r="C367" s="61" t="s">
        <v>8</v>
      </c>
      <c r="D367" s="61" t="s">
        <v>36</v>
      </c>
      <c r="E367" s="209">
        <v>2861000</v>
      </c>
      <c r="F367" s="205">
        <f t="shared" si="10"/>
        <v>2775170</v>
      </c>
      <c r="G367" s="206">
        <f t="shared" si="11"/>
        <v>2689340</v>
      </c>
      <c r="H367" s="210">
        <v>822.9</v>
      </c>
      <c r="I367" s="210">
        <v>604.07000000000005</v>
      </c>
      <c r="J367" s="210">
        <v>218.83</v>
      </c>
      <c r="K367" s="61" t="s">
        <v>2353</v>
      </c>
    </row>
    <row r="368" spans="1:11">
      <c r="A368" s="202">
        <v>365</v>
      </c>
      <c r="B368" s="203" t="s">
        <v>1895</v>
      </c>
      <c r="C368" s="61" t="s">
        <v>8</v>
      </c>
      <c r="D368" s="61" t="s">
        <v>36</v>
      </c>
      <c r="E368" s="209">
        <v>2861000</v>
      </c>
      <c r="F368" s="205">
        <f t="shared" si="10"/>
        <v>2775170</v>
      </c>
      <c r="G368" s="206">
        <f t="shared" si="11"/>
        <v>2689340</v>
      </c>
      <c r="H368" s="210">
        <v>822.9</v>
      </c>
      <c r="I368" s="210">
        <v>604.07000000000005</v>
      </c>
      <c r="J368" s="210">
        <v>218.83</v>
      </c>
      <c r="K368" s="61" t="s">
        <v>2353</v>
      </c>
    </row>
    <row r="369" spans="1:11">
      <c r="A369" s="202">
        <v>366</v>
      </c>
      <c r="B369" s="203" t="s">
        <v>1896</v>
      </c>
      <c r="C369" s="61" t="s">
        <v>8</v>
      </c>
      <c r="D369" s="61" t="s">
        <v>36</v>
      </c>
      <c r="E369" s="209">
        <v>2861000</v>
      </c>
      <c r="F369" s="205">
        <f t="shared" si="10"/>
        <v>2775170</v>
      </c>
      <c r="G369" s="206">
        <f t="shared" si="11"/>
        <v>2689340</v>
      </c>
      <c r="H369" s="210">
        <v>822.9</v>
      </c>
      <c r="I369" s="210">
        <v>604.07000000000005</v>
      </c>
      <c r="J369" s="210">
        <v>218.83</v>
      </c>
      <c r="K369" s="61" t="s">
        <v>2353</v>
      </c>
    </row>
    <row r="370" spans="1:11">
      <c r="A370" s="202">
        <v>367</v>
      </c>
      <c r="B370" s="203" t="s">
        <v>1897</v>
      </c>
      <c r="C370" s="61" t="s">
        <v>8</v>
      </c>
      <c r="D370" s="61" t="s">
        <v>36</v>
      </c>
      <c r="E370" s="209">
        <v>2861000</v>
      </c>
      <c r="F370" s="205">
        <f t="shared" si="10"/>
        <v>2775170</v>
      </c>
      <c r="G370" s="206">
        <f t="shared" si="11"/>
        <v>2689340</v>
      </c>
      <c r="H370" s="210">
        <v>822.9</v>
      </c>
      <c r="I370" s="210">
        <v>604.07000000000005</v>
      </c>
      <c r="J370" s="210">
        <v>218.83</v>
      </c>
      <c r="K370" s="61" t="s">
        <v>2353</v>
      </c>
    </row>
    <row r="371" spans="1:11">
      <c r="A371" s="202">
        <v>368</v>
      </c>
      <c r="B371" s="203" t="s">
        <v>1898</v>
      </c>
      <c r="C371" s="61" t="s">
        <v>8</v>
      </c>
      <c r="D371" s="61" t="s">
        <v>36</v>
      </c>
      <c r="E371" s="209">
        <v>2861000</v>
      </c>
      <c r="F371" s="205">
        <f t="shared" si="10"/>
        <v>2775170</v>
      </c>
      <c r="G371" s="206">
        <f t="shared" si="11"/>
        <v>2689340</v>
      </c>
      <c r="H371" s="210">
        <v>822.9</v>
      </c>
      <c r="I371" s="210">
        <v>604.07000000000005</v>
      </c>
      <c r="J371" s="210">
        <v>218.83</v>
      </c>
      <c r="K371" s="61" t="s">
        <v>2353</v>
      </c>
    </row>
    <row r="372" spans="1:11">
      <c r="A372" s="202">
        <v>369</v>
      </c>
      <c r="B372" s="203" t="s">
        <v>1899</v>
      </c>
      <c r="C372" s="61" t="s">
        <v>10</v>
      </c>
      <c r="D372" s="61" t="s">
        <v>36</v>
      </c>
      <c r="E372" s="209">
        <v>2855000</v>
      </c>
      <c r="F372" s="205">
        <f t="shared" si="10"/>
        <v>2769350</v>
      </c>
      <c r="G372" s="206">
        <f t="shared" si="11"/>
        <v>2683700</v>
      </c>
      <c r="H372" s="210">
        <v>822.9</v>
      </c>
      <c r="I372" s="210">
        <v>604.07000000000005</v>
      </c>
      <c r="J372" s="210">
        <v>218.83</v>
      </c>
      <c r="K372" s="61" t="s">
        <v>2353</v>
      </c>
    </row>
    <row r="373" spans="1:11">
      <c r="A373" s="202">
        <v>370</v>
      </c>
      <c r="B373" s="203" t="s">
        <v>1900</v>
      </c>
      <c r="C373" s="61" t="s">
        <v>10</v>
      </c>
      <c r="D373" s="61" t="s">
        <v>36</v>
      </c>
      <c r="E373" s="209">
        <v>2855000</v>
      </c>
      <c r="F373" s="205">
        <f t="shared" si="10"/>
        <v>2769350</v>
      </c>
      <c r="G373" s="206">
        <f t="shared" si="11"/>
        <v>2683700</v>
      </c>
      <c r="H373" s="210">
        <v>822.9</v>
      </c>
      <c r="I373" s="210">
        <v>604.07000000000005</v>
      </c>
      <c r="J373" s="210">
        <v>218.83</v>
      </c>
      <c r="K373" s="61" t="s">
        <v>2353</v>
      </c>
    </row>
    <row r="374" spans="1:11">
      <c r="A374" s="202">
        <v>371</v>
      </c>
      <c r="B374" s="203" t="s">
        <v>1901</v>
      </c>
      <c r="C374" s="61" t="s">
        <v>10</v>
      </c>
      <c r="D374" s="61" t="s">
        <v>36</v>
      </c>
      <c r="E374" s="209">
        <v>2855000</v>
      </c>
      <c r="F374" s="205">
        <f t="shared" si="10"/>
        <v>2769350</v>
      </c>
      <c r="G374" s="206">
        <f t="shared" si="11"/>
        <v>2683700</v>
      </c>
      <c r="H374" s="210">
        <v>822.9</v>
      </c>
      <c r="I374" s="210">
        <v>604.07000000000005</v>
      </c>
      <c r="J374" s="210">
        <v>218.83</v>
      </c>
      <c r="K374" s="61" t="s">
        <v>2353</v>
      </c>
    </row>
    <row r="375" spans="1:11">
      <c r="A375" s="202">
        <v>372</v>
      </c>
      <c r="B375" s="203" t="s">
        <v>1902</v>
      </c>
      <c r="C375" s="61" t="s">
        <v>10</v>
      </c>
      <c r="D375" s="61" t="s">
        <v>36</v>
      </c>
      <c r="E375" s="209">
        <v>2855000</v>
      </c>
      <c r="F375" s="205">
        <f t="shared" si="10"/>
        <v>2769350</v>
      </c>
      <c r="G375" s="206">
        <f t="shared" si="11"/>
        <v>2683700</v>
      </c>
      <c r="H375" s="210">
        <v>822.9</v>
      </c>
      <c r="I375" s="210">
        <v>604.07000000000005</v>
      </c>
      <c r="J375" s="210">
        <v>218.83</v>
      </c>
      <c r="K375" s="61" t="s">
        <v>2353</v>
      </c>
    </row>
    <row r="376" spans="1:11">
      <c r="A376" s="202">
        <v>373</v>
      </c>
      <c r="B376" s="203" t="s">
        <v>1903</v>
      </c>
      <c r="C376" s="61" t="s">
        <v>10</v>
      </c>
      <c r="D376" s="61" t="s">
        <v>36</v>
      </c>
      <c r="E376" s="209">
        <v>2855000</v>
      </c>
      <c r="F376" s="205">
        <f t="shared" si="10"/>
        <v>2769350</v>
      </c>
      <c r="G376" s="206">
        <f t="shared" si="11"/>
        <v>2683700</v>
      </c>
      <c r="H376" s="210">
        <v>822.9</v>
      </c>
      <c r="I376" s="210">
        <v>604.07000000000005</v>
      </c>
      <c r="J376" s="210">
        <v>218.83</v>
      </c>
      <c r="K376" s="61" t="s">
        <v>2353</v>
      </c>
    </row>
    <row r="377" spans="1:11">
      <c r="A377" s="202">
        <v>374</v>
      </c>
      <c r="B377" s="203" t="s">
        <v>1904</v>
      </c>
      <c r="C377" s="61" t="s">
        <v>10</v>
      </c>
      <c r="D377" s="61" t="s">
        <v>36</v>
      </c>
      <c r="E377" s="209">
        <v>2855000</v>
      </c>
      <c r="F377" s="205">
        <f t="shared" si="10"/>
        <v>2769350</v>
      </c>
      <c r="G377" s="206">
        <f t="shared" si="11"/>
        <v>2683700</v>
      </c>
      <c r="H377" s="210">
        <v>822.9</v>
      </c>
      <c r="I377" s="210">
        <v>604.07000000000005</v>
      </c>
      <c r="J377" s="210">
        <v>218.83</v>
      </c>
      <c r="K377" s="61" t="s">
        <v>2353</v>
      </c>
    </row>
    <row r="378" spans="1:11">
      <c r="A378" s="202">
        <v>375</v>
      </c>
      <c r="B378" s="203" t="s">
        <v>1905</v>
      </c>
      <c r="C378" s="61" t="s">
        <v>10</v>
      </c>
      <c r="D378" s="61" t="s">
        <v>36</v>
      </c>
      <c r="E378" s="209">
        <v>2855000</v>
      </c>
      <c r="F378" s="205">
        <f t="shared" si="10"/>
        <v>2769350</v>
      </c>
      <c r="G378" s="206">
        <f t="shared" si="11"/>
        <v>2683700</v>
      </c>
      <c r="H378" s="210">
        <v>822.9</v>
      </c>
      <c r="I378" s="210">
        <v>604.07000000000005</v>
      </c>
      <c r="J378" s="210">
        <v>218.83</v>
      </c>
      <c r="K378" s="61" t="s">
        <v>2353</v>
      </c>
    </row>
    <row r="379" spans="1:11">
      <c r="A379" s="202">
        <v>376</v>
      </c>
      <c r="B379" s="203" t="s">
        <v>1906</v>
      </c>
      <c r="C379" s="61" t="s">
        <v>3</v>
      </c>
      <c r="D379" s="61" t="s">
        <v>36</v>
      </c>
      <c r="E379" s="209">
        <v>2840000</v>
      </c>
      <c r="F379" s="205">
        <f t="shared" si="10"/>
        <v>2754800</v>
      </c>
      <c r="G379" s="206">
        <f t="shared" si="11"/>
        <v>2669600</v>
      </c>
      <c r="H379" s="210">
        <v>877.47</v>
      </c>
      <c r="I379" s="210">
        <v>604.07000000000005</v>
      </c>
      <c r="J379" s="210">
        <v>273.39999999999998</v>
      </c>
      <c r="K379" s="61" t="s">
        <v>2354</v>
      </c>
    </row>
    <row r="380" spans="1:11">
      <c r="A380" s="202">
        <v>377</v>
      </c>
      <c r="B380" s="203" t="s">
        <v>1907</v>
      </c>
      <c r="C380" s="61" t="s">
        <v>3</v>
      </c>
      <c r="D380" s="61" t="s">
        <v>36</v>
      </c>
      <c r="E380" s="209">
        <v>2840000</v>
      </c>
      <c r="F380" s="205">
        <f t="shared" si="10"/>
        <v>2754800</v>
      </c>
      <c r="G380" s="206">
        <f t="shared" si="11"/>
        <v>2669600</v>
      </c>
      <c r="H380" s="210">
        <v>877.47</v>
      </c>
      <c r="I380" s="210">
        <v>604.07000000000005</v>
      </c>
      <c r="J380" s="210">
        <v>273.39999999999998</v>
      </c>
      <c r="K380" s="61" t="s">
        <v>2354</v>
      </c>
    </row>
    <row r="381" spans="1:11">
      <c r="A381" s="202">
        <v>378</v>
      </c>
      <c r="B381" s="203" t="s">
        <v>1908</v>
      </c>
      <c r="C381" s="61" t="s">
        <v>3</v>
      </c>
      <c r="D381" s="61" t="s">
        <v>36</v>
      </c>
      <c r="E381" s="209">
        <v>2840000</v>
      </c>
      <c r="F381" s="205">
        <f t="shared" si="10"/>
        <v>2754800</v>
      </c>
      <c r="G381" s="206">
        <f t="shared" si="11"/>
        <v>2669600</v>
      </c>
      <c r="H381" s="210">
        <v>877.47</v>
      </c>
      <c r="I381" s="210">
        <v>604.07000000000005</v>
      </c>
      <c r="J381" s="210">
        <v>273.39999999999998</v>
      </c>
      <c r="K381" s="61" t="s">
        <v>2354</v>
      </c>
    </row>
    <row r="382" spans="1:11">
      <c r="A382" s="202">
        <v>379</v>
      </c>
      <c r="B382" s="203" t="s">
        <v>1909</v>
      </c>
      <c r="C382" s="61" t="s">
        <v>3</v>
      </c>
      <c r="D382" s="61" t="s">
        <v>36</v>
      </c>
      <c r="E382" s="209">
        <v>2840000</v>
      </c>
      <c r="F382" s="205">
        <f t="shared" si="10"/>
        <v>2754800</v>
      </c>
      <c r="G382" s="206">
        <f t="shared" si="11"/>
        <v>2669600</v>
      </c>
      <c r="H382" s="210">
        <v>877.47</v>
      </c>
      <c r="I382" s="210">
        <v>604.07000000000005</v>
      </c>
      <c r="J382" s="210">
        <v>273.39999999999998</v>
      </c>
      <c r="K382" s="61" t="s">
        <v>2354</v>
      </c>
    </row>
    <row r="383" spans="1:11">
      <c r="A383" s="202">
        <v>380</v>
      </c>
      <c r="B383" s="203" t="s">
        <v>1910</v>
      </c>
      <c r="C383" s="61" t="s">
        <v>5</v>
      </c>
      <c r="D383" s="61" t="s">
        <v>36</v>
      </c>
      <c r="E383" s="209">
        <v>2833000</v>
      </c>
      <c r="F383" s="205">
        <f t="shared" si="10"/>
        <v>2748010</v>
      </c>
      <c r="G383" s="206">
        <f t="shared" si="11"/>
        <v>2663020</v>
      </c>
      <c r="H383" s="210">
        <v>822.9</v>
      </c>
      <c r="I383" s="210">
        <v>604.07000000000005</v>
      </c>
      <c r="J383" s="210">
        <v>218.83</v>
      </c>
      <c r="K383" s="61" t="s">
        <v>2354</v>
      </c>
    </row>
    <row r="384" spans="1:11">
      <c r="A384" s="202">
        <v>381</v>
      </c>
      <c r="B384" s="203" t="s">
        <v>1911</v>
      </c>
      <c r="C384" s="61" t="s">
        <v>5</v>
      </c>
      <c r="D384" s="61" t="s">
        <v>36</v>
      </c>
      <c r="E384" s="209">
        <v>2833000</v>
      </c>
      <c r="F384" s="205">
        <f t="shared" si="10"/>
        <v>2748010</v>
      </c>
      <c r="G384" s="206">
        <f t="shared" si="11"/>
        <v>2663020</v>
      </c>
      <c r="H384" s="210">
        <v>822.9</v>
      </c>
      <c r="I384" s="210">
        <v>604.07000000000005</v>
      </c>
      <c r="J384" s="210">
        <v>218.83</v>
      </c>
      <c r="K384" s="61" t="s">
        <v>2354</v>
      </c>
    </row>
    <row r="385" spans="1:11">
      <c r="A385" s="202">
        <v>382</v>
      </c>
      <c r="B385" s="203" t="s">
        <v>1912</v>
      </c>
      <c r="C385" s="61" t="s">
        <v>5</v>
      </c>
      <c r="D385" s="61" t="s">
        <v>36</v>
      </c>
      <c r="E385" s="209">
        <v>2833000</v>
      </c>
      <c r="F385" s="205">
        <f t="shared" si="10"/>
        <v>2748010</v>
      </c>
      <c r="G385" s="206">
        <f t="shared" si="11"/>
        <v>2663020</v>
      </c>
      <c r="H385" s="210">
        <v>822.9</v>
      </c>
      <c r="I385" s="210">
        <v>604.07000000000005</v>
      </c>
      <c r="J385" s="210">
        <v>218.83</v>
      </c>
      <c r="K385" s="61" t="s">
        <v>2354</v>
      </c>
    </row>
    <row r="386" spans="1:11">
      <c r="A386" s="202">
        <v>383</v>
      </c>
      <c r="B386" s="203" t="s">
        <v>1913</v>
      </c>
      <c r="C386" s="61" t="s">
        <v>4</v>
      </c>
      <c r="D386" s="61" t="s">
        <v>36</v>
      </c>
      <c r="E386" s="209">
        <v>2830000</v>
      </c>
      <c r="F386" s="205">
        <f t="shared" si="10"/>
        <v>2745100</v>
      </c>
      <c r="G386" s="206">
        <f t="shared" si="11"/>
        <v>2660200</v>
      </c>
      <c r="H386" s="210">
        <v>822.9</v>
      </c>
      <c r="I386" s="210">
        <v>604.07000000000005</v>
      </c>
      <c r="J386" s="210">
        <v>218.83</v>
      </c>
      <c r="K386" s="61" t="s">
        <v>2354</v>
      </c>
    </row>
    <row r="387" spans="1:11">
      <c r="A387" s="202">
        <v>384</v>
      </c>
      <c r="B387" s="203" t="s">
        <v>1914</v>
      </c>
      <c r="C387" s="61" t="s">
        <v>4</v>
      </c>
      <c r="D387" s="61" t="s">
        <v>36</v>
      </c>
      <c r="E387" s="209">
        <v>2830000</v>
      </c>
      <c r="F387" s="205">
        <f t="shared" si="10"/>
        <v>2745100</v>
      </c>
      <c r="G387" s="206">
        <f t="shared" si="11"/>
        <v>2660200</v>
      </c>
      <c r="H387" s="210">
        <v>822.9</v>
      </c>
      <c r="I387" s="210">
        <v>604.07000000000005</v>
      </c>
      <c r="J387" s="210">
        <v>218.83</v>
      </c>
      <c r="K387" s="61" t="s">
        <v>2354</v>
      </c>
    </row>
    <row r="388" spans="1:11">
      <c r="A388" s="202">
        <v>385</v>
      </c>
      <c r="B388" s="203" t="s">
        <v>1915</v>
      </c>
      <c r="C388" s="61" t="s">
        <v>4458</v>
      </c>
      <c r="D388" s="61" t="s">
        <v>36</v>
      </c>
      <c r="E388" s="209">
        <v>2827000</v>
      </c>
      <c r="F388" s="205">
        <f t="shared" ref="F388:F451" si="12">E388*0.97</f>
        <v>2742190</v>
      </c>
      <c r="G388" s="206">
        <f t="shared" ref="G388:G451" si="13">E388*0.94</f>
        <v>2657380</v>
      </c>
      <c r="H388" s="210">
        <v>822.9</v>
      </c>
      <c r="I388" s="210">
        <v>604.07000000000005</v>
      </c>
      <c r="J388" s="210">
        <v>218.83</v>
      </c>
      <c r="K388" s="61" t="s">
        <v>2354</v>
      </c>
    </row>
    <row r="389" spans="1:11">
      <c r="A389" s="202">
        <v>386</v>
      </c>
      <c r="B389" s="203" t="s">
        <v>1916</v>
      </c>
      <c r="C389" s="61" t="s">
        <v>4458</v>
      </c>
      <c r="D389" s="61" t="s">
        <v>36</v>
      </c>
      <c r="E389" s="209">
        <v>2827000</v>
      </c>
      <c r="F389" s="205">
        <f t="shared" si="12"/>
        <v>2742190</v>
      </c>
      <c r="G389" s="206">
        <f t="shared" si="13"/>
        <v>2657380</v>
      </c>
      <c r="H389" s="210">
        <v>822.9</v>
      </c>
      <c r="I389" s="210">
        <v>604.07000000000005</v>
      </c>
      <c r="J389" s="210">
        <v>218.83</v>
      </c>
      <c r="K389" s="61" t="s">
        <v>2354</v>
      </c>
    </row>
    <row r="390" spans="1:11">
      <c r="A390" s="202">
        <v>387</v>
      </c>
      <c r="B390" s="203" t="s">
        <v>1917</v>
      </c>
      <c r="C390" s="61" t="s">
        <v>4458</v>
      </c>
      <c r="D390" s="61" t="s">
        <v>36</v>
      </c>
      <c r="E390" s="209">
        <v>2827000</v>
      </c>
      <c r="F390" s="205">
        <f t="shared" si="12"/>
        <v>2742190</v>
      </c>
      <c r="G390" s="206">
        <f t="shared" si="13"/>
        <v>2657380</v>
      </c>
      <c r="H390" s="210">
        <v>822.9</v>
      </c>
      <c r="I390" s="210">
        <v>604.07000000000005</v>
      </c>
      <c r="J390" s="210">
        <v>218.83</v>
      </c>
      <c r="K390" s="61" t="s">
        <v>2354</v>
      </c>
    </row>
    <row r="391" spans="1:11">
      <c r="A391" s="202">
        <v>388</v>
      </c>
      <c r="B391" s="203" t="s">
        <v>1918</v>
      </c>
      <c r="C391" s="61" t="s">
        <v>6</v>
      </c>
      <c r="D391" s="61" t="s">
        <v>36</v>
      </c>
      <c r="E391" s="209">
        <v>2825000</v>
      </c>
      <c r="F391" s="205">
        <f t="shared" si="12"/>
        <v>2740250</v>
      </c>
      <c r="G391" s="206">
        <f t="shared" si="13"/>
        <v>2655500</v>
      </c>
      <c r="H391" s="210">
        <v>822.9</v>
      </c>
      <c r="I391" s="210">
        <v>604.07000000000005</v>
      </c>
      <c r="J391" s="210">
        <v>218.83</v>
      </c>
      <c r="K391" s="61" t="s">
        <v>2354</v>
      </c>
    </row>
    <row r="392" spans="1:11">
      <c r="A392" s="202">
        <v>389</v>
      </c>
      <c r="B392" s="203" t="s">
        <v>1919</v>
      </c>
      <c r="C392" s="61" t="s">
        <v>6</v>
      </c>
      <c r="D392" s="61" t="s">
        <v>36</v>
      </c>
      <c r="E392" s="209">
        <v>2825000</v>
      </c>
      <c r="F392" s="205">
        <f t="shared" si="12"/>
        <v>2740250</v>
      </c>
      <c r="G392" s="206">
        <f t="shared" si="13"/>
        <v>2655500</v>
      </c>
      <c r="H392" s="210">
        <v>822.9</v>
      </c>
      <c r="I392" s="210">
        <v>604.07000000000005</v>
      </c>
      <c r="J392" s="210">
        <v>218.83</v>
      </c>
      <c r="K392" s="61" t="s">
        <v>2354</v>
      </c>
    </row>
    <row r="393" spans="1:11">
      <c r="A393" s="202">
        <v>390</v>
      </c>
      <c r="B393" s="203" t="s">
        <v>1920</v>
      </c>
      <c r="C393" s="61" t="s">
        <v>6</v>
      </c>
      <c r="D393" s="61" t="s">
        <v>36</v>
      </c>
      <c r="E393" s="209">
        <v>2825000</v>
      </c>
      <c r="F393" s="205">
        <f t="shared" si="12"/>
        <v>2740250</v>
      </c>
      <c r="G393" s="206">
        <f t="shared" si="13"/>
        <v>2655500</v>
      </c>
      <c r="H393" s="210">
        <v>822.9</v>
      </c>
      <c r="I393" s="210">
        <v>604.07000000000005</v>
      </c>
      <c r="J393" s="210">
        <v>218.83</v>
      </c>
      <c r="K393" s="61" t="s">
        <v>2354</v>
      </c>
    </row>
    <row r="394" spans="1:11">
      <c r="A394" s="202">
        <v>391</v>
      </c>
      <c r="B394" s="203" t="s">
        <v>1921</v>
      </c>
      <c r="C394" s="61" t="s">
        <v>7</v>
      </c>
      <c r="D394" s="61" t="s">
        <v>36</v>
      </c>
      <c r="E394" s="209">
        <v>2822000</v>
      </c>
      <c r="F394" s="205">
        <f t="shared" si="12"/>
        <v>2737340</v>
      </c>
      <c r="G394" s="206">
        <f t="shared" si="13"/>
        <v>2652680</v>
      </c>
      <c r="H394" s="210">
        <v>822.9</v>
      </c>
      <c r="I394" s="210">
        <v>604.07000000000005</v>
      </c>
      <c r="J394" s="210">
        <v>218.83</v>
      </c>
      <c r="K394" s="61" t="s">
        <v>2354</v>
      </c>
    </row>
    <row r="395" spans="1:11">
      <c r="A395" s="202">
        <v>392</v>
      </c>
      <c r="B395" s="203" t="s">
        <v>1922</v>
      </c>
      <c r="C395" s="61" t="s">
        <v>7</v>
      </c>
      <c r="D395" s="61" t="s">
        <v>36</v>
      </c>
      <c r="E395" s="209">
        <v>2822000</v>
      </c>
      <c r="F395" s="205">
        <f t="shared" si="12"/>
        <v>2737340</v>
      </c>
      <c r="G395" s="206">
        <f t="shared" si="13"/>
        <v>2652680</v>
      </c>
      <c r="H395" s="210">
        <v>822.9</v>
      </c>
      <c r="I395" s="210">
        <v>604.07000000000005</v>
      </c>
      <c r="J395" s="210">
        <v>218.83</v>
      </c>
      <c r="K395" s="61" t="s">
        <v>2354</v>
      </c>
    </row>
    <row r="396" spans="1:11">
      <c r="A396" s="202">
        <v>393</v>
      </c>
      <c r="B396" s="203" t="s">
        <v>1923</v>
      </c>
      <c r="C396" s="61" t="s">
        <v>7</v>
      </c>
      <c r="D396" s="61" t="s">
        <v>36</v>
      </c>
      <c r="E396" s="209">
        <v>2822000</v>
      </c>
      <c r="F396" s="205">
        <f t="shared" si="12"/>
        <v>2737340</v>
      </c>
      <c r="G396" s="206">
        <f t="shared" si="13"/>
        <v>2652680</v>
      </c>
      <c r="H396" s="210">
        <v>822.9</v>
      </c>
      <c r="I396" s="210">
        <v>604.07000000000005</v>
      </c>
      <c r="J396" s="210">
        <v>218.83</v>
      </c>
      <c r="K396" s="61" t="s">
        <v>2354</v>
      </c>
    </row>
    <row r="397" spans="1:11">
      <c r="A397" s="202">
        <v>394</v>
      </c>
      <c r="B397" s="203" t="s">
        <v>1924</v>
      </c>
      <c r="C397" s="61" t="s">
        <v>7</v>
      </c>
      <c r="D397" s="61" t="s">
        <v>36</v>
      </c>
      <c r="E397" s="209">
        <v>2822000</v>
      </c>
      <c r="F397" s="205">
        <f t="shared" si="12"/>
        <v>2737340</v>
      </c>
      <c r="G397" s="206">
        <f t="shared" si="13"/>
        <v>2652680</v>
      </c>
      <c r="H397" s="210">
        <v>822.9</v>
      </c>
      <c r="I397" s="210">
        <v>604.07000000000005</v>
      </c>
      <c r="J397" s="210">
        <v>218.83</v>
      </c>
      <c r="K397" s="61" t="s">
        <v>2354</v>
      </c>
    </row>
    <row r="398" spans="1:11">
      <c r="A398" s="202">
        <v>395</v>
      </c>
      <c r="B398" s="203" t="s">
        <v>1925</v>
      </c>
      <c r="C398" s="61" t="s">
        <v>8</v>
      </c>
      <c r="D398" s="61" t="s">
        <v>36</v>
      </c>
      <c r="E398" s="209">
        <v>2819000</v>
      </c>
      <c r="F398" s="205">
        <f t="shared" si="12"/>
        <v>2734430</v>
      </c>
      <c r="G398" s="206">
        <f t="shared" si="13"/>
        <v>2649860</v>
      </c>
      <c r="H398" s="210">
        <v>822.9</v>
      </c>
      <c r="I398" s="210">
        <v>604.07000000000005</v>
      </c>
      <c r="J398" s="210">
        <v>218.83</v>
      </c>
      <c r="K398" s="61" t="s">
        <v>2354</v>
      </c>
    </row>
    <row r="399" spans="1:11">
      <c r="A399" s="202">
        <v>396</v>
      </c>
      <c r="B399" s="203" t="s">
        <v>1926</v>
      </c>
      <c r="C399" s="61" t="s">
        <v>8</v>
      </c>
      <c r="D399" s="61" t="s">
        <v>36</v>
      </c>
      <c r="E399" s="209">
        <v>2819000</v>
      </c>
      <c r="F399" s="205">
        <f t="shared" si="12"/>
        <v>2734430</v>
      </c>
      <c r="G399" s="206">
        <f t="shared" si="13"/>
        <v>2649860</v>
      </c>
      <c r="H399" s="210">
        <v>822.9</v>
      </c>
      <c r="I399" s="210">
        <v>604.07000000000005</v>
      </c>
      <c r="J399" s="210">
        <v>218.83</v>
      </c>
      <c r="K399" s="61" t="s">
        <v>2354</v>
      </c>
    </row>
    <row r="400" spans="1:11">
      <c r="A400" s="202">
        <v>397</v>
      </c>
      <c r="B400" s="203" t="s">
        <v>1927</v>
      </c>
      <c r="C400" s="61" t="s">
        <v>8</v>
      </c>
      <c r="D400" s="61" t="s">
        <v>36</v>
      </c>
      <c r="E400" s="209">
        <v>2819000</v>
      </c>
      <c r="F400" s="205">
        <f t="shared" si="12"/>
        <v>2734430</v>
      </c>
      <c r="G400" s="206">
        <f t="shared" si="13"/>
        <v>2649860</v>
      </c>
      <c r="H400" s="210">
        <v>822.9</v>
      </c>
      <c r="I400" s="210">
        <v>604.07000000000005</v>
      </c>
      <c r="J400" s="210">
        <v>218.83</v>
      </c>
      <c r="K400" s="61" t="s">
        <v>2354</v>
      </c>
    </row>
    <row r="401" spans="1:11">
      <c r="A401" s="202">
        <v>398</v>
      </c>
      <c r="B401" s="203" t="s">
        <v>1928</v>
      </c>
      <c r="C401" s="61" t="s">
        <v>8</v>
      </c>
      <c r="D401" s="61" t="s">
        <v>36</v>
      </c>
      <c r="E401" s="209">
        <v>2819000</v>
      </c>
      <c r="F401" s="205">
        <f t="shared" si="12"/>
        <v>2734430</v>
      </c>
      <c r="G401" s="206">
        <f t="shared" si="13"/>
        <v>2649860</v>
      </c>
      <c r="H401" s="210">
        <v>822.9</v>
      </c>
      <c r="I401" s="210">
        <v>604.07000000000005</v>
      </c>
      <c r="J401" s="210">
        <v>218.83</v>
      </c>
      <c r="K401" s="61" t="s">
        <v>2354</v>
      </c>
    </row>
    <row r="402" spans="1:11">
      <c r="A402" s="202">
        <v>399</v>
      </c>
      <c r="B402" s="203" t="s">
        <v>1929</v>
      </c>
      <c r="C402" s="61" t="s">
        <v>10</v>
      </c>
      <c r="D402" s="61" t="s">
        <v>36</v>
      </c>
      <c r="E402" s="209">
        <v>2814000</v>
      </c>
      <c r="F402" s="205">
        <f t="shared" si="12"/>
        <v>2729580</v>
      </c>
      <c r="G402" s="206">
        <f t="shared" si="13"/>
        <v>2645160</v>
      </c>
      <c r="H402" s="210">
        <v>822.9</v>
      </c>
      <c r="I402" s="210">
        <v>604.07000000000005</v>
      </c>
      <c r="J402" s="210">
        <v>218.83</v>
      </c>
      <c r="K402" s="61" t="s">
        <v>2354</v>
      </c>
    </row>
    <row r="403" spans="1:11">
      <c r="A403" s="202">
        <v>400</v>
      </c>
      <c r="B403" s="203" t="s">
        <v>1930</v>
      </c>
      <c r="C403" s="61" t="s">
        <v>10</v>
      </c>
      <c r="D403" s="61" t="s">
        <v>36</v>
      </c>
      <c r="E403" s="209">
        <v>2814000</v>
      </c>
      <c r="F403" s="205">
        <f t="shared" si="12"/>
        <v>2729580</v>
      </c>
      <c r="G403" s="206">
        <f t="shared" si="13"/>
        <v>2645160</v>
      </c>
      <c r="H403" s="210">
        <v>822.9</v>
      </c>
      <c r="I403" s="210">
        <v>604.07000000000005</v>
      </c>
      <c r="J403" s="210">
        <v>218.83</v>
      </c>
      <c r="K403" s="61" t="s">
        <v>2354</v>
      </c>
    </row>
    <row r="404" spans="1:11">
      <c r="A404" s="202">
        <v>401</v>
      </c>
      <c r="B404" s="203" t="s">
        <v>1931</v>
      </c>
      <c r="C404" s="61" t="s">
        <v>10</v>
      </c>
      <c r="D404" s="61" t="s">
        <v>36</v>
      </c>
      <c r="E404" s="209">
        <v>2814000</v>
      </c>
      <c r="F404" s="205">
        <f t="shared" si="12"/>
        <v>2729580</v>
      </c>
      <c r="G404" s="206">
        <f t="shared" si="13"/>
        <v>2645160</v>
      </c>
      <c r="H404" s="210">
        <v>822.9</v>
      </c>
      <c r="I404" s="210">
        <v>604.07000000000005</v>
      </c>
      <c r="J404" s="210">
        <v>218.83</v>
      </c>
      <c r="K404" s="61" t="s">
        <v>2354</v>
      </c>
    </row>
    <row r="405" spans="1:11">
      <c r="A405" s="202">
        <v>402</v>
      </c>
      <c r="B405" s="203" t="s">
        <v>1932</v>
      </c>
      <c r="C405" s="61" t="s">
        <v>10</v>
      </c>
      <c r="D405" s="61" t="s">
        <v>36</v>
      </c>
      <c r="E405" s="209">
        <v>2814000</v>
      </c>
      <c r="F405" s="205">
        <f t="shared" si="12"/>
        <v>2729580</v>
      </c>
      <c r="G405" s="206">
        <f t="shared" si="13"/>
        <v>2645160</v>
      </c>
      <c r="H405" s="210">
        <v>822.9</v>
      </c>
      <c r="I405" s="210">
        <v>604.07000000000005</v>
      </c>
      <c r="J405" s="210">
        <v>218.83</v>
      </c>
      <c r="K405" s="61" t="s">
        <v>2354</v>
      </c>
    </row>
    <row r="406" spans="1:11">
      <c r="A406" s="202">
        <v>403</v>
      </c>
      <c r="B406" s="203" t="s">
        <v>1933</v>
      </c>
      <c r="C406" s="61" t="s">
        <v>4470</v>
      </c>
      <c r="D406" s="61" t="s">
        <v>36</v>
      </c>
      <c r="E406" s="209">
        <v>2811000</v>
      </c>
      <c r="F406" s="205">
        <f t="shared" si="12"/>
        <v>2726670</v>
      </c>
      <c r="G406" s="206">
        <f t="shared" si="13"/>
        <v>2642340</v>
      </c>
      <c r="H406" s="210">
        <v>806.86</v>
      </c>
      <c r="I406" s="210">
        <v>577.16</v>
      </c>
      <c r="J406" s="210">
        <v>229.7</v>
      </c>
      <c r="K406" s="61" t="s">
        <v>2353</v>
      </c>
    </row>
    <row r="407" spans="1:11">
      <c r="A407" s="202">
        <v>404</v>
      </c>
      <c r="B407" s="203" t="s">
        <v>4579</v>
      </c>
      <c r="C407" s="61" t="s">
        <v>4468</v>
      </c>
      <c r="D407" s="61" t="s">
        <v>36</v>
      </c>
      <c r="E407" s="209">
        <v>2808000</v>
      </c>
      <c r="F407" s="205">
        <f t="shared" si="12"/>
        <v>2723760</v>
      </c>
      <c r="G407" s="206">
        <f t="shared" si="13"/>
        <v>2639520</v>
      </c>
      <c r="H407" s="210">
        <v>813.64</v>
      </c>
      <c r="I407" s="210">
        <v>577.27</v>
      </c>
      <c r="J407" s="210">
        <v>236.38</v>
      </c>
      <c r="K407" s="61" t="s">
        <v>2353</v>
      </c>
    </row>
    <row r="408" spans="1:11">
      <c r="A408" s="202">
        <v>405</v>
      </c>
      <c r="B408" s="203" t="s">
        <v>1934</v>
      </c>
      <c r="C408" s="61" t="s">
        <v>4467</v>
      </c>
      <c r="D408" s="61" t="s">
        <v>36</v>
      </c>
      <c r="E408" s="209">
        <v>2805000</v>
      </c>
      <c r="F408" s="205">
        <f t="shared" si="12"/>
        <v>2720850</v>
      </c>
      <c r="G408" s="206">
        <f t="shared" si="13"/>
        <v>2636700</v>
      </c>
      <c r="H408" s="210">
        <v>813.64</v>
      </c>
      <c r="I408" s="210">
        <v>577.27</v>
      </c>
      <c r="J408" s="210">
        <v>236.38</v>
      </c>
      <c r="K408" s="61" t="s">
        <v>2353</v>
      </c>
    </row>
    <row r="409" spans="1:11">
      <c r="A409" s="202">
        <v>406</v>
      </c>
      <c r="B409" s="203" t="s">
        <v>1935</v>
      </c>
      <c r="C409" s="61" t="s">
        <v>4465</v>
      </c>
      <c r="D409" s="61" t="s">
        <v>36</v>
      </c>
      <c r="E409" s="209">
        <v>2800000</v>
      </c>
      <c r="F409" s="205">
        <f t="shared" si="12"/>
        <v>2716000</v>
      </c>
      <c r="G409" s="206">
        <f t="shared" si="13"/>
        <v>2632000</v>
      </c>
      <c r="H409" s="210">
        <v>813.64</v>
      </c>
      <c r="I409" s="210">
        <v>577.27</v>
      </c>
      <c r="J409" s="210">
        <v>236.38</v>
      </c>
      <c r="K409" s="61" t="s">
        <v>2353</v>
      </c>
    </row>
    <row r="410" spans="1:11">
      <c r="A410" s="202">
        <v>407</v>
      </c>
      <c r="B410" s="203" t="s">
        <v>1936</v>
      </c>
      <c r="C410" s="61" t="s">
        <v>4464</v>
      </c>
      <c r="D410" s="61" t="s">
        <v>36</v>
      </c>
      <c r="E410" s="209">
        <v>2797000</v>
      </c>
      <c r="F410" s="205">
        <f t="shared" si="12"/>
        <v>2713090</v>
      </c>
      <c r="G410" s="206">
        <f t="shared" si="13"/>
        <v>2629180</v>
      </c>
      <c r="H410" s="210">
        <v>813.64</v>
      </c>
      <c r="I410" s="210">
        <v>577.27</v>
      </c>
      <c r="J410" s="210">
        <v>236.38</v>
      </c>
      <c r="K410" s="61" t="s">
        <v>2353</v>
      </c>
    </row>
    <row r="411" spans="1:11">
      <c r="A411" s="202">
        <v>408</v>
      </c>
      <c r="B411" s="203" t="s">
        <v>1937</v>
      </c>
      <c r="C411" s="61" t="s">
        <v>4469</v>
      </c>
      <c r="D411" s="61" t="s">
        <v>36</v>
      </c>
      <c r="E411" s="209">
        <v>2803000</v>
      </c>
      <c r="F411" s="205">
        <f t="shared" si="12"/>
        <v>2718910</v>
      </c>
      <c r="G411" s="206">
        <f t="shared" si="13"/>
        <v>2634820</v>
      </c>
      <c r="H411" s="210">
        <v>814.61</v>
      </c>
      <c r="I411" s="210">
        <v>574.9</v>
      </c>
      <c r="J411" s="210">
        <v>239.71</v>
      </c>
      <c r="K411" s="61" t="s">
        <v>2353</v>
      </c>
    </row>
    <row r="412" spans="1:11">
      <c r="A412" s="202">
        <v>409</v>
      </c>
      <c r="B412" s="203" t="s">
        <v>1938</v>
      </c>
      <c r="C412" s="61" t="s">
        <v>3</v>
      </c>
      <c r="D412" s="61" t="s">
        <v>36</v>
      </c>
      <c r="E412" s="209">
        <v>2767000</v>
      </c>
      <c r="F412" s="205">
        <f t="shared" si="12"/>
        <v>2683990</v>
      </c>
      <c r="G412" s="206">
        <f t="shared" si="13"/>
        <v>2600980</v>
      </c>
      <c r="H412" s="210">
        <v>868.32</v>
      </c>
      <c r="I412" s="210">
        <v>577.27</v>
      </c>
      <c r="J412" s="210">
        <v>291.06</v>
      </c>
      <c r="K412" s="61" t="s">
        <v>2353</v>
      </c>
    </row>
    <row r="413" spans="1:11">
      <c r="A413" s="202">
        <v>410</v>
      </c>
      <c r="B413" s="203" t="s">
        <v>1939</v>
      </c>
      <c r="C413" s="61" t="s">
        <v>3</v>
      </c>
      <c r="D413" s="61" t="s">
        <v>36</v>
      </c>
      <c r="E413" s="209">
        <v>2767000</v>
      </c>
      <c r="F413" s="205">
        <f t="shared" si="12"/>
        <v>2683990</v>
      </c>
      <c r="G413" s="206">
        <f t="shared" si="13"/>
        <v>2600980</v>
      </c>
      <c r="H413" s="210">
        <v>868.32</v>
      </c>
      <c r="I413" s="210">
        <v>577.27</v>
      </c>
      <c r="J413" s="210">
        <v>291.06</v>
      </c>
      <c r="K413" s="61" t="s">
        <v>2353</v>
      </c>
    </row>
    <row r="414" spans="1:11">
      <c r="A414" s="202">
        <v>411</v>
      </c>
      <c r="B414" s="203" t="s">
        <v>4580</v>
      </c>
      <c r="C414" s="61" t="s">
        <v>4468</v>
      </c>
      <c r="D414" s="61" t="s">
        <v>36</v>
      </c>
      <c r="E414" s="209">
        <v>2800000</v>
      </c>
      <c r="F414" s="205">
        <f t="shared" si="12"/>
        <v>2716000</v>
      </c>
      <c r="G414" s="206">
        <f t="shared" si="13"/>
        <v>2632000</v>
      </c>
      <c r="H414" s="210">
        <v>814.61</v>
      </c>
      <c r="I414" s="210">
        <v>574.9</v>
      </c>
      <c r="J414" s="210">
        <v>239.71</v>
      </c>
      <c r="K414" s="61" t="s">
        <v>2353</v>
      </c>
    </row>
    <row r="415" spans="1:11">
      <c r="A415" s="202">
        <v>412</v>
      </c>
      <c r="B415" s="203" t="s">
        <v>1940</v>
      </c>
      <c r="C415" s="61" t="s">
        <v>4463</v>
      </c>
      <c r="D415" s="61" t="s">
        <v>36</v>
      </c>
      <c r="E415" s="209">
        <v>2795000</v>
      </c>
      <c r="F415" s="205">
        <f t="shared" si="12"/>
        <v>2711150</v>
      </c>
      <c r="G415" s="206">
        <f t="shared" si="13"/>
        <v>2627300</v>
      </c>
      <c r="H415" s="210">
        <v>813.64</v>
      </c>
      <c r="I415" s="210">
        <v>577.27</v>
      </c>
      <c r="J415" s="210">
        <v>236.38</v>
      </c>
      <c r="K415" s="61" t="s">
        <v>2353</v>
      </c>
    </row>
    <row r="416" spans="1:11">
      <c r="A416" s="202">
        <v>413</v>
      </c>
      <c r="B416" s="203" t="s">
        <v>1941</v>
      </c>
      <c r="C416" s="61" t="s">
        <v>4467</v>
      </c>
      <c r="D416" s="61" t="s">
        <v>36</v>
      </c>
      <c r="E416" s="209">
        <v>2798000</v>
      </c>
      <c r="F416" s="205">
        <f t="shared" si="12"/>
        <v>2714060</v>
      </c>
      <c r="G416" s="206">
        <f t="shared" si="13"/>
        <v>2630120</v>
      </c>
      <c r="H416" s="210">
        <v>814.61</v>
      </c>
      <c r="I416" s="210">
        <v>574.9</v>
      </c>
      <c r="J416" s="210">
        <v>239.71</v>
      </c>
      <c r="K416" s="61" t="s">
        <v>2353</v>
      </c>
    </row>
    <row r="417" spans="1:11">
      <c r="A417" s="202">
        <v>414</v>
      </c>
      <c r="B417" s="203" t="s">
        <v>1942</v>
      </c>
      <c r="C417" s="61" t="s">
        <v>4495</v>
      </c>
      <c r="D417" s="61" t="s">
        <v>36</v>
      </c>
      <c r="E417" s="209">
        <v>2789000</v>
      </c>
      <c r="F417" s="205">
        <f t="shared" si="12"/>
        <v>2705330</v>
      </c>
      <c r="G417" s="206">
        <f t="shared" si="13"/>
        <v>2621660</v>
      </c>
      <c r="H417" s="210">
        <v>813.64</v>
      </c>
      <c r="I417" s="210">
        <v>577.27</v>
      </c>
      <c r="J417" s="210">
        <v>236.38</v>
      </c>
      <c r="K417" s="61" t="s">
        <v>2353</v>
      </c>
    </row>
    <row r="418" spans="1:11">
      <c r="A418" s="202">
        <v>415</v>
      </c>
      <c r="B418" s="203" t="s">
        <v>1943</v>
      </c>
      <c r="C418" s="61" t="s">
        <v>4465</v>
      </c>
      <c r="D418" s="61" t="s">
        <v>36</v>
      </c>
      <c r="E418" s="209">
        <v>2792000</v>
      </c>
      <c r="F418" s="205">
        <f t="shared" si="12"/>
        <v>2708240</v>
      </c>
      <c r="G418" s="206">
        <f t="shared" si="13"/>
        <v>2624480</v>
      </c>
      <c r="H418" s="210">
        <v>814.61</v>
      </c>
      <c r="I418" s="210">
        <v>574.9</v>
      </c>
      <c r="J418" s="210">
        <v>239.71</v>
      </c>
      <c r="K418" s="61" t="s">
        <v>2353</v>
      </c>
    </row>
    <row r="419" spans="1:11">
      <c r="A419" s="202">
        <v>416</v>
      </c>
      <c r="B419" s="203" t="s">
        <v>1944</v>
      </c>
      <c r="C419" s="61" t="s">
        <v>33</v>
      </c>
      <c r="D419" s="61" t="s">
        <v>36</v>
      </c>
      <c r="E419" s="209">
        <v>2784000</v>
      </c>
      <c r="F419" s="205">
        <f t="shared" si="12"/>
        <v>2700480</v>
      </c>
      <c r="G419" s="206">
        <f t="shared" si="13"/>
        <v>2616960</v>
      </c>
      <c r="H419" s="210">
        <v>813.64</v>
      </c>
      <c r="I419" s="210">
        <v>577.27</v>
      </c>
      <c r="J419" s="210">
        <v>236.38</v>
      </c>
      <c r="K419" s="61" t="s">
        <v>2353</v>
      </c>
    </row>
    <row r="420" spans="1:11">
      <c r="A420" s="202">
        <v>417</v>
      </c>
      <c r="B420" s="203" t="s">
        <v>1945</v>
      </c>
      <c r="C420" s="61" t="s">
        <v>4464</v>
      </c>
      <c r="D420" s="61" t="s">
        <v>36</v>
      </c>
      <c r="E420" s="209">
        <v>2790000</v>
      </c>
      <c r="F420" s="205">
        <f t="shared" si="12"/>
        <v>2706300</v>
      </c>
      <c r="G420" s="206">
        <f t="shared" si="13"/>
        <v>2622600</v>
      </c>
      <c r="H420" s="210">
        <v>814.61</v>
      </c>
      <c r="I420" s="210">
        <v>574.9</v>
      </c>
      <c r="J420" s="210">
        <v>239.71</v>
      </c>
      <c r="K420" s="61" t="s">
        <v>2353</v>
      </c>
    </row>
    <row r="421" spans="1:11">
      <c r="A421" s="202">
        <v>418</v>
      </c>
      <c r="B421" s="203" t="s">
        <v>1946</v>
      </c>
      <c r="C421" s="61" t="s">
        <v>4463</v>
      </c>
      <c r="D421" s="61" t="s">
        <v>36</v>
      </c>
      <c r="E421" s="209">
        <v>2787000</v>
      </c>
      <c r="F421" s="205">
        <f t="shared" si="12"/>
        <v>2703390</v>
      </c>
      <c r="G421" s="206">
        <f t="shared" si="13"/>
        <v>2619780</v>
      </c>
      <c r="H421" s="210">
        <v>814.61</v>
      </c>
      <c r="I421" s="210">
        <v>574.9</v>
      </c>
      <c r="J421" s="210">
        <v>239.71</v>
      </c>
      <c r="K421" s="61" t="s">
        <v>2353</v>
      </c>
    </row>
    <row r="422" spans="1:11">
      <c r="A422" s="202">
        <v>419</v>
      </c>
      <c r="B422" s="203" t="s">
        <v>1947</v>
      </c>
      <c r="C422" s="61" t="s">
        <v>3</v>
      </c>
      <c r="D422" s="61" t="s">
        <v>36</v>
      </c>
      <c r="E422" s="209">
        <v>2759000</v>
      </c>
      <c r="F422" s="205">
        <f t="shared" si="12"/>
        <v>2676230</v>
      </c>
      <c r="G422" s="206">
        <f t="shared" si="13"/>
        <v>2593460</v>
      </c>
      <c r="H422" s="210">
        <v>869.29</v>
      </c>
      <c r="I422" s="210">
        <v>574.9</v>
      </c>
      <c r="J422" s="210">
        <v>294.39</v>
      </c>
      <c r="K422" s="61" t="s">
        <v>2353</v>
      </c>
    </row>
    <row r="423" spans="1:11">
      <c r="A423" s="202">
        <v>420</v>
      </c>
      <c r="B423" s="203" t="s">
        <v>1948</v>
      </c>
      <c r="C423" s="61" t="s">
        <v>3</v>
      </c>
      <c r="D423" s="61" t="s">
        <v>36</v>
      </c>
      <c r="E423" s="209">
        <v>2759000</v>
      </c>
      <c r="F423" s="205">
        <f t="shared" si="12"/>
        <v>2676230</v>
      </c>
      <c r="G423" s="206">
        <f t="shared" si="13"/>
        <v>2593460</v>
      </c>
      <c r="H423" s="210">
        <v>869.29</v>
      </c>
      <c r="I423" s="210">
        <v>574.9</v>
      </c>
      <c r="J423" s="210">
        <v>294.39</v>
      </c>
      <c r="K423" s="61" t="s">
        <v>2353</v>
      </c>
    </row>
    <row r="424" spans="1:11">
      <c r="A424" s="202">
        <v>421</v>
      </c>
      <c r="B424" s="203" t="s">
        <v>1949</v>
      </c>
      <c r="C424" s="61" t="s">
        <v>4461</v>
      </c>
      <c r="D424" s="61" t="s">
        <v>36</v>
      </c>
      <c r="E424" s="209">
        <v>2779000</v>
      </c>
      <c r="F424" s="205">
        <f t="shared" si="12"/>
        <v>2695630</v>
      </c>
      <c r="G424" s="206">
        <f t="shared" si="13"/>
        <v>2612260</v>
      </c>
      <c r="H424" s="210">
        <v>813.64</v>
      </c>
      <c r="I424" s="210">
        <v>577.27</v>
      </c>
      <c r="J424" s="210">
        <v>236.38</v>
      </c>
      <c r="K424" s="61" t="s">
        <v>2353</v>
      </c>
    </row>
    <row r="425" spans="1:11">
      <c r="A425" s="202">
        <v>422</v>
      </c>
      <c r="B425" s="203" t="s">
        <v>1950</v>
      </c>
      <c r="C425" s="61" t="s">
        <v>4460</v>
      </c>
      <c r="D425" s="61" t="s">
        <v>36</v>
      </c>
      <c r="E425" s="209">
        <v>2776000</v>
      </c>
      <c r="F425" s="205">
        <f t="shared" si="12"/>
        <v>2692720</v>
      </c>
      <c r="G425" s="206">
        <f t="shared" si="13"/>
        <v>2609440</v>
      </c>
      <c r="H425" s="210">
        <v>813.64</v>
      </c>
      <c r="I425" s="210">
        <v>577.27</v>
      </c>
      <c r="J425" s="210">
        <v>236.38</v>
      </c>
      <c r="K425" s="61" t="s">
        <v>2353</v>
      </c>
    </row>
    <row r="426" spans="1:11">
      <c r="A426" s="202">
        <v>423</v>
      </c>
      <c r="B426" s="203" t="s">
        <v>1951</v>
      </c>
      <c r="C426" s="61" t="s">
        <v>4495</v>
      </c>
      <c r="D426" s="61" t="s">
        <v>36</v>
      </c>
      <c r="E426" s="209">
        <v>2782000</v>
      </c>
      <c r="F426" s="205">
        <f t="shared" si="12"/>
        <v>2698540</v>
      </c>
      <c r="G426" s="206">
        <f t="shared" si="13"/>
        <v>2615080</v>
      </c>
      <c r="H426" s="210">
        <v>814.61</v>
      </c>
      <c r="I426" s="210">
        <v>574.9</v>
      </c>
      <c r="J426" s="210">
        <v>239.71</v>
      </c>
      <c r="K426" s="61" t="s">
        <v>2353</v>
      </c>
    </row>
    <row r="427" spans="1:11">
      <c r="A427" s="202">
        <v>424</v>
      </c>
      <c r="B427" s="203" t="s">
        <v>1952</v>
      </c>
      <c r="C427" s="61" t="s">
        <v>11</v>
      </c>
      <c r="D427" s="61" t="s">
        <v>36</v>
      </c>
      <c r="E427" s="209">
        <v>2773000</v>
      </c>
      <c r="F427" s="205">
        <f t="shared" si="12"/>
        <v>2689810</v>
      </c>
      <c r="G427" s="206">
        <f t="shared" si="13"/>
        <v>2606620</v>
      </c>
      <c r="H427" s="210">
        <v>813.64</v>
      </c>
      <c r="I427" s="210">
        <v>577.27</v>
      </c>
      <c r="J427" s="210">
        <v>236.38</v>
      </c>
      <c r="K427" s="61" t="s">
        <v>2353</v>
      </c>
    </row>
    <row r="428" spans="1:11">
      <c r="A428" s="202">
        <v>425</v>
      </c>
      <c r="B428" s="203" t="s">
        <v>1953</v>
      </c>
      <c r="C428" s="61" t="s">
        <v>11</v>
      </c>
      <c r="D428" s="61" t="s">
        <v>36</v>
      </c>
      <c r="E428" s="209">
        <v>2773000</v>
      </c>
      <c r="F428" s="205">
        <f t="shared" si="12"/>
        <v>2689810</v>
      </c>
      <c r="G428" s="206">
        <f t="shared" si="13"/>
        <v>2606620</v>
      </c>
      <c r="H428" s="210">
        <v>813.64</v>
      </c>
      <c r="I428" s="210">
        <v>577.27</v>
      </c>
      <c r="J428" s="210">
        <v>236.38</v>
      </c>
      <c r="K428" s="61" t="s">
        <v>2353</v>
      </c>
    </row>
    <row r="429" spans="1:11">
      <c r="A429" s="202">
        <v>426</v>
      </c>
      <c r="B429" s="203" t="s">
        <v>1954</v>
      </c>
      <c r="C429" s="61" t="s">
        <v>33</v>
      </c>
      <c r="D429" s="61" t="s">
        <v>36</v>
      </c>
      <c r="E429" s="209">
        <v>2777000</v>
      </c>
      <c r="F429" s="205">
        <f t="shared" si="12"/>
        <v>2693690</v>
      </c>
      <c r="G429" s="206">
        <f t="shared" si="13"/>
        <v>2610380</v>
      </c>
      <c r="H429" s="210">
        <v>814.61</v>
      </c>
      <c r="I429" s="210">
        <v>574.9</v>
      </c>
      <c r="J429" s="210">
        <v>239.71</v>
      </c>
      <c r="K429" s="61" t="s">
        <v>2353</v>
      </c>
    </row>
    <row r="430" spans="1:11">
      <c r="A430" s="202">
        <v>427</v>
      </c>
      <c r="B430" s="203" t="s">
        <v>1955</v>
      </c>
      <c r="C430" s="61" t="s">
        <v>4461</v>
      </c>
      <c r="D430" s="61" t="s">
        <v>36</v>
      </c>
      <c r="E430" s="209">
        <v>2771000</v>
      </c>
      <c r="F430" s="205">
        <f t="shared" si="12"/>
        <v>2687870</v>
      </c>
      <c r="G430" s="206">
        <f t="shared" si="13"/>
        <v>2604740</v>
      </c>
      <c r="H430" s="210">
        <v>814.61</v>
      </c>
      <c r="I430" s="210">
        <v>574.9</v>
      </c>
      <c r="J430" s="210">
        <v>239.71</v>
      </c>
      <c r="K430" s="61" t="s">
        <v>2353</v>
      </c>
    </row>
    <row r="431" spans="1:11">
      <c r="A431" s="202">
        <v>428</v>
      </c>
      <c r="B431" s="203" t="s">
        <v>1956</v>
      </c>
      <c r="C431" s="61" t="s">
        <v>5</v>
      </c>
      <c r="D431" s="61" t="s">
        <v>36</v>
      </c>
      <c r="E431" s="209">
        <v>2763000</v>
      </c>
      <c r="F431" s="205">
        <f t="shared" si="12"/>
        <v>2680110</v>
      </c>
      <c r="G431" s="206">
        <f t="shared" si="13"/>
        <v>2597220</v>
      </c>
      <c r="H431" s="210">
        <v>813.64</v>
      </c>
      <c r="I431" s="210">
        <v>577.27</v>
      </c>
      <c r="J431" s="210">
        <v>236.38</v>
      </c>
      <c r="K431" s="61" t="s">
        <v>2353</v>
      </c>
    </row>
    <row r="432" spans="1:11">
      <c r="A432" s="202">
        <v>429</v>
      </c>
      <c r="B432" s="203" t="s">
        <v>1957</v>
      </c>
      <c r="C432" s="61" t="s">
        <v>5</v>
      </c>
      <c r="D432" s="61" t="s">
        <v>36</v>
      </c>
      <c r="E432" s="209">
        <v>2763000</v>
      </c>
      <c r="F432" s="205">
        <f t="shared" si="12"/>
        <v>2680110</v>
      </c>
      <c r="G432" s="206">
        <f t="shared" si="13"/>
        <v>2597220</v>
      </c>
      <c r="H432" s="210">
        <v>813.64</v>
      </c>
      <c r="I432" s="210">
        <v>577.27</v>
      </c>
      <c r="J432" s="210">
        <v>236.38</v>
      </c>
      <c r="K432" s="61" t="s">
        <v>2353</v>
      </c>
    </row>
    <row r="433" spans="1:11">
      <c r="A433" s="202">
        <v>430</v>
      </c>
      <c r="B433" s="203" t="s">
        <v>1958</v>
      </c>
      <c r="C433" s="61" t="s">
        <v>4460</v>
      </c>
      <c r="D433" s="61" t="s">
        <v>36</v>
      </c>
      <c r="E433" s="209">
        <v>2769000</v>
      </c>
      <c r="F433" s="205">
        <f t="shared" si="12"/>
        <v>2685930</v>
      </c>
      <c r="G433" s="206">
        <f t="shared" si="13"/>
        <v>2602860</v>
      </c>
      <c r="H433" s="210">
        <v>814.61</v>
      </c>
      <c r="I433" s="210">
        <v>574.9</v>
      </c>
      <c r="J433" s="210">
        <v>239.71</v>
      </c>
      <c r="K433" s="61" t="s">
        <v>2353</v>
      </c>
    </row>
    <row r="434" spans="1:11">
      <c r="A434" s="202">
        <v>431</v>
      </c>
      <c r="B434" s="203" t="s">
        <v>1959</v>
      </c>
      <c r="C434" s="61" t="s">
        <v>4460</v>
      </c>
      <c r="D434" s="61" t="s">
        <v>36</v>
      </c>
      <c r="E434" s="209">
        <v>2769000</v>
      </c>
      <c r="F434" s="205">
        <f t="shared" si="12"/>
        <v>2685930</v>
      </c>
      <c r="G434" s="206">
        <f t="shared" si="13"/>
        <v>2602860</v>
      </c>
      <c r="H434" s="210">
        <v>814.61</v>
      </c>
      <c r="I434" s="210">
        <v>574.9</v>
      </c>
      <c r="J434" s="210">
        <v>239.71</v>
      </c>
      <c r="K434" s="61" t="s">
        <v>2353</v>
      </c>
    </row>
    <row r="435" spans="1:11">
      <c r="A435" s="202">
        <v>432</v>
      </c>
      <c r="B435" s="203" t="s">
        <v>1960</v>
      </c>
      <c r="C435" s="61" t="s">
        <v>4</v>
      </c>
      <c r="D435" s="61" t="s">
        <v>36</v>
      </c>
      <c r="E435" s="209">
        <v>2760000</v>
      </c>
      <c r="F435" s="205">
        <f t="shared" si="12"/>
        <v>2677200</v>
      </c>
      <c r="G435" s="206">
        <f t="shared" si="13"/>
        <v>2594400</v>
      </c>
      <c r="H435" s="210">
        <v>813.64</v>
      </c>
      <c r="I435" s="210">
        <v>577.27</v>
      </c>
      <c r="J435" s="210">
        <v>236.38</v>
      </c>
      <c r="K435" s="61" t="s">
        <v>2353</v>
      </c>
    </row>
    <row r="436" spans="1:11">
      <c r="A436" s="202">
        <v>433</v>
      </c>
      <c r="B436" s="203" t="s">
        <v>1961</v>
      </c>
      <c r="C436" s="61" t="s">
        <v>4</v>
      </c>
      <c r="D436" s="61" t="s">
        <v>36</v>
      </c>
      <c r="E436" s="209">
        <v>2760000</v>
      </c>
      <c r="F436" s="205">
        <f t="shared" si="12"/>
        <v>2677200</v>
      </c>
      <c r="G436" s="206">
        <f t="shared" si="13"/>
        <v>2594400</v>
      </c>
      <c r="H436" s="210">
        <v>813.64</v>
      </c>
      <c r="I436" s="210">
        <v>577.27</v>
      </c>
      <c r="J436" s="210">
        <v>236.38</v>
      </c>
      <c r="K436" s="61" t="s">
        <v>2353</v>
      </c>
    </row>
    <row r="437" spans="1:11">
      <c r="A437" s="202">
        <v>434</v>
      </c>
      <c r="B437" s="203" t="s">
        <v>1962</v>
      </c>
      <c r="C437" s="61" t="s">
        <v>11</v>
      </c>
      <c r="D437" s="61" t="s">
        <v>36</v>
      </c>
      <c r="E437" s="209">
        <v>2766000</v>
      </c>
      <c r="F437" s="205">
        <f t="shared" si="12"/>
        <v>2683020</v>
      </c>
      <c r="G437" s="206">
        <f t="shared" si="13"/>
        <v>2600040</v>
      </c>
      <c r="H437" s="210">
        <v>814.61</v>
      </c>
      <c r="I437" s="210">
        <v>574.9</v>
      </c>
      <c r="J437" s="210">
        <v>239.71</v>
      </c>
      <c r="K437" s="61" t="s">
        <v>2353</v>
      </c>
    </row>
    <row r="438" spans="1:11">
      <c r="A438" s="202">
        <v>435</v>
      </c>
      <c r="B438" s="203" t="s">
        <v>1963</v>
      </c>
      <c r="C438" s="61" t="s">
        <v>4458</v>
      </c>
      <c r="D438" s="61" t="s">
        <v>36</v>
      </c>
      <c r="E438" s="209">
        <v>2757000</v>
      </c>
      <c r="F438" s="205">
        <f t="shared" si="12"/>
        <v>2674290</v>
      </c>
      <c r="G438" s="206">
        <f t="shared" si="13"/>
        <v>2591580</v>
      </c>
      <c r="H438" s="210">
        <v>813.64</v>
      </c>
      <c r="I438" s="210">
        <v>577.27</v>
      </c>
      <c r="J438" s="210">
        <v>236.38</v>
      </c>
      <c r="K438" s="61" t="s">
        <v>2353</v>
      </c>
    </row>
    <row r="439" spans="1:11">
      <c r="A439" s="202">
        <v>436</v>
      </c>
      <c r="B439" s="203" t="s">
        <v>1964</v>
      </c>
      <c r="C439" s="61" t="s">
        <v>4458</v>
      </c>
      <c r="D439" s="61" t="s">
        <v>36</v>
      </c>
      <c r="E439" s="209">
        <v>2757000</v>
      </c>
      <c r="F439" s="205">
        <f t="shared" si="12"/>
        <v>2674290</v>
      </c>
      <c r="G439" s="206">
        <f t="shared" si="13"/>
        <v>2591580</v>
      </c>
      <c r="H439" s="210">
        <v>813.64</v>
      </c>
      <c r="I439" s="210">
        <v>577.27</v>
      </c>
      <c r="J439" s="210">
        <v>236.38</v>
      </c>
      <c r="K439" s="61" t="s">
        <v>2353</v>
      </c>
    </row>
    <row r="440" spans="1:11">
      <c r="A440" s="202">
        <v>437</v>
      </c>
      <c r="B440" s="203" t="s">
        <v>1965</v>
      </c>
      <c r="C440" s="61" t="s">
        <v>6</v>
      </c>
      <c r="D440" s="61" t="s">
        <v>36</v>
      </c>
      <c r="E440" s="209">
        <v>2755000</v>
      </c>
      <c r="F440" s="205">
        <f t="shared" si="12"/>
        <v>2672350</v>
      </c>
      <c r="G440" s="206">
        <f t="shared" si="13"/>
        <v>2589700</v>
      </c>
      <c r="H440" s="210">
        <v>813.64</v>
      </c>
      <c r="I440" s="210">
        <v>577.27</v>
      </c>
      <c r="J440" s="210">
        <v>236.38</v>
      </c>
      <c r="K440" s="61" t="s">
        <v>2353</v>
      </c>
    </row>
    <row r="441" spans="1:11">
      <c r="A441" s="202">
        <v>438</v>
      </c>
      <c r="B441" s="203" t="s">
        <v>1966</v>
      </c>
      <c r="C441" s="61" t="s">
        <v>6</v>
      </c>
      <c r="D441" s="61" t="s">
        <v>36</v>
      </c>
      <c r="E441" s="209">
        <v>2755000</v>
      </c>
      <c r="F441" s="205">
        <f t="shared" si="12"/>
        <v>2672350</v>
      </c>
      <c r="G441" s="206">
        <f t="shared" si="13"/>
        <v>2589700</v>
      </c>
      <c r="H441" s="210">
        <v>813.64</v>
      </c>
      <c r="I441" s="210">
        <v>577.27</v>
      </c>
      <c r="J441" s="210">
        <v>236.38</v>
      </c>
      <c r="K441" s="61" t="s">
        <v>2353</v>
      </c>
    </row>
    <row r="442" spans="1:11">
      <c r="A442" s="202">
        <v>439</v>
      </c>
      <c r="B442" s="203" t="s">
        <v>1967</v>
      </c>
      <c r="C442" s="61" t="s">
        <v>7</v>
      </c>
      <c r="D442" s="61" t="s">
        <v>36</v>
      </c>
      <c r="E442" s="209">
        <v>2752000</v>
      </c>
      <c r="F442" s="205">
        <f t="shared" si="12"/>
        <v>2669440</v>
      </c>
      <c r="G442" s="206">
        <f t="shared" si="13"/>
        <v>2586880</v>
      </c>
      <c r="H442" s="210">
        <v>813.64</v>
      </c>
      <c r="I442" s="210">
        <v>577.27</v>
      </c>
      <c r="J442" s="210">
        <v>236.38</v>
      </c>
      <c r="K442" s="61" t="s">
        <v>2353</v>
      </c>
    </row>
    <row r="443" spans="1:11">
      <c r="A443" s="202">
        <v>440</v>
      </c>
      <c r="B443" s="203" t="s">
        <v>1968</v>
      </c>
      <c r="C443" s="61" t="s">
        <v>7</v>
      </c>
      <c r="D443" s="61" t="s">
        <v>36</v>
      </c>
      <c r="E443" s="209">
        <v>2752000</v>
      </c>
      <c r="F443" s="205">
        <f t="shared" si="12"/>
        <v>2669440</v>
      </c>
      <c r="G443" s="206">
        <f t="shared" si="13"/>
        <v>2586880</v>
      </c>
      <c r="H443" s="210">
        <v>813.64</v>
      </c>
      <c r="I443" s="210">
        <v>577.27</v>
      </c>
      <c r="J443" s="210">
        <v>236.38</v>
      </c>
      <c r="K443" s="61" t="s">
        <v>2353</v>
      </c>
    </row>
    <row r="444" spans="1:11">
      <c r="A444" s="202">
        <v>441</v>
      </c>
      <c r="B444" s="203" t="s">
        <v>1969</v>
      </c>
      <c r="C444" s="61" t="s">
        <v>8</v>
      </c>
      <c r="D444" s="61" t="s">
        <v>36</v>
      </c>
      <c r="E444" s="209">
        <v>2749000</v>
      </c>
      <c r="F444" s="205">
        <f t="shared" si="12"/>
        <v>2666530</v>
      </c>
      <c r="G444" s="206">
        <f t="shared" si="13"/>
        <v>2584060</v>
      </c>
      <c r="H444" s="210">
        <v>813.64</v>
      </c>
      <c r="I444" s="210">
        <v>577.27</v>
      </c>
      <c r="J444" s="210">
        <v>236.38</v>
      </c>
      <c r="K444" s="61" t="s">
        <v>2353</v>
      </c>
    </row>
    <row r="445" spans="1:11">
      <c r="A445" s="202">
        <v>442</v>
      </c>
      <c r="B445" s="203" t="s">
        <v>1970</v>
      </c>
      <c r="C445" s="61" t="s">
        <v>8</v>
      </c>
      <c r="D445" s="61" t="s">
        <v>36</v>
      </c>
      <c r="E445" s="209">
        <v>2749000</v>
      </c>
      <c r="F445" s="205">
        <f t="shared" si="12"/>
        <v>2666530</v>
      </c>
      <c r="G445" s="206">
        <f t="shared" si="13"/>
        <v>2584060</v>
      </c>
      <c r="H445" s="210">
        <v>813.64</v>
      </c>
      <c r="I445" s="210">
        <v>577.27</v>
      </c>
      <c r="J445" s="210">
        <v>236.38</v>
      </c>
      <c r="K445" s="61" t="s">
        <v>2353</v>
      </c>
    </row>
    <row r="446" spans="1:11">
      <c r="A446" s="202">
        <v>443</v>
      </c>
      <c r="B446" s="203" t="s">
        <v>1971</v>
      </c>
      <c r="C446" s="61" t="s">
        <v>5</v>
      </c>
      <c r="D446" s="61" t="s">
        <v>36</v>
      </c>
      <c r="E446" s="209">
        <v>2755000</v>
      </c>
      <c r="F446" s="205">
        <f t="shared" si="12"/>
        <v>2672350</v>
      </c>
      <c r="G446" s="206">
        <f t="shared" si="13"/>
        <v>2589700</v>
      </c>
      <c r="H446" s="210">
        <v>814.61</v>
      </c>
      <c r="I446" s="210">
        <v>574.9</v>
      </c>
      <c r="J446" s="210">
        <v>239.71</v>
      </c>
      <c r="K446" s="61" t="s">
        <v>2353</v>
      </c>
    </row>
    <row r="447" spans="1:11">
      <c r="A447" s="202">
        <v>444</v>
      </c>
      <c r="B447" s="203" t="s">
        <v>1972</v>
      </c>
      <c r="C447" s="61" t="s">
        <v>5</v>
      </c>
      <c r="D447" s="61" t="s">
        <v>36</v>
      </c>
      <c r="E447" s="209">
        <v>2755000</v>
      </c>
      <c r="F447" s="205">
        <f t="shared" si="12"/>
        <v>2672350</v>
      </c>
      <c r="G447" s="206">
        <f t="shared" si="13"/>
        <v>2589700</v>
      </c>
      <c r="H447" s="210">
        <v>814.61</v>
      </c>
      <c r="I447" s="210">
        <v>574.9</v>
      </c>
      <c r="J447" s="210">
        <v>239.71</v>
      </c>
      <c r="K447" s="61" t="s">
        <v>2353</v>
      </c>
    </row>
    <row r="448" spans="1:11">
      <c r="A448" s="202">
        <v>445</v>
      </c>
      <c r="B448" s="203" t="s">
        <v>1973</v>
      </c>
      <c r="C448" s="61" t="s">
        <v>4461</v>
      </c>
      <c r="D448" s="61" t="s">
        <v>36</v>
      </c>
      <c r="E448" s="209">
        <v>2763000</v>
      </c>
      <c r="F448" s="205">
        <f t="shared" si="12"/>
        <v>2680110</v>
      </c>
      <c r="G448" s="206">
        <f t="shared" si="13"/>
        <v>2597220</v>
      </c>
      <c r="H448" s="210">
        <v>804.93</v>
      </c>
      <c r="I448" s="210">
        <v>575.22</v>
      </c>
      <c r="J448" s="210">
        <v>229.7</v>
      </c>
      <c r="K448" s="61" t="s">
        <v>2353</v>
      </c>
    </row>
    <row r="449" spans="1:11">
      <c r="A449" s="202">
        <v>446</v>
      </c>
      <c r="B449" s="203" t="s">
        <v>1974</v>
      </c>
      <c r="C449" s="61" t="s">
        <v>4</v>
      </c>
      <c r="D449" s="61" t="s">
        <v>36</v>
      </c>
      <c r="E449" s="209">
        <v>2753000</v>
      </c>
      <c r="F449" s="205">
        <f t="shared" si="12"/>
        <v>2670410</v>
      </c>
      <c r="G449" s="206">
        <f t="shared" si="13"/>
        <v>2587820</v>
      </c>
      <c r="H449" s="210">
        <v>814.61</v>
      </c>
      <c r="I449" s="210">
        <v>574.9</v>
      </c>
      <c r="J449" s="210">
        <v>239.71</v>
      </c>
      <c r="K449" s="61" t="s">
        <v>2353</v>
      </c>
    </row>
    <row r="450" spans="1:11">
      <c r="A450" s="202">
        <v>447</v>
      </c>
      <c r="B450" s="203" t="s">
        <v>1975</v>
      </c>
      <c r="C450" s="61" t="s">
        <v>4</v>
      </c>
      <c r="D450" s="61" t="s">
        <v>36</v>
      </c>
      <c r="E450" s="209">
        <v>2753000</v>
      </c>
      <c r="F450" s="205">
        <f t="shared" si="12"/>
        <v>2670410</v>
      </c>
      <c r="G450" s="206">
        <f t="shared" si="13"/>
        <v>2587820</v>
      </c>
      <c r="H450" s="210">
        <v>814.61</v>
      </c>
      <c r="I450" s="210">
        <v>574.9</v>
      </c>
      <c r="J450" s="210">
        <v>239.71</v>
      </c>
      <c r="K450" s="61" t="s">
        <v>2353</v>
      </c>
    </row>
    <row r="451" spans="1:11">
      <c r="A451" s="202">
        <v>448</v>
      </c>
      <c r="B451" s="203" t="s">
        <v>1976</v>
      </c>
      <c r="C451" s="61" t="s">
        <v>10</v>
      </c>
      <c r="D451" s="61" t="s">
        <v>36</v>
      </c>
      <c r="E451" s="209">
        <v>2744000</v>
      </c>
      <c r="F451" s="205">
        <f t="shared" si="12"/>
        <v>2661680</v>
      </c>
      <c r="G451" s="206">
        <f t="shared" si="13"/>
        <v>2579360</v>
      </c>
      <c r="H451" s="210">
        <v>813.64</v>
      </c>
      <c r="I451" s="210">
        <v>577.27</v>
      </c>
      <c r="J451" s="210">
        <v>236.38</v>
      </c>
      <c r="K451" s="61" t="s">
        <v>2353</v>
      </c>
    </row>
    <row r="452" spans="1:11">
      <c r="A452" s="202">
        <v>449</v>
      </c>
      <c r="B452" s="203" t="s">
        <v>1977</v>
      </c>
      <c r="C452" s="61" t="s">
        <v>10</v>
      </c>
      <c r="D452" s="61" t="s">
        <v>36</v>
      </c>
      <c r="E452" s="209">
        <v>2744000</v>
      </c>
      <c r="F452" s="205">
        <f t="shared" ref="F452:F514" si="14">E452*0.97</f>
        <v>2661680</v>
      </c>
      <c r="G452" s="206">
        <f t="shared" ref="G452:G514" si="15">E452*0.94</f>
        <v>2579360</v>
      </c>
      <c r="H452" s="210">
        <v>813.64</v>
      </c>
      <c r="I452" s="210">
        <v>577.27</v>
      </c>
      <c r="J452" s="210">
        <v>236.38</v>
      </c>
      <c r="K452" s="61" t="s">
        <v>2353</v>
      </c>
    </row>
    <row r="453" spans="1:11">
      <c r="A453" s="202">
        <v>450</v>
      </c>
      <c r="B453" s="203" t="s">
        <v>1978</v>
      </c>
      <c r="C453" s="61" t="s">
        <v>4458</v>
      </c>
      <c r="D453" s="61" t="s">
        <v>36</v>
      </c>
      <c r="E453" s="209">
        <v>2750000</v>
      </c>
      <c r="F453" s="205">
        <f t="shared" si="14"/>
        <v>2667500</v>
      </c>
      <c r="G453" s="206">
        <f t="shared" si="15"/>
        <v>2585000</v>
      </c>
      <c r="H453" s="210">
        <v>814.61</v>
      </c>
      <c r="I453" s="210">
        <v>574.9</v>
      </c>
      <c r="J453" s="210">
        <v>239.71</v>
      </c>
      <c r="K453" s="61" t="s">
        <v>2353</v>
      </c>
    </row>
    <row r="454" spans="1:11">
      <c r="A454" s="202">
        <v>451</v>
      </c>
      <c r="B454" s="203" t="s">
        <v>1979</v>
      </c>
      <c r="C454" s="61" t="s">
        <v>4458</v>
      </c>
      <c r="D454" s="61" t="s">
        <v>36</v>
      </c>
      <c r="E454" s="209">
        <v>2750000</v>
      </c>
      <c r="F454" s="205">
        <f t="shared" si="14"/>
        <v>2667500</v>
      </c>
      <c r="G454" s="206">
        <f t="shared" si="15"/>
        <v>2585000</v>
      </c>
      <c r="H454" s="210">
        <v>814.61</v>
      </c>
      <c r="I454" s="210">
        <v>574.9</v>
      </c>
      <c r="J454" s="210">
        <v>239.71</v>
      </c>
      <c r="K454" s="61" t="s">
        <v>2353</v>
      </c>
    </row>
    <row r="455" spans="1:11">
      <c r="A455" s="202">
        <v>452</v>
      </c>
      <c r="B455" s="203" t="s">
        <v>4517</v>
      </c>
      <c r="C455" s="61" t="s">
        <v>4463</v>
      </c>
      <c r="D455" s="61" t="s">
        <v>36</v>
      </c>
      <c r="E455" s="209">
        <v>2768000</v>
      </c>
      <c r="F455" s="205">
        <f t="shared" si="14"/>
        <v>2684960</v>
      </c>
      <c r="G455" s="206">
        <f t="shared" si="15"/>
        <v>2601920</v>
      </c>
      <c r="H455" s="210">
        <v>799.97</v>
      </c>
      <c r="I455" s="210">
        <v>571.99</v>
      </c>
      <c r="J455" s="210">
        <v>227.98</v>
      </c>
      <c r="K455" s="61" t="s">
        <v>2353</v>
      </c>
    </row>
    <row r="456" spans="1:11">
      <c r="A456" s="202">
        <v>453</v>
      </c>
      <c r="B456" s="203" t="s">
        <v>1980</v>
      </c>
      <c r="C456" s="61" t="s">
        <v>4473</v>
      </c>
      <c r="D456" s="61" t="s">
        <v>36</v>
      </c>
      <c r="E456" s="209">
        <v>2780000</v>
      </c>
      <c r="F456" s="205">
        <f t="shared" si="14"/>
        <v>2696600</v>
      </c>
      <c r="G456" s="206">
        <f t="shared" si="15"/>
        <v>2613200</v>
      </c>
      <c r="H456" s="210">
        <v>799.33</v>
      </c>
      <c r="I456" s="210">
        <v>569.63</v>
      </c>
      <c r="J456" s="210">
        <v>229.7</v>
      </c>
      <c r="K456" s="61" t="s">
        <v>2353</v>
      </c>
    </row>
    <row r="457" spans="1:11">
      <c r="A457" s="202">
        <v>454</v>
      </c>
      <c r="B457" s="203" t="s">
        <v>1981</v>
      </c>
      <c r="C457" s="61" t="s">
        <v>6</v>
      </c>
      <c r="D457" s="61" t="s">
        <v>36</v>
      </c>
      <c r="E457" s="209">
        <v>2747000</v>
      </c>
      <c r="F457" s="205">
        <f t="shared" si="14"/>
        <v>2664590</v>
      </c>
      <c r="G457" s="206">
        <f t="shared" si="15"/>
        <v>2582180</v>
      </c>
      <c r="H457" s="210">
        <v>814.61</v>
      </c>
      <c r="I457" s="210">
        <v>574.9</v>
      </c>
      <c r="J457" s="210">
        <v>239.71</v>
      </c>
      <c r="K457" s="61" t="s">
        <v>2353</v>
      </c>
    </row>
    <row r="458" spans="1:11">
      <c r="A458" s="202">
        <v>455</v>
      </c>
      <c r="B458" s="203" t="s">
        <v>1982</v>
      </c>
      <c r="C458" s="61" t="s">
        <v>6</v>
      </c>
      <c r="D458" s="61" t="s">
        <v>36</v>
      </c>
      <c r="E458" s="209">
        <v>2747000</v>
      </c>
      <c r="F458" s="205">
        <f t="shared" si="14"/>
        <v>2664590</v>
      </c>
      <c r="G458" s="206">
        <f t="shared" si="15"/>
        <v>2582180</v>
      </c>
      <c r="H458" s="210">
        <v>814.61</v>
      </c>
      <c r="I458" s="210">
        <v>574.9</v>
      </c>
      <c r="J458" s="210">
        <v>239.71</v>
      </c>
      <c r="K458" s="61" t="s">
        <v>2353</v>
      </c>
    </row>
    <row r="459" spans="1:11">
      <c r="A459" s="202">
        <v>456</v>
      </c>
      <c r="B459" s="203" t="s">
        <v>1983</v>
      </c>
      <c r="C459" s="61" t="s">
        <v>7</v>
      </c>
      <c r="D459" s="61" t="s">
        <v>36</v>
      </c>
      <c r="E459" s="209">
        <v>2745000</v>
      </c>
      <c r="F459" s="205">
        <f t="shared" si="14"/>
        <v>2662650</v>
      </c>
      <c r="G459" s="206">
        <f t="shared" si="15"/>
        <v>2580300</v>
      </c>
      <c r="H459" s="210">
        <v>814.61</v>
      </c>
      <c r="I459" s="210">
        <v>574.9</v>
      </c>
      <c r="J459" s="210">
        <v>239.71</v>
      </c>
      <c r="K459" s="61" t="s">
        <v>2353</v>
      </c>
    </row>
    <row r="460" spans="1:11">
      <c r="A460" s="202">
        <v>457</v>
      </c>
      <c r="B460" s="203" t="s">
        <v>1984</v>
      </c>
      <c r="C460" s="61" t="s">
        <v>7</v>
      </c>
      <c r="D460" s="61" t="s">
        <v>36</v>
      </c>
      <c r="E460" s="209">
        <v>2745000</v>
      </c>
      <c r="F460" s="205">
        <f t="shared" si="14"/>
        <v>2662650</v>
      </c>
      <c r="G460" s="206">
        <f t="shared" si="15"/>
        <v>2580300</v>
      </c>
      <c r="H460" s="210">
        <v>814.61</v>
      </c>
      <c r="I460" s="210">
        <v>574.9</v>
      </c>
      <c r="J460" s="210">
        <v>239.71</v>
      </c>
      <c r="K460" s="61" t="s">
        <v>2353</v>
      </c>
    </row>
    <row r="461" spans="1:11">
      <c r="A461" s="202">
        <v>458</v>
      </c>
      <c r="B461" s="203" t="s">
        <v>1985</v>
      </c>
      <c r="C461" s="61" t="s">
        <v>8</v>
      </c>
      <c r="D461" s="61" t="s">
        <v>36</v>
      </c>
      <c r="E461" s="209">
        <v>2742000</v>
      </c>
      <c r="F461" s="205">
        <f t="shared" si="14"/>
        <v>2659740</v>
      </c>
      <c r="G461" s="206">
        <f t="shared" si="15"/>
        <v>2577480</v>
      </c>
      <c r="H461" s="210">
        <v>814.61</v>
      </c>
      <c r="I461" s="210">
        <v>574.9</v>
      </c>
      <c r="J461" s="210">
        <v>239.71</v>
      </c>
      <c r="K461" s="61" t="s">
        <v>2353</v>
      </c>
    </row>
    <row r="462" spans="1:11">
      <c r="A462" s="202">
        <v>459</v>
      </c>
      <c r="B462" s="203" t="s">
        <v>1986</v>
      </c>
      <c r="C462" s="61" t="s">
        <v>8</v>
      </c>
      <c r="D462" s="61" t="s">
        <v>36</v>
      </c>
      <c r="E462" s="209">
        <v>2742000</v>
      </c>
      <c r="F462" s="205">
        <f t="shared" si="14"/>
        <v>2659740</v>
      </c>
      <c r="G462" s="206">
        <f t="shared" si="15"/>
        <v>2577480</v>
      </c>
      <c r="H462" s="210">
        <v>814.61</v>
      </c>
      <c r="I462" s="210">
        <v>574.9</v>
      </c>
      <c r="J462" s="210">
        <v>239.71</v>
      </c>
      <c r="K462" s="61" t="s">
        <v>2353</v>
      </c>
    </row>
    <row r="463" spans="1:11">
      <c r="A463" s="202">
        <v>460</v>
      </c>
      <c r="B463" s="203" t="s">
        <v>1987</v>
      </c>
      <c r="C463" s="61" t="s">
        <v>10</v>
      </c>
      <c r="D463" s="61" t="s">
        <v>36</v>
      </c>
      <c r="E463" s="209">
        <v>2737000</v>
      </c>
      <c r="F463" s="205">
        <f t="shared" si="14"/>
        <v>2654890</v>
      </c>
      <c r="G463" s="206">
        <f t="shared" si="15"/>
        <v>2572780</v>
      </c>
      <c r="H463" s="210">
        <v>814.61</v>
      </c>
      <c r="I463" s="210">
        <v>574.9</v>
      </c>
      <c r="J463" s="210">
        <v>239.71</v>
      </c>
      <c r="K463" s="61" t="s">
        <v>2353</v>
      </c>
    </row>
    <row r="464" spans="1:11">
      <c r="A464" s="202">
        <v>461</v>
      </c>
      <c r="B464" s="203" t="s">
        <v>1988</v>
      </c>
      <c r="C464" s="61" t="s">
        <v>10</v>
      </c>
      <c r="D464" s="61" t="s">
        <v>36</v>
      </c>
      <c r="E464" s="209">
        <v>2737000</v>
      </c>
      <c r="F464" s="205">
        <f t="shared" si="14"/>
        <v>2654890</v>
      </c>
      <c r="G464" s="206">
        <f t="shared" si="15"/>
        <v>2572780</v>
      </c>
      <c r="H464" s="210">
        <v>814.61</v>
      </c>
      <c r="I464" s="210">
        <v>574.9</v>
      </c>
      <c r="J464" s="210">
        <v>239.71</v>
      </c>
      <c r="K464" s="61" t="s">
        <v>2353</v>
      </c>
    </row>
    <row r="465" spans="1:11">
      <c r="A465" s="202">
        <v>462</v>
      </c>
      <c r="B465" s="203" t="s">
        <v>1989</v>
      </c>
      <c r="C465" s="61" t="s">
        <v>218</v>
      </c>
      <c r="D465" s="61" t="s">
        <v>36</v>
      </c>
      <c r="E465" s="209">
        <v>2780000</v>
      </c>
      <c r="F465" s="205">
        <f t="shared" si="14"/>
        <v>2696600</v>
      </c>
      <c r="G465" s="206">
        <f t="shared" si="15"/>
        <v>2613200</v>
      </c>
      <c r="H465" s="210">
        <v>710.31</v>
      </c>
      <c r="I465" s="210">
        <v>576.19000000000005</v>
      </c>
      <c r="J465" s="210">
        <v>134.12</v>
      </c>
      <c r="K465" s="61" t="s">
        <v>1544</v>
      </c>
    </row>
    <row r="466" spans="1:11">
      <c r="A466" s="202">
        <v>463</v>
      </c>
      <c r="B466" s="203" t="s">
        <v>1990</v>
      </c>
      <c r="C466" s="61" t="s">
        <v>181</v>
      </c>
      <c r="D466" s="61" t="s">
        <v>36</v>
      </c>
      <c r="E466" s="209">
        <v>2767000</v>
      </c>
      <c r="F466" s="205">
        <f t="shared" si="14"/>
        <v>2683990</v>
      </c>
      <c r="G466" s="206">
        <f t="shared" si="15"/>
        <v>2600980</v>
      </c>
      <c r="H466" s="210">
        <v>710.31</v>
      </c>
      <c r="I466" s="210">
        <v>576.19000000000005</v>
      </c>
      <c r="J466" s="210">
        <v>134.12</v>
      </c>
      <c r="K466" s="61" t="s">
        <v>1544</v>
      </c>
    </row>
    <row r="467" spans="1:11">
      <c r="A467" s="202">
        <v>464</v>
      </c>
      <c r="B467" s="203" t="s">
        <v>1991</v>
      </c>
      <c r="C467" s="61" t="s">
        <v>4454</v>
      </c>
      <c r="D467" s="61" t="s">
        <v>36</v>
      </c>
      <c r="E467" s="209">
        <v>2764000</v>
      </c>
      <c r="F467" s="205">
        <f t="shared" si="14"/>
        <v>2681080</v>
      </c>
      <c r="G467" s="206">
        <f t="shared" si="15"/>
        <v>2598160</v>
      </c>
      <c r="H467" s="210">
        <v>710.31</v>
      </c>
      <c r="I467" s="210">
        <v>576.19000000000005</v>
      </c>
      <c r="J467" s="210">
        <v>134.12</v>
      </c>
      <c r="K467" s="61" t="s">
        <v>1544</v>
      </c>
    </row>
    <row r="468" spans="1:11">
      <c r="A468" s="202">
        <v>465</v>
      </c>
      <c r="B468" s="203" t="s">
        <v>1992</v>
      </c>
      <c r="C468" s="61" t="s">
        <v>3</v>
      </c>
      <c r="D468" s="61" t="s">
        <v>36</v>
      </c>
      <c r="E468" s="209">
        <v>2706000</v>
      </c>
      <c r="F468" s="205">
        <f t="shared" si="14"/>
        <v>2624820</v>
      </c>
      <c r="G468" s="206">
        <f t="shared" si="15"/>
        <v>2543640</v>
      </c>
      <c r="H468" s="210">
        <v>854.01</v>
      </c>
      <c r="I468" s="210">
        <v>569.63</v>
      </c>
      <c r="J468" s="210">
        <v>284.38</v>
      </c>
      <c r="K468" s="61" t="s">
        <v>2355</v>
      </c>
    </row>
    <row r="469" spans="1:11">
      <c r="A469" s="202">
        <v>466</v>
      </c>
      <c r="B469" s="203" t="s">
        <v>1993</v>
      </c>
      <c r="C469" s="61" t="s">
        <v>4499</v>
      </c>
      <c r="D469" s="61" t="s">
        <v>36</v>
      </c>
      <c r="E469" s="209">
        <v>2759000</v>
      </c>
      <c r="F469" s="205">
        <f t="shared" si="14"/>
        <v>2676230</v>
      </c>
      <c r="G469" s="206">
        <f t="shared" si="15"/>
        <v>2593460</v>
      </c>
      <c r="H469" s="210">
        <v>710.31</v>
      </c>
      <c r="I469" s="210">
        <v>576.19000000000005</v>
      </c>
      <c r="J469" s="210">
        <v>134.12</v>
      </c>
      <c r="K469" s="61" t="s">
        <v>1544</v>
      </c>
    </row>
    <row r="470" spans="1:11">
      <c r="A470" s="202">
        <v>467</v>
      </c>
      <c r="B470" s="203" t="s">
        <v>1994</v>
      </c>
      <c r="C470" s="61" t="s">
        <v>4480</v>
      </c>
      <c r="D470" s="61" t="s">
        <v>36</v>
      </c>
      <c r="E470" s="209">
        <v>2756000</v>
      </c>
      <c r="F470" s="205">
        <f t="shared" si="14"/>
        <v>2673320</v>
      </c>
      <c r="G470" s="206">
        <f t="shared" si="15"/>
        <v>2590640</v>
      </c>
      <c r="H470" s="210">
        <v>710.31</v>
      </c>
      <c r="I470" s="210">
        <v>576.19000000000005</v>
      </c>
      <c r="J470" s="210">
        <v>134.12</v>
      </c>
      <c r="K470" s="61" t="s">
        <v>1544</v>
      </c>
    </row>
    <row r="471" spans="1:11">
      <c r="A471" s="202">
        <v>468</v>
      </c>
      <c r="B471" s="203" t="s">
        <v>1995</v>
      </c>
      <c r="C471" s="61" t="s">
        <v>4497</v>
      </c>
      <c r="D471" s="61" t="s">
        <v>36</v>
      </c>
      <c r="E471" s="209">
        <v>2754000</v>
      </c>
      <c r="F471" s="205">
        <f t="shared" si="14"/>
        <v>2671380</v>
      </c>
      <c r="G471" s="206">
        <f t="shared" si="15"/>
        <v>2588760</v>
      </c>
      <c r="H471" s="210">
        <v>710.31</v>
      </c>
      <c r="I471" s="210">
        <v>576.19000000000005</v>
      </c>
      <c r="J471" s="210">
        <v>134.12</v>
      </c>
      <c r="K471" s="61" t="s">
        <v>1544</v>
      </c>
    </row>
    <row r="472" spans="1:11">
      <c r="A472" s="202">
        <v>469</v>
      </c>
      <c r="B472" s="203" t="s">
        <v>1996</v>
      </c>
      <c r="C472" s="61" t="s">
        <v>4497</v>
      </c>
      <c r="D472" s="61" t="s">
        <v>36</v>
      </c>
      <c r="E472" s="209">
        <v>2754000</v>
      </c>
      <c r="F472" s="205">
        <f t="shared" si="14"/>
        <v>2671380</v>
      </c>
      <c r="G472" s="206">
        <f t="shared" si="15"/>
        <v>2588760</v>
      </c>
      <c r="H472" s="210">
        <v>710.31</v>
      </c>
      <c r="I472" s="210">
        <v>576.19000000000005</v>
      </c>
      <c r="J472" s="210">
        <v>134.12</v>
      </c>
      <c r="K472" s="61" t="s">
        <v>1544</v>
      </c>
    </row>
    <row r="473" spans="1:11">
      <c r="A473" s="202">
        <v>470</v>
      </c>
      <c r="B473" s="203" t="s">
        <v>1997</v>
      </c>
      <c r="C473" s="61" t="s">
        <v>4476</v>
      </c>
      <c r="D473" s="61" t="s">
        <v>36</v>
      </c>
      <c r="E473" s="209">
        <v>2746000</v>
      </c>
      <c r="F473" s="205">
        <f t="shared" si="14"/>
        <v>2663620</v>
      </c>
      <c r="G473" s="206">
        <f t="shared" si="15"/>
        <v>2581240</v>
      </c>
      <c r="H473" s="210">
        <v>710.31</v>
      </c>
      <c r="I473" s="210">
        <v>576.19000000000005</v>
      </c>
      <c r="J473" s="210">
        <v>134.12</v>
      </c>
      <c r="K473" s="61" t="s">
        <v>1544</v>
      </c>
    </row>
    <row r="474" spans="1:11">
      <c r="A474" s="202">
        <v>471</v>
      </c>
      <c r="B474" s="203" t="s">
        <v>1998</v>
      </c>
      <c r="C474" s="61" t="s">
        <v>4476</v>
      </c>
      <c r="D474" s="61" t="s">
        <v>36</v>
      </c>
      <c r="E474" s="209">
        <v>2746000</v>
      </c>
      <c r="F474" s="205">
        <f t="shared" si="14"/>
        <v>2663620</v>
      </c>
      <c r="G474" s="206">
        <f t="shared" si="15"/>
        <v>2581240</v>
      </c>
      <c r="H474" s="210">
        <v>710.31</v>
      </c>
      <c r="I474" s="210">
        <v>576.19000000000005</v>
      </c>
      <c r="J474" s="210">
        <v>134.12</v>
      </c>
      <c r="K474" s="61" t="s">
        <v>1544</v>
      </c>
    </row>
    <row r="475" spans="1:11">
      <c r="A475" s="202">
        <v>472</v>
      </c>
      <c r="B475" s="203" t="s">
        <v>1999</v>
      </c>
      <c r="C475" s="61" t="s">
        <v>4476</v>
      </c>
      <c r="D475" s="61" t="s">
        <v>36</v>
      </c>
      <c r="E475" s="209">
        <v>2746000</v>
      </c>
      <c r="F475" s="205">
        <f t="shared" si="14"/>
        <v>2663620</v>
      </c>
      <c r="G475" s="206">
        <f t="shared" si="15"/>
        <v>2581240</v>
      </c>
      <c r="H475" s="210">
        <v>710.31</v>
      </c>
      <c r="I475" s="210">
        <v>576.19000000000005</v>
      </c>
      <c r="J475" s="210">
        <v>134.12</v>
      </c>
      <c r="K475" s="61" t="s">
        <v>1544</v>
      </c>
    </row>
    <row r="476" spans="1:11">
      <c r="A476" s="202">
        <v>473</v>
      </c>
      <c r="B476" s="203" t="s">
        <v>2000</v>
      </c>
      <c r="C476" s="61" t="s">
        <v>4475</v>
      </c>
      <c r="D476" s="61" t="s">
        <v>36</v>
      </c>
      <c r="E476" s="209">
        <v>2743000</v>
      </c>
      <c r="F476" s="205">
        <f t="shared" si="14"/>
        <v>2660710</v>
      </c>
      <c r="G476" s="206">
        <f t="shared" si="15"/>
        <v>2578420</v>
      </c>
      <c r="H476" s="210">
        <v>710.31</v>
      </c>
      <c r="I476" s="210">
        <v>576.19000000000005</v>
      </c>
      <c r="J476" s="210">
        <v>134.12</v>
      </c>
      <c r="K476" s="61" t="s">
        <v>1544</v>
      </c>
    </row>
    <row r="477" spans="1:11">
      <c r="A477" s="202">
        <v>474</v>
      </c>
      <c r="B477" s="203" t="s">
        <v>2001</v>
      </c>
      <c r="C477" s="61" t="s">
        <v>4475</v>
      </c>
      <c r="D477" s="61" t="s">
        <v>36</v>
      </c>
      <c r="E477" s="209">
        <v>2743000</v>
      </c>
      <c r="F477" s="205">
        <f t="shared" si="14"/>
        <v>2660710</v>
      </c>
      <c r="G477" s="206">
        <f t="shared" si="15"/>
        <v>2578420</v>
      </c>
      <c r="H477" s="210">
        <v>710.31</v>
      </c>
      <c r="I477" s="210">
        <v>576.19000000000005</v>
      </c>
      <c r="J477" s="210">
        <v>134.12</v>
      </c>
      <c r="K477" s="61" t="s">
        <v>1544</v>
      </c>
    </row>
    <row r="478" spans="1:11">
      <c r="A478" s="202">
        <v>475</v>
      </c>
      <c r="B478" s="203" t="s">
        <v>2002</v>
      </c>
      <c r="C478" s="61" t="s">
        <v>4475</v>
      </c>
      <c r="D478" s="61" t="s">
        <v>36</v>
      </c>
      <c r="E478" s="209">
        <v>2743000</v>
      </c>
      <c r="F478" s="205">
        <f t="shared" si="14"/>
        <v>2660710</v>
      </c>
      <c r="G478" s="206">
        <f t="shared" si="15"/>
        <v>2578420</v>
      </c>
      <c r="H478" s="210">
        <v>710.31</v>
      </c>
      <c r="I478" s="210">
        <v>576.19000000000005</v>
      </c>
      <c r="J478" s="210">
        <v>134.12</v>
      </c>
      <c r="K478" s="61" t="s">
        <v>1544</v>
      </c>
    </row>
    <row r="479" spans="1:11">
      <c r="A479" s="202">
        <v>476</v>
      </c>
      <c r="B479" s="203" t="s">
        <v>2003</v>
      </c>
      <c r="C479" s="61" t="s">
        <v>4473</v>
      </c>
      <c r="D479" s="61" t="s">
        <v>36</v>
      </c>
      <c r="E479" s="209">
        <v>2738000</v>
      </c>
      <c r="F479" s="205">
        <f t="shared" si="14"/>
        <v>2655860</v>
      </c>
      <c r="G479" s="206">
        <f t="shared" si="15"/>
        <v>2573720</v>
      </c>
      <c r="H479" s="210">
        <v>710.31</v>
      </c>
      <c r="I479" s="210">
        <v>576.19000000000005</v>
      </c>
      <c r="J479" s="210">
        <v>134.12</v>
      </c>
      <c r="K479" s="61" t="s">
        <v>1544</v>
      </c>
    </row>
    <row r="480" spans="1:11">
      <c r="A480" s="202">
        <v>477</v>
      </c>
      <c r="B480" s="203" t="s">
        <v>2004</v>
      </c>
      <c r="C480" s="61" t="s">
        <v>4473</v>
      </c>
      <c r="D480" s="61" t="s">
        <v>36</v>
      </c>
      <c r="E480" s="209">
        <v>2738000</v>
      </c>
      <c r="F480" s="205">
        <f t="shared" si="14"/>
        <v>2655860</v>
      </c>
      <c r="G480" s="206">
        <f t="shared" si="15"/>
        <v>2573720</v>
      </c>
      <c r="H480" s="210">
        <v>710.31</v>
      </c>
      <c r="I480" s="210">
        <v>576.19000000000005</v>
      </c>
      <c r="J480" s="210">
        <v>134.12</v>
      </c>
      <c r="K480" s="61" t="s">
        <v>1544</v>
      </c>
    </row>
    <row r="481" spans="1:11">
      <c r="A481" s="202">
        <v>478</v>
      </c>
      <c r="B481" s="203" t="s">
        <v>2005</v>
      </c>
      <c r="C481" s="61" t="s">
        <v>4471</v>
      </c>
      <c r="D481" s="61" t="s">
        <v>36</v>
      </c>
      <c r="E481" s="209">
        <v>2733000</v>
      </c>
      <c r="F481" s="205">
        <f t="shared" si="14"/>
        <v>2651010</v>
      </c>
      <c r="G481" s="206">
        <f t="shared" si="15"/>
        <v>2569020</v>
      </c>
      <c r="H481" s="210">
        <v>710.31</v>
      </c>
      <c r="I481" s="210">
        <v>576.19000000000005</v>
      </c>
      <c r="J481" s="210">
        <v>134.12</v>
      </c>
      <c r="K481" s="61" t="s">
        <v>1544</v>
      </c>
    </row>
    <row r="482" spans="1:11">
      <c r="A482" s="202">
        <v>479</v>
      </c>
      <c r="B482" s="203" t="s">
        <v>2006</v>
      </c>
      <c r="C482" s="61" t="s">
        <v>4471</v>
      </c>
      <c r="D482" s="61" t="s">
        <v>36</v>
      </c>
      <c r="E482" s="209">
        <v>2733000</v>
      </c>
      <c r="F482" s="205">
        <f t="shared" si="14"/>
        <v>2651010</v>
      </c>
      <c r="G482" s="206">
        <f t="shared" si="15"/>
        <v>2569020</v>
      </c>
      <c r="H482" s="210">
        <v>710.31</v>
      </c>
      <c r="I482" s="210">
        <v>576.19000000000005</v>
      </c>
      <c r="J482" s="210">
        <v>134.12</v>
      </c>
      <c r="K482" s="61" t="s">
        <v>1544</v>
      </c>
    </row>
    <row r="483" spans="1:11">
      <c r="A483" s="202">
        <v>480</v>
      </c>
      <c r="B483" s="203" t="s">
        <v>2007</v>
      </c>
      <c r="C483" s="61" t="s">
        <v>4471</v>
      </c>
      <c r="D483" s="61" t="s">
        <v>36</v>
      </c>
      <c r="E483" s="209">
        <v>2733000</v>
      </c>
      <c r="F483" s="205">
        <f t="shared" si="14"/>
        <v>2651010</v>
      </c>
      <c r="G483" s="206">
        <f t="shared" si="15"/>
        <v>2569020</v>
      </c>
      <c r="H483" s="210">
        <v>710.31</v>
      </c>
      <c r="I483" s="210">
        <v>576.19000000000005</v>
      </c>
      <c r="J483" s="210">
        <v>134.12</v>
      </c>
      <c r="K483" s="61" t="s">
        <v>1544</v>
      </c>
    </row>
    <row r="484" spans="1:11">
      <c r="A484" s="202">
        <v>481</v>
      </c>
      <c r="B484" s="203" t="s">
        <v>2008</v>
      </c>
      <c r="C484" s="61" t="s">
        <v>4470</v>
      </c>
      <c r="D484" s="61" t="s">
        <v>36</v>
      </c>
      <c r="E484" s="209">
        <v>2730000</v>
      </c>
      <c r="F484" s="205">
        <f t="shared" si="14"/>
        <v>2648100</v>
      </c>
      <c r="G484" s="206">
        <f t="shared" si="15"/>
        <v>2566200</v>
      </c>
      <c r="H484" s="210">
        <v>710.31</v>
      </c>
      <c r="I484" s="210">
        <v>576.19000000000005</v>
      </c>
      <c r="J484" s="210">
        <v>134.12</v>
      </c>
      <c r="K484" s="61" t="s">
        <v>1544</v>
      </c>
    </row>
    <row r="485" spans="1:11">
      <c r="A485" s="202">
        <v>482</v>
      </c>
      <c r="B485" s="203" t="s">
        <v>2009</v>
      </c>
      <c r="C485" s="61" t="s">
        <v>4470</v>
      </c>
      <c r="D485" s="61" t="s">
        <v>36</v>
      </c>
      <c r="E485" s="209">
        <v>2730000</v>
      </c>
      <c r="F485" s="205">
        <f t="shared" si="14"/>
        <v>2648100</v>
      </c>
      <c r="G485" s="206">
        <f t="shared" si="15"/>
        <v>2566200</v>
      </c>
      <c r="H485" s="210">
        <v>710.31</v>
      </c>
      <c r="I485" s="210">
        <v>576.19000000000005</v>
      </c>
      <c r="J485" s="210">
        <v>134.12</v>
      </c>
      <c r="K485" s="61" t="s">
        <v>1544</v>
      </c>
    </row>
    <row r="486" spans="1:11">
      <c r="A486" s="202">
        <v>483</v>
      </c>
      <c r="B486" s="203" t="s">
        <v>2010</v>
      </c>
      <c r="C486" s="61" t="s">
        <v>4470</v>
      </c>
      <c r="D486" s="61" t="s">
        <v>36</v>
      </c>
      <c r="E486" s="209">
        <v>2730000</v>
      </c>
      <c r="F486" s="205">
        <f t="shared" si="14"/>
        <v>2648100</v>
      </c>
      <c r="G486" s="206">
        <f t="shared" si="15"/>
        <v>2566200</v>
      </c>
      <c r="H486" s="210">
        <v>710.31</v>
      </c>
      <c r="I486" s="210">
        <v>576.19000000000005</v>
      </c>
      <c r="J486" s="210">
        <v>134.12</v>
      </c>
      <c r="K486" s="61" t="s">
        <v>1544</v>
      </c>
    </row>
    <row r="487" spans="1:11">
      <c r="A487" s="202">
        <v>484</v>
      </c>
      <c r="B487" s="203" t="s">
        <v>2011</v>
      </c>
      <c r="C487" s="61" t="s">
        <v>4469</v>
      </c>
      <c r="D487" s="61" t="s">
        <v>36</v>
      </c>
      <c r="E487" s="209">
        <v>2728000</v>
      </c>
      <c r="F487" s="205">
        <f t="shared" si="14"/>
        <v>2646160</v>
      </c>
      <c r="G487" s="206">
        <f t="shared" si="15"/>
        <v>2564320</v>
      </c>
      <c r="H487" s="210">
        <v>710.31</v>
      </c>
      <c r="I487" s="210">
        <v>576.19000000000005</v>
      </c>
      <c r="J487" s="210">
        <v>134.12</v>
      </c>
      <c r="K487" s="61" t="s">
        <v>1544</v>
      </c>
    </row>
    <row r="488" spans="1:11">
      <c r="A488" s="202">
        <v>485</v>
      </c>
      <c r="B488" s="203" t="s">
        <v>2012</v>
      </c>
      <c r="C488" s="61" t="s">
        <v>4469</v>
      </c>
      <c r="D488" s="61" t="s">
        <v>36</v>
      </c>
      <c r="E488" s="209">
        <v>2728000</v>
      </c>
      <c r="F488" s="205">
        <f t="shared" si="14"/>
        <v>2646160</v>
      </c>
      <c r="G488" s="206">
        <f t="shared" si="15"/>
        <v>2564320</v>
      </c>
      <c r="H488" s="210">
        <v>710.31</v>
      </c>
      <c r="I488" s="210">
        <v>576.19000000000005</v>
      </c>
      <c r="J488" s="210">
        <v>134.12</v>
      </c>
      <c r="K488" s="61" t="s">
        <v>1544</v>
      </c>
    </row>
    <row r="489" spans="1:11">
      <c r="A489" s="202">
        <v>486</v>
      </c>
      <c r="B489" s="203" t="s">
        <v>2013</v>
      </c>
      <c r="C489" s="61" t="s">
        <v>4469</v>
      </c>
      <c r="D489" s="61" t="s">
        <v>36</v>
      </c>
      <c r="E489" s="209">
        <v>2728000</v>
      </c>
      <c r="F489" s="205">
        <f t="shared" si="14"/>
        <v>2646160</v>
      </c>
      <c r="G489" s="206">
        <f t="shared" si="15"/>
        <v>2564320</v>
      </c>
      <c r="H489" s="210">
        <v>710.31</v>
      </c>
      <c r="I489" s="210">
        <v>576.19000000000005</v>
      </c>
      <c r="J489" s="210">
        <v>134.12</v>
      </c>
      <c r="K489" s="61" t="s">
        <v>1544</v>
      </c>
    </row>
    <row r="490" spans="1:11">
      <c r="A490" s="202">
        <v>487</v>
      </c>
      <c r="B490" s="203" t="s">
        <v>2014</v>
      </c>
      <c r="C490" s="61" t="s">
        <v>11</v>
      </c>
      <c r="D490" s="61" t="s">
        <v>36</v>
      </c>
      <c r="E490" s="209">
        <v>2707000</v>
      </c>
      <c r="F490" s="205">
        <f t="shared" si="14"/>
        <v>2625790</v>
      </c>
      <c r="G490" s="206">
        <f t="shared" si="15"/>
        <v>2544580</v>
      </c>
      <c r="H490" s="210">
        <v>799.97</v>
      </c>
      <c r="I490" s="210">
        <v>571.99</v>
      </c>
      <c r="J490" s="210">
        <v>227.98</v>
      </c>
      <c r="K490" s="61" t="s">
        <v>2354</v>
      </c>
    </row>
    <row r="491" spans="1:11">
      <c r="A491" s="202">
        <v>488</v>
      </c>
      <c r="B491" s="203" t="s">
        <v>4581</v>
      </c>
      <c r="C491" s="61" t="s">
        <v>4468</v>
      </c>
      <c r="D491" s="61" t="s">
        <v>36</v>
      </c>
      <c r="E491" s="209">
        <v>2725000</v>
      </c>
      <c r="F491" s="205">
        <f t="shared" si="14"/>
        <v>2643250</v>
      </c>
      <c r="G491" s="206">
        <f t="shared" si="15"/>
        <v>2561500</v>
      </c>
      <c r="H491" s="210">
        <v>710.31</v>
      </c>
      <c r="I491" s="210">
        <v>576.19000000000005</v>
      </c>
      <c r="J491" s="210">
        <v>134.12</v>
      </c>
      <c r="K491" s="61" t="s">
        <v>1544</v>
      </c>
    </row>
    <row r="492" spans="1:11">
      <c r="A492" s="202">
        <v>489</v>
      </c>
      <c r="B492" s="203" t="s">
        <v>4582</v>
      </c>
      <c r="C492" s="61" t="s">
        <v>4468</v>
      </c>
      <c r="D492" s="61" t="s">
        <v>36</v>
      </c>
      <c r="E492" s="209">
        <v>2725000</v>
      </c>
      <c r="F492" s="205">
        <f t="shared" si="14"/>
        <v>2643250</v>
      </c>
      <c r="G492" s="206">
        <f t="shared" si="15"/>
        <v>2561500</v>
      </c>
      <c r="H492" s="210">
        <v>710.31</v>
      </c>
      <c r="I492" s="210">
        <v>576.19000000000005</v>
      </c>
      <c r="J492" s="210">
        <v>134.12</v>
      </c>
      <c r="K492" s="61" t="s">
        <v>1544</v>
      </c>
    </row>
    <row r="493" spans="1:11">
      <c r="A493" s="202">
        <v>490</v>
      </c>
      <c r="B493" s="203" t="s">
        <v>4583</v>
      </c>
      <c r="C493" s="61" t="s">
        <v>4468</v>
      </c>
      <c r="D493" s="61" t="s">
        <v>36</v>
      </c>
      <c r="E493" s="209">
        <v>2725000</v>
      </c>
      <c r="F493" s="205">
        <f t="shared" si="14"/>
        <v>2643250</v>
      </c>
      <c r="G493" s="206">
        <f t="shared" si="15"/>
        <v>2561500</v>
      </c>
      <c r="H493" s="210">
        <v>710.31</v>
      </c>
      <c r="I493" s="210">
        <v>576.19000000000005</v>
      </c>
      <c r="J493" s="210">
        <v>134.12</v>
      </c>
      <c r="K493" s="61" t="s">
        <v>1544</v>
      </c>
    </row>
    <row r="494" spans="1:11">
      <c r="A494" s="202">
        <v>491</v>
      </c>
      <c r="B494" s="203" t="s">
        <v>2015</v>
      </c>
      <c r="C494" s="61" t="s">
        <v>4467</v>
      </c>
      <c r="D494" s="61" t="s">
        <v>36</v>
      </c>
      <c r="E494" s="209">
        <v>2722000</v>
      </c>
      <c r="F494" s="205">
        <f t="shared" si="14"/>
        <v>2640340</v>
      </c>
      <c r="G494" s="206">
        <f t="shared" si="15"/>
        <v>2558680</v>
      </c>
      <c r="H494" s="210">
        <v>710.31</v>
      </c>
      <c r="I494" s="210">
        <v>576.19000000000005</v>
      </c>
      <c r="J494" s="210">
        <v>134.12</v>
      </c>
      <c r="K494" s="61" t="s">
        <v>1544</v>
      </c>
    </row>
    <row r="495" spans="1:11">
      <c r="A495" s="202">
        <v>492</v>
      </c>
      <c r="B495" s="203" t="s">
        <v>2016</v>
      </c>
      <c r="C495" s="61" t="s">
        <v>4467</v>
      </c>
      <c r="D495" s="61" t="s">
        <v>36</v>
      </c>
      <c r="E495" s="209">
        <v>2722000</v>
      </c>
      <c r="F495" s="205">
        <f t="shared" si="14"/>
        <v>2640340</v>
      </c>
      <c r="G495" s="206">
        <f t="shared" si="15"/>
        <v>2558680</v>
      </c>
      <c r="H495" s="210">
        <v>710.31</v>
      </c>
      <c r="I495" s="210">
        <v>576.19000000000005</v>
      </c>
      <c r="J495" s="210">
        <v>134.12</v>
      </c>
      <c r="K495" s="61" t="s">
        <v>1544</v>
      </c>
    </row>
    <row r="496" spans="1:11">
      <c r="A496" s="202">
        <v>493</v>
      </c>
      <c r="B496" s="203" t="s">
        <v>2017</v>
      </c>
      <c r="C496" s="61" t="s">
        <v>4467</v>
      </c>
      <c r="D496" s="61" t="s">
        <v>36</v>
      </c>
      <c r="E496" s="209">
        <v>2722000</v>
      </c>
      <c r="F496" s="205">
        <f t="shared" si="14"/>
        <v>2640340</v>
      </c>
      <c r="G496" s="206">
        <f t="shared" si="15"/>
        <v>2558680</v>
      </c>
      <c r="H496" s="210">
        <v>710.31</v>
      </c>
      <c r="I496" s="210">
        <v>576.19000000000005</v>
      </c>
      <c r="J496" s="210">
        <v>134.12</v>
      </c>
      <c r="K496" s="61" t="s">
        <v>1544</v>
      </c>
    </row>
    <row r="497" spans="1:11">
      <c r="A497" s="202">
        <v>494</v>
      </c>
      <c r="B497" s="203" t="s">
        <v>2018</v>
      </c>
      <c r="C497" s="61" t="s">
        <v>4465</v>
      </c>
      <c r="D497" s="61" t="s">
        <v>36</v>
      </c>
      <c r="E497" s="209">
        <v>2717000</v>
      </c>
      <c r="F497" s="205">
        <f t="shared" si="14"/>
        <v>2635490</v>
      </c>
      <c r="G497" s="206">
        <f t="shared" si="15"/>
        <v>2553980</v>
      </c>
      <c r="H497" s="210">
        <v>710.31</v>
      </c>
      <c r="I497" s="210">
        <v>576.19000000000005</v>
      </c>
      <c r="J497" s="210">
        <v>134.12</v>
      </c>
      <c r="K497" s="61" t="s">
        <v>1544</v>
      </c>
    </row>
    <row r="498" spans="1:11">
      <c r="A498" s="202">
        <v>495</v>
      </c>
      <c r="B498" s="203" t="s">
        <v>2019</v>
      </c>
      <c r="C498" s="61" t="s">
        <v>4465</v>
      </c>
      <c r="D498" s="61" t="s">
        <v>36</v>
      </c>
      <c r="E498" s="209">
        <v>2717000</v>
      </c>
      <c r="F498" s="205">
        <f t="shared" si="14"/>
        <v>2635490</v>
      </c>
      <c r="G498" s="206">
        <f t="shared" si="15"/>
        <v>2553980</v>
      </c>
      <c r="H498" s="210">
        <v>710.31</v>
      </c>
      <c r="I498" s="210">
        <v>576.19000000000005</v>
      </c>
      <c r="J498" s="210">
        <v>134.12</v>
      </c>
      <c r="K498" s="61" t="s">
        <v>1544</v>
      </c>
    </row>
    <row r="499" spans="1:11">
      <c r="A499" s="202">
        <v>496</v>
      </c>
      <c r="B499" s="203" t="s">
        <v>2020</v>
      </c>
      <c r="C499" s="61" t="s">
        <v>4465</v>
      </c>
      <c r="D499" s="61" t="s">
        <v>36</v>
      </c>
      <c r="E499" s="209">
        <v>2717000</v>
      </c>
      <c r="F499" s="205">
        <f t="shared" si="14"/>
        <v>2635490</v>
      </c>
      <c r="G499" s="206">
        <f t="shared" si="15"/>
        <v>2553980</v>
      </c>
      <c r="H499" s="210">
        <v>710.31</v>
      </c>
      <c r="I499" s="210">
        <v>576.19000000000005</v>
      </c>
      <c r="J499" s="210">
        <v>134.12</v>
      </c>
      <c r="K499" s="61" t="s">
        <v>1544</v>
      </c>
    </row>
    <row r="500" spans="1:11">
      <c r="A500" s="202">
        <v>497</v>
      </c>
      <c r="B500" s="203" t="s">
        <v>2021</v>
      </c>
      <c r="C500" s="61" t="s">
        <v>4464</v>
      </c>
      <c r="D500" s="61" t="s">
        <v>36</v>
      </c>
      <c r="E500" s="209">
        <v>2715000</v>
      </c>
      <c r="F500" s="205">
        <f t="shared" si="14"/>
        <v>2633550</v>
      </c>
      <c r="G500" s="206">
        <f t="shared" si="15"/>
        <v>2552100</v>
      </c>
      <c r="H500" s="210">
        <v>710.31</v>
      </c>
      <c r="I500" s="210">
        <v>576.19000000000005</v>
      </c>
      <c r="J500" s="210">
        <v>134.12</v>
      </c>
      <c r="K500" s="61" t="s">
        <v>1544</v>
      </c>
    </row>
    <row r="501" spans="1:11">
      <c r="A501" s="202">
        <v>498</v>
      </c>
      <c r="B501" s="203" t="s">
        <v>2022</v>
      </c>
      <c r="C501" s="61" t="s">
        <v>4464</v>
      </c>
      <c r="D501" s="61" t="s">
        <v>36</v>
      </c>
      <c r="E501" s="209">
        <v>2715000</v>
      </c>
      <c r="F501" s="205">
        <f t="shared" si="14"/>
        <v>2633550</v>
      </c>
      <c r="G501" s="206">
        <f t="shared" si="15"/>
        <v>2552100</v>
      </c>
      <c r="H501" s="210">
        <v>710.31</v>
      </c>
      <c r="I501" s="210">
        <v>576.19000000000005</v>
      </c>
      <c r="J501" s="210">
        <v>134.12</v>
      </c>
      <c r="K501" s="61" t="s">
        <v>1544</v>
      </c>
    </row>
    <row r="502" spans="1:11">
      <c r="A502" s="202">
        <v>499</v>
      </c>
      <c r="B502" s="203" t="s">
        <v>2023</v>
      </c>
      <c r="C502" s="61" t="s">
        <v>4464</v>
      </c>
      <c r="D502" s="61" t="s">
        <v>36</v>
      </c>
      <c r="E502" s="209">
        <v>2715000</v>
      </c>
      <c r="F502" s="205">
        <f t="shared" si="14"/>
        <v>2633550</v>
      </c>
      <c r="G502" s="206">
        <f t="shared" si="15"/>
        <v>2552100</v>
      </c>
      <c r="H502" s="210">
        <v>710.31</v>
      </c>
      <c r="I502" s="210">
        <v>576.19000000000005</v>
      </c>
      <c r="J502" s="210">
        <v>134.12</v>
      </c>
      <c r="K502" s="61" t="s">
        <v>1544</v>
      </c>
    </row>
    <row r="503" spans="1:11">
      <c r="A503" s="202">
        <v>500</v>
      </c>
      <c r="B503" s="203" t="s">
        <v>2024</v>
      </c>
      <c r="C503" s="61" t="s">
        <v>4463</v>
      </c>
      <c r="D503" s="61" t="s">
        <v>36</v>
      </c>
      <c r="E503" s="209">
        <v>2712000</v>
      </c>
      <c r="F503" s="205">
        <f t="shared" si="14"/>
        <v>2630640</v>
      </c>
      <c r="G503" s="206">
        <f t="shared" si="15"/>
        <v>2549280</v>
      </c>
      <c r="H503" s="210">
        <v>710.31</v>
      </c>
      <c r="I503" s="210">
        <v>576.19000000000005</v>
      </c>
      <c r="J503" s="210">
        <v>134.12</v>
      </c>
      <c r="K503" s="61" t="s">
        <v>1544</v>
      </c>
    </row>
    <row r="504" spans="1:11">
      <c r="A504" s="202">
        <v>501</v>
      </c>
      <c r="B504" s="203" t="s">
        <v>2025</v>
      </c>
      <c r="C504" s="61" t="s">
        <v>4463</v>
      </c>
      <c r="D504" s="61" t="s">
        <v>36</v>
      </c>
      <c r="E504" s="209">
        <v>2712000</v>
      </c>
      <c r="F504" s="205">
        <f t="shared" si="14"/>
        <v>2630640</v>
      </c>
      <c r="G504" s="206">
        <f t="shared" si="15"/>
        <v>2549280</v>
      </c>
      <c r="H504" s="210">
        <v>710.31</v>
      </c>
      <c r="I504" s="210">
        <v>576.19000000000005</v>
      </c>
      <c r="J504" s="210">
        <v>134.12</v>
      </c>
      <c r="K504" s="61" t="s">
        <v>1544</v>
      </c>
    </row>
    <row r="505" spans="1:11">
      <c r="A505" s="202">
        <v>502</v>
      </c>
      <c r="B505" s="203" t="s">
        <v>2026</v>
      </c>
      <c r="C505" s="61" t="s">
        <v>4463</v>
      </c>
      <c r="D505" s="61" t="s">
        <v>36</v>
      </c>
      <c r="E505" s="209">
        <v>2712000</v>
      </c>
      <c r="F505" s="205">
        <f t="shared" si="14"/>
        <v>2630640</v>
      </c>
      <c r="G505" s="206">
        <f t="shared" si="15"/>
        <v>2549280</v>
      </c>
      <c r="H505" s="210">
        <v>710.31</v>
      </c>
      <c r="I505" s="210">
        <v>576.19000000000005</v>
      </c>
      <c r="J505" s="210">
        <v>134.12</v>
      </c>
      <c r="K505" s="61" t="s">
        <v>1544</v>
      </c>
    </row>
    <row r="506" spans="1:11">
      <c r="A506" s="202">
        <v>503</v>
      </c>
      <c r="B506" s="203" t="s">
        <v>2027</v>
      </c>
      <c r="C506" s="61" t="s">
        <v>4495</v>
      </c>
      <c r="D506" s="61" t="s">
        <v>36</v>
      </c>
      <c r="E506" s="209">
        <v>2707000</v>
      </c>
      <c r="F506" s="205">
        <f t="shared" si="14"/>
        <v>2625790</v>
      </c>
      <c r="G506" s="206">
        <f t="shared" si="15"/>
        <v>2544580</v>
      </c>
      <c r="H506" s="210">
        <v>710.31</v>
      </c>
      <c r="I506" s="210">
        <v>576.19000000000005</v>
      </c>
      <c r="J506" s="210">
        <v>134.12</v>
      </c>
      <c r="K506" s="61" t="s">
        <v>1544</v>
      </c>
    </row>
    <row r="507" spans="1:11">
      <c r="A507" s="202">
        <v>504</v>
      </c>
      <c r="B507" s="203" t="s">
        <v>2028</v>
      </c>
      <c r="C507" s="61" t="s">
        <v>4495</v>
      </c>
      <c r="D507" s="61" t="s">
        <v>36</v>
      </c>
      <c r="E507" s="209">
        <v>2707000</v>
      </c>
      <c r="F507" s="205">
        <f t="shared" si="14"/>
        <v>2625790</v>
      </c>
      <c r="G507" s="206">
        <f t="shared" si="15"/>
        <v>2544580</v>
      </c>
      <c r="H507" s="210">
        <v>710.31</v>
      </c>
      <c r="I507" s="210">
        <v>576.19000000000005</v>
      </c>
      <c r="J507" s="210">
        <v>134.12</v>
      </c>
      <c r="K507" s="61" t="s">
        <v>1544</v>
      </c>
    </row>
    <row r="508" spans="1:11">
      <c r="A508" s="202">
        <v>505</v>
      </c>
      <c r="B508" s="203" t="s">
        <v>2029</v>
      </c>
      <c r="C508" s="61" t="s">
        <v>4495</v>
      </c>
      <c r="D508" s="61" t="s">
        <v>36</v>
      </c>
      <c r="E508" s="209">
        <v>2707000</v>
      </c>
      <c r="F508" s="205">
        <f t="shared" si="14"/>
        <v>2625790</v>
      </c>
      <c r="G508" s="206">
        <f t="shared" si="15"/>
        <v>2544580</v>
      </c>
      <c r="H508" s="210">
        <v>710.31</v>
      </c>
      <c r="I508" s="210">
        <v>576.19000000000005</v>
      </c>
      <c r="J508" s="210">
        <v>134.12</v>
      </c>
      <c r="K508" s="61" t="s">
        <v>1544</v>
      </c>
    </row>
    <row r="509" spans="1:11">
      <c r="A509" s="202">
        <v>506</v>
      </c>
      <c r="B509" s="203" t="s">
        <v>2030</v>
      </c>
      <c r="C509" s="61" t="s">
        <v>7</v>
      </c>
      <c r="D509" s="61" t="s">
        <v>36</v>
      </c>
      <c r="E509" s="209">
        <v>2686000</v>
      </c>
      <c r="F509" s="205">
        <f t="shared" si="14"/>
        <v>2605420</v>
      </c>
      <c r="G509" s="206">
        <f t="shared" si="15"/>
        <v>2524840</v>
      </c>
      <c r="H509" s="210">
        <v>799.33</v>
      </c>
      <c r="I509" s="210">
        <v>569.63</v>
      </c>
      <c r="J509" s="210">
        <v>229.7</v>
      </c>
      <c r="K509" s="61" t="s">
        <v>2355</v>
      </c>
    </row>
    <row r="510" spans="1:11">
      <c r="A510" s="202">
        <v>507</v>
      </c>
      <c r="B510" s="203" t="s">
        <v>2031</v>
      </c>
      <c r="C510" s="61" t="s">
        <v>8</v>
      </c>
      <c r="D510" s="61" t="s">
        <v>36</v>
      </c>
      <c r="E510" s="209">
        <v>2684000</v>
      </c>
      <c r="F510" s="205">
        <f t="shared" si="14"/>
        <v>2603480</v>
      </c>
      <c r="G510" s="206">
        <f t="shared" si="15"/>
        <v>2522960</v>
      </c>
      <c r="H510" s="210">
        <v>799.33</v>
      </c>
      <c r="I510" s="210">
        <v>569.63</v>
      </c>
      <c r="J510" s="210">
        <v>229.7</v>
      </c>
      <c r="K510" s="61" t="s">
        <v>2355</v>
      </c>
    </row>
    <row r="511" spans="1:11">
      <c r="A511" s="202">
        <v>508</v>
      </c>
      <c r="B511" s="203" t="s">
        <v>2032</v>
      </c>
      <c r="C511" s="61" t="s">
        <v>33</v>
      </c>
      <c r="D511" s="61" t="s">
        <v>36</v>
      </c>
      <c r="E511" s="209">
        <v>2702000</v>
      </c>
      <c r="F511" s="205">
        <f t="shared" si="14"/>
        <v>2620940</v>
      </c>
      <c r="G511" s="206">
        <f t="shared" si="15"/>
        <v>2539880</v>
      </c>
      <c r="H511" s="210">
        <v>710.31</v>
      </c>
      <c r="I511" s="210">
        <v>576.19000000000005</v>
      </c>
      <c r="J511" s="210">
        <v>134.12</v>
      </c>
      <c r="K511" s="61" t="s">
        <v>1544</v>
      </c>
    </row>
    <row r="512" spans="1:11">
      <c r="A512" s="202">
        <v>509</v>
      </c>
      <c r="B512" s="203" t="s">
        <v>2033</v>
      </c>
      <c r="C512" s="61" t="s">
        <v>33</v>
      </c>
      <c r="D512" s="61" t="s">
        <v>36</v>
      </c>
      <c r="E512" s="209">
        <v>2702000</v>
      </c>
      <c r="F512" s="205">
        <f t="shared" si="14"/>
        <v>2620940</v>
      </c>
      <c r="G512" s="206">
        <f t="shared" si="15"/>
        <v>2539880</v>
      </c>
      <c r="H512" s="210">
        <v>710.31</v>
      </c>
      <c r="I512" s="210">
        <v>576.19000000000005</v>
      </c>
      <c r="J512" s="210">
        <v>134.12</v>
      </c>
      <c r="K512" s="61" t="s">
        <v>1544</v>
      </c>
    </row>
    <row r="513" spans="1:11">
      <c r="A513" s="202">
        <v>510</v>
      </c>
      <c r="B513" s="203" t="s">
        <v>2034</v>
      </c>
      <c r="C513" s="61" t="s">
        <v>33</v>
      </c>
      <c r="D513" s="61" t="s">
        <v>36</v>
      </c>
      <c r="E513" s="209">
        <v>2702000</v>
      </c>
      <c r="F513" s="205">
        <f t="shared" si="14"/>
        <v>2620940</v>
      </c>
      <c r="G513" s="206">
        <f t="shared" si="15"/>
        <v>2539880</v>
      </c>
      <c r="H513" s="210">
        <v>710.31</v>
      </c>
      <c r="I513" s="210">
        <v>576.19000000000005</v>
      </c>
      <c r="J513" s="210">
        <v>134.12</v>
      </c>
      <c r="K513" s="61" t="s">
        <v>1544</v>
      </c>
    </row>
    <row r="514" spans="1:11">
      <c r="A514" s="202">
        <v>511</v>
      </c>
      <c r="B514" s="203" t="s">
        <v>2035</v>
      </c>
      <c r="C514" s="61" t="s">
        <v>33</v>
      </c>
      <c r="D514" s="61" t="s">
        <v>36</v>
      </c>
      <c r="E514" s="209">
        <v>2702000</v>
      </c>
      <c r="F514" s="205">
        <f t="shared" si="14"/>
        <v>2620940</v>
      </c>
      <c r="G514" s="206">
        <f t="shared" si="15"/>
        <v>2539880</v>
      </c>
      <c r="H514" s="210">
        <v>710.31</v>
      </c>
      <c r="I514" s="210">
        <v>576.19000000000005</v>
      </c>
      <c r="J514" s="210">
        <v>134.12</v>
      </c>
      <c r="K514" s="61" t="s">
        <v>1544</v>
      </c>
    </row>
    <row r="515" spans="1:11">
      <c r="A515" s="202">
        <v>512</v>
      </c>
      <c r="B515" s="203" t="s">
        <v>2036</v>
      </c>
      <c r="C515" s="61" t="s">
        <v>10</v>
      </c>
      <c r="D515" s="61" t="s">
        <v>36</v>
      </c>
      <c r="E515" s="209">
        <v>2678000</v>
      </c>
      <c r="F515" s="205">
        <f t="shared" ref="F515:F578" si="16">E515*0.97</f>
        <v>2597660</v>
      </c>
      <c r="G515" s="206">
        <f t="shared" ref="G515:G578" si="17">E515*0.94</f>
        <v>2517320</v>
      </c>
      <c r="H515" s="210">
        <v>799.33</v>
      </c>
      <c r="I515" s="210">
        <v>569.63</v>
      </c>
      <c r="J515" s="210">
        <v>229.7</v>
      </c>
      <c r="K515" s="61" t="s">
        <v>2355</v>
      </c>
    </row>
    <row r="516" spans="1:11">
      <c r="A516" s="202">
        <v>513</v>
      </c>
      <c r="B516" s="203" t="s">
        <v>2037</v>
      </c>
      <c r="C516" s="61" t="s">
        <v>4461</v>
      </c>
      <c r="D516" s="61" t="s">
        <v>36</v>
      </c>
      <c r="E516" s="209">
        <v>2696000</v>
      </c>
      <c r="F516" s="205">
        <f t="shared" si="16"/>
        <v>2615120</v>
      </c>
      <c r="G516" s="206">
        <f t="shared" si="17"/>
        <v>2534240</v>
      </c>
      <c r="H516" s="210">
        <v>710.31</v>
      </c>
      <c r="I516" s="210">
        <v>576.19000000000005</v>
      </c>
      <c r="J516" s="210">
        <v>134.12</v>
      </c>
      <c r="K516" s="61" t="s">
        <v>1544</v>
      </c>
    </row>
    <row r="517" spans="1:11">
      <c r="A517" s="202">
        <v>514</v>
      </c>
      <c r="B517" s="203" t="s">
        <v>2038</v>
      </c>
      <c r="C517" s="61" t="s">
        <v>4461</v>
      </c>
      <c r="D517" s="61" t="s">
        <v>36</v>
      </c>
      <c r="E517" s="209">
        <v>2696000</v>
      </c>
      <c r="F517" s="205">
        <f t="shared" si="16"/>
        <v>2615120</v>
      </c>
      <c r="G517" s="206">
        <f t="shared" si="17"/>
        <v>2534240</v>
      </c>
      <c r="H517" s="210">
        <v>710.2</v>
      </c>
      <c r="I517" s="210">
        <v>576.19000000000005</v>
      </c>
      <c r="J517" s="210">
        <v>134.01</v>
      </c>
      <c r="K517" s="61" t="s">
        <v>1544</v>
      </c>
    </row>
    <row r="518" spans="1:11">
      <c r="A518" s="202">
        <v>515</v>
      </c>
      <c r="B518" s="203" t="s">
        <v>2039</v>
      </c>
      <c r="C518" s="61" t="s">
        <v>4461</v>
      </c>
      <c r="D518" s="61" t="s">
        <v>36</v>
      </c>
      <c r="E518" s="209">
        <v>2696000</v>
      </c>
      <c r="F518" s="205">
        <f t="shared" si="16"/>
        <v>2615120</v>
      </c>
      <c r="G518" s="206">
        <f t="shared" si="17"/>
        <v>2534240</v>
      </c>
      <c r="H518" s="210">
        <v>710.31</v>
      </c>
      <c r="I518" s="210">
        <v>576.19000000000005</v>
      </c>
      <c r="J518" s="210">
        <v>134.12</v>
      </c>
      <c r="K518" s="61" t="s">
        <v>1544</v>
      </c>
    </row>
    <row r="519" spans="1:11">
      <c r="A519" s="202">
        <v>516</v>
      </c>
      <c r="B519" s="203" t="s">
        <v>2040</v>
      </c>
      <c r="C519" s="61" t="s">
        <v>4461</v>
      </c>
      <c r="D519" s="61" t="s">
        <v>36</v>
      </c>
      <c r="E519" s="209">
        <v>2696000</v>
      </c>
      <c r="F519" s="205">
        <f t="shared" si="16"/>
        <v>2615120</v>
      </c>
      <c r="G519" s="206">
        <f t="shared" si="17"/>
        <v>2534240</v>
      </c>
      <c r="H519" s="210">
        <v>710.31</v>
      </c>
      <c r="I519" s="210">
        <v>576.19000000000005</v>
      </c>
      <c r="J519" s="210">
        <v>134.12</v>
      </c>
      <c r="K519" s="61" t="s">
        <v>1544</v>
      </c>
    </row>
    <row r="520" spans="1:11">
      <c r="A520" s="202">
        <v>517</v>
      </c>
      <c r="B520" s="203" t="s">
        <v>2041</v>
      </c>
      <c r="C520" s="61" t="s">
        <v>4461</v>
      </c>
      <c r="D520" s="61" t="s">
        <v>36</v>
      </c>
      <c r="E520" s="209">
        <v>2696000</v>
      </c>
      <c r="F520" s="205">
        <f t="shared" si="16"/>
        <v>2615120</v>
      </c>
      <c r="G520" s="206">
        <f t="shared" si="17"/>
        <v>2534240</v>
      </c>
      <c r="H520" s="210">
        <v>710.31</v>
      </c>
      <c r="I520" s="210">
        <v>576.19000000000005</v>
      </c>
      <c r="J520" s="210">
        <v>134.12</v>
      </c>
      <c r="K520" s="61" t="s">
        <v>1544</v>
      </c>
    </row>
    <row r="521" spans="1:11">
      <c r="A521" s="202">
        <v>518</v>
      </c>
      <c r="B521" s="203" t="s">
        <v>2042</v>
      </c>
      <c r="C521" s="61" t="s">
        <v>4460</v>
      </c>
      <c r="D521" s="61" t="s">
        <v>36</v>
      </c>
      <c r="E521" s="209">
        <v>2694000</v>
      </c>
      <c r="F521" s="205">
        <f t="shared" si="16"/>
        <v>2613180</v>
      </c>
      <c r="G521" s="206">
        <f t="shared" si="17"/>
        <v>2532360</v>
      </c>
      <c r="H521" s="210">
        <v>710.31</v>
      </c>
      <c r="I521" s="210">
        <v>576.19000000000005</v>
      </c>
      <c r="J521" s="210">
        <v>134.12</v>
      </c>
      <c r="K521" s="61" t="s">
        <v>1544</v>
      </c>
    </row>
    <row r="522" spans="1:11">
      <c r="A522" s="202">
        <v>519</v>
      </c>
      <c r="B522" s="203" t="s">
        <v>2043</v>
      </c>
      <c r="C522" s="61" t="s">
        <v>4460</v>
      </c>
      <c r="D522" s="61" t="s">
        <v>36</v>
      </c>
      <c r="E522" s="209">
        <v>2694000</v>
      </c>
      <c r="F522" s="205">
        <f t="shared" si="16"/>
        <v>2613180</v>
      </c>
      <c r="G522" s="206">
        <f t="shared" si="17"/>
        <v>2532360</v>
      </c>
      <c r="H522" s="210">
        <v>710.2</v>
      </c>
      <c r="I522" s="210">
        <v>576.19000000000005</v>
      </c>
      <c r="J522" s="210">
        <v>134.01</v>
      </c>
      <c r="K522" s="61" t="s">
        <v>1544</v>
      </c>
    </row>
    <row r="523" spans="1:11">
      <c r="A523" s="202">
        <v>520</v>
      </c>
      <c r="B523" s="203" t="s">
        <v>2044</v>
      </c>
      <c r="C523" s="61" t="s">
        <v>4460</v>
      </c>
      <c r="D523" s="61" t="s">
        <v>36</v>
      </c>
      <c r="E523" s="209">
        <v>2694000</v>
      </c>
      <c r="F523" s="205">
        <f t="shared" si="16"/>
        <v>2613180</v>
      </c>
      <c r="G523" s="206">
        <f t="shared" si="17"/>
        <v>2532360</v>
      </c>
      <c r="H523" s="210">
        <v>710.31</v>
      </c>
      <c r="I523" s="210">
        <v>576.19000000000005</v>
      </c>
      <c r="J523" s="210">
        <v>134.12</v>
      </c>
      <c r="K523" s="61" t="s">
        <v>1544</v>
      </c>
    </row>
    <row r="524" spans="1:11">
      <c r="A524" s="202">
        <v>521</v>
      </c>
      <c r="B524" s="203" t="s">
        <v>2045</v>
      </c>
      <c r="C524" s="61" t="s">
        <v>4460</v>
      </c>
      <c r="D524" s="61" t="s">
        <v>36</v>
      </c>
      <c r="E524" s="209">
        <v>2694000</v>
      </c>
      <c r="F524" s="205">
        <f t="shared" si="16"/>
        <v>2613180</v>
      </c>
      <c r="G524" s="206">
        <f t="shared" si="17"/>
        <v>2532360</v>
      </c>
      <c r="H524" s="210">
        <v>710.31</v>
      </c>
      <c r="I524" s="210">
        <v>576.19000000000005</v>
      </c>
      <c r="J524" s="210">
        <v>134.12</v>
      </c>
      <c r="K524" s="61" t="s">
        <v>1544</v>
      </c>
    </row>
    <row r="525" spans="1:11">
      <c r="A525" s="202">
        <v>522</v>
      </c>
      <c r="B525" s="203" t="s">
        <v>2046</v>
      </c>
      <c r="C525" s="61" t="s">
        <v>4460</v>
      </c>
      <c r="D525" s="61" t="s">
        <v>36</v>
      </c>
      <c r="E525" s="209">
        <v>2694000</v>
      </c>
      <c r="F525" s="205">
        <f t="shared" si="16"/>
        <v>2613180</v>
      </c>
      <c r="G525" s="206">
        <f t="shared" si="17"/>
        <v>2532360</v>
      </c>
      <c r="H525" s="210">
        <v>710.31</v>
      </c>
      <c r="I525" s="210">
        <v>576.19000000000005</v>
      </c>
      <c r="J525" s="210">
        <v>134.12</v>
      </c>
      <c r="K525" s="61" t="s">
        <v>1544</v>
      </c>
    </row>
    <row r="526" spans="1:11">
      <c r="A526" s="202">
        <v>523</v>
      </c>
      <c r="B526" s="203" t="s">
        <v>2047</v>
      </c>
      <c r="C526" s="61" t="s">
        <v>4460</v>
      </c>
      <c r="D526" s="61" t="s">
        <v>36</v>
      </c>
      <c r="E526" s="209">
        <v>2694000</v>
      </c>
      <c r="F526" s="205">
        <f t="shared" si="16"/>
        <v>2613180</v>
      </c>
      <c r="G526" s="206">
        <f t="shared" si="17"/>
        <v>2532360</v>
      </c>
      <c r="H526" s="210">
        <v>710.31</v>
      </c>
      <c r="I526" s="210">
        <v>576.19000000000005</v>
      </c>
      <c r="J526" s="210">
        <v>134.12</v>
      </c>
      <c r="K526" s="61" t="s">
        <v>1544</v>
      </c>
    </row>
    <row r="527" spans="1:11">
      <c r="A527" s="202">
        <v>524</v>
      </c>
      <c r="B527" s="203" t="s">
        <v>2048</v>
      </c>
      <c r="C527" s="61" t="s">
        <v>4460</v>
      </c>
      <c r="D527" s="61" t="s">
        <v>36</v>
      </c>
      <c r="E527" s="209">
        <v>2694000</v>
      </c>
      <c r="F527" s="205">
        <f t="shared" si="16"/>
        <v>2613180</v>
      </c>
      <c r="G527" s="206">
        <f t="shared" si="17"/>
        <v>2532360</v>
      </c>
      <c r="H527" s="210">
        <v>710.31</v>
      </c>
      <c r="I527" s="210">
        <v>576.19000000000005</v>
      </c>
      <c r="J527" s="210">
        <v>134.12</v>
      </c>
      <c r="K527" s="61" t="s">
        <v>1544</v>
      </c>
    </row>
    <row r="528" spans="1:11">
      <c r="A528" s="202">
        <v>525</v>
      </c>
      <c r="B528" s="203" t="s">
        <v>2049</v>
      </c>
      <c r="C528" s="61" t="s">
        <v>11</v>
      </c>
      <c r="D528" s="61" t="s">
        <v>36</v>
      </c>
      <c r="E528" s="209">
        <v>2691000</v>
      </c>
      <c r="F528" s="205">
        <f t="shared" si="16"/>
        <v>2610270</v>
      </c>
      <c r="G528" s="206">
        <f t="shared" si="17"/>
        <v>2529540</v>
      </c>
      <c r="H528" s="210">
        <v>710.31</v>
      </c>
      <c r="I528" s="210">
        <v>576.19000000000005</v>
      </c>
      <c r="J528" s="210">
        <v>134.12</v>
      </c>
      <c r="K528" s="61" t="s">
        <v>1544</v>
      </c>
    </row>
    <row r="529" spans="1:11">
      <c r="A529" s="202">
        <v>526</v>
      </c>
      <c r="B529" s="203" t="s">
        <v>2050</v>
      </c>
      <c r="C529" s="61" t="s">
        <v>11</v>
      </c>
      <c r="D529" s="61" t="s">
        <v>36</v>
      </c>
      <c r="E529" s="209">
        <v>2691000</v>
      </c>
      <c r="F529" s="205">
        <f t="shared" si="16"/>
        <v>2610270</v>
      </c>
      <c r="G529" s="206">
        <f t="shared" si="17"/>
        <v>2529540</v>
      </c>
      <c r="H529" s="210">
        <v>710.31</v>
      </c>
      <c r="I529" s="210">
        <v>576.19000000000005</v>
      </c>
      <c r="J529" s="210">
        <v>134.12</v>
      </c>
      <c r="K529" s="61" t="s">
        <v>1544</v>
      </c>
    </row>
    <row r="530" spans="1:11">
      <c r="A530" s="202">
        <v>527</v>
      </c>
      <c r="B530" s="203" t="s">
        <v>2051</v>
      </c>
      <c r="C530" s="61" t="s">
        <v>11</v>
      </c>
      <c r="D530" s="61" t="s">
        <v>36</v>
      </c>
      <c r="E530" s="209">
        <v>2691000</v>
      </c>
      <c r="F530" s="205">
        <f t="shared" si="16"/>
        <v>2610270</v>
      </c>
      <c r="G530" s="206">
        <f t="shared" si="17"/>
        <v>2529540</v>
      </c>
      <c r="H530" s="210">
        <v>710.31</v>
      </c>
      <c r="I530" s="210">
        <v>576.19000000000005</v>
      </c>
      <c r="J530" s="210">
        <v>134.12</v>
      </c>
      <c r="K530" s="61" t="s">
        <v>1544</v>
      </c>
    </row>
    <row r="531" spans="1:11">
      <c r="A531" s="202">
        <v>528</v>
      </c>
      <c r="B531" s="203" t="s">
        <v>2052</v>
      </c>
      <c r="C531" s="61" t="s">
        <v>11</v>
      </c>
      <c r="D531" s="61" t="s">
        <v>36</v>
      </c>
      <c r="E531" s="209">
        <v>2691000</v>
      </c>
      <c r="F531" s="205">
        <f t="shared" si="16"/>
        <v>2610270</v>
      </c>
      <c r="G531" s="206">
        <f t="shared" si="17"/>
        <v>2529540</v>
      </c>
      <c r="H531" s="210">
        <v>710.31</v>
      </c>
      <c r="I531" s="210">
        <v>576.19000000000005</v>
      </c>
      <c r="J531" s="210">
        <v>134.12</v>
      </c>
      <c r="K531" s="61" t="s">
        <v>1544</v>
      </c>
    </row>
    <row r="532" spans="1:11">
      <c r="A532" s="202">
        <v>529</v>
      </c>
      <c r="B532" s="203" t="s">
        <v>2053</v>
      </c>
      <c r="C532" s="61" t="s">
        <v>11</v>
      </c>
      <c r="D532" s="61" t="s">
        <v>36</v>
      </c>
      <c r="E532" s="209">
        <v>2691000</v>
      </c>
      <c r="F532" s="205">
        <f t="shared" si="16"/>
        <v>2610270</v>
      </c>
      <c r="G532" s="206">
        <f t="shared" si="17"/>
        <v>2529540</v>
      </c>
      <c r="H532" s="210">
        <v>710.31</v>
      </c>
      <c r="I532" s="210">
        <v>576.19000000000005</v>
      </c>
      <c r="J532" s="210">
        <v>134.12</v>
      </c>
      <c r="K532" s="61" t="s">
        <v>1544</v>
      </c>
    </row>
    <row r="533" spans="1:11">
      <c r="A533" s="202">
        <v>530</v>
      </c>
      <c r="B533" s="203" t="s">
        <v>2054</v>
      </c>
      <c r="C533" s="61" t="s">
        <v>11</v>
      </c>
      <c r="D533" s="61" t="s">
        <v>36</v>
      </c>
      <c r="E533" s="209">
        <v>2691000</v>
      </c>
      <c r="F533" s="205">
        <f t="shared" si="16"/>
        <v>2610270</v>
      </c>
      <c r="G533" s="206">
        <f t="shared" si="17"/>
        <v>2529540</v>
      </c>
      <c r="H533" s="210">
        <v>710.31</v>
      </c>
      <c r="I533" s="210">
        <v>576.19000000000005</v>
      </c>
      <c r="J533" s="210">
        <v>134.12</v>
      </c>
      <c r="K533" s="61" t="s">
        <v>1544</v>
      </c>
    </row>
    <row r="534" spans="1:11">
      <c r="A534" s="202">
        <v>531</v>
      </c>
      <c r="B534" s="203" t="s">
        <v>2055</v>
      </c>
      <c r="C534" s="61" t="s">
        <v>5</v>
      </c>
      <c r="D534" s="61" t="s">
        <v>36</v>
      </c>
      <c r="E534" s="209">
        <v>2684000</v>
      </c>
      <c r="F534" s="205">
        <f t="shared" si="16"/>
        <v>2603480</v>
      </c>
      <c r="G534" s="206">
        <f t="shared" si="17"/>
        <v>2522960</v>
      </c>
      <c r="H534" s="210">
        <v>799.33</v>
      </c>
      <c r="I534" s="210">
        <v>569.63</v>
      </c>
      <c r="J534" s="210">
        <v>229.7</v>
      </c>
      <c r="K534" s="61" t="s">
        <v>2354</v>
      </c>
    </row>
    <row r="535" spans="1:11">
      <c r="A535" s="202">
        <v>532</v>
      </c>
      <c r="B535" s="203" t="s">
        <v>2056</v>
      </c>
      <c r="C535" s="61" t="s">
        <v>11</v>
      </c>
      <c r="D535" s="61" t="s">
        <v>36</v>
      </c>
      <c r="E535" s="209">
        <v>2691000</v>
      </c>
      <c r="F535" s="205">
        <f t="shared" si="16"/>
        <v>2610270</v>
      </c>
      <c r="G535" s="206">
        <f t="shared" si="17"/>
        <v>2529540</v>
      </c>
      <c r="H535" s="210">
        <v>710.2</v>
      </c>
      <c r="I535" s="210">
        <v>576.19000000000005</v>
      </c>
      <c r="J535" s="210">
        <v>134.01</v>
      </c>
      <c r="K535" s="61" t="s">
        <v>1544</v>
      </c>
    </row>
    <row r="536" spans="1:11">
      <c r="A536" s="202">
        <v>533</v>
      </c>
      <c r="B536" s="203" t="s">
        <v>2057</v>
      </c>
      <c r="C536" s="61" t="s">
        <v>3</v>
      </c>
      <c r="D536" s="61" t="s">
        <v>36</v>
      </c>
      <c r="E536" s="209">
        <v>2674000</v>
      </c>
      <c r="F536" s="205">
        <f t="shared" si="16"/>
        <v>2593780</v>
      </c>
      <c r="G536" s="206">
        <f t="shared" si="17"/>
        <v>2513560</v>
      </c>
      <c r="H536" s="210">
        <v>743.79</v>
      </c>
      <c r="I536" s="210">
        <v>576.19000000000005</v>
      </c>
      <c r="J536" s="210">
        <v>167.59</v>
      </c>
      <c r="K536" s="61" t="s">
        <v>1544</v>
      </c>
    </row>
    <row r="537" spans="1:11">
      <c r="A537" s="202">
        <v>534</v>
      </c>
      <c r="B537" s="203" t="s">
        <v>2058</v>
      </c>
      <c r="C537" s="61" t="s">
        <v>3</v>
      </c>
      <c r="D537" s="61" t="s">
        <v>36</v>
      </c>
      <c r="E537" s="209">
        <v>2674000</v>
      </c>
      <c r="F537" s="205">
        <f t="shared" si="16"/>
        <v>2593780</v>
      </c>
      <c r="G537" s="206">
        <f t="shared" si="17"/>
        <v>2513560</v>
      </c>
      <c r="H537" s="210">
        <v>743.79</v>
      </c>
      <c r="I537" s="210">
        <v>576.19000000000005</v>
      </c>
      <c r="J537" s="210">
        <v>167.59</v>
      </c>
      <c r="K537" s="61" t="s">
        <v>1544</v>
      </c>
    </row>
    <row r="538" spans="1:11">
      <c r="A538" s="202">
        <v>535</v>
      </c>
      <c r="B538" s="203" t="s">
        <v>2059</v>
      </c>
      <c r="C538" s="61" t="s">
        <v>3</v>
      </c>
      <c r="D538" s="61" t="s">
        <v>36</v>
      </c>
      <c r="E538" s="209">
        <v>2674000</v>
      </c>
      <c r="F538" s="205">
        <f t="shared" si="16"/>
        <v>2593780</v>
      </c>
      <c r="G538" s="206">
        <f t="shared" si="17"/>
        <v>2513560</v>
      </c>
      <c r="H538" s="210">
        <v>743.79</v>
      </c>
      <c r="I538" s="210">
        <v>576.19000000000005</v>
      </c>
      <c r="J538" s="210">
        <v>167.59</v>
      </c>
      <c r="K538" s="61" t="s">
        <v>1544</v>
      </c>
    </row>
    <row r="539" spans="1:11">
      <c r="A539" s="202">
        <v>536</v>
      </c>
      <c r="B539" s="203" t="s">
        <v>2060</v>
      </c>
      <c r="C539" s="61" t="s">
        <v>3</v>
      </c>
      <c r="D539" s="61" t="s">
        <v>36</v>
      </c>
      <c r="E539" s="209">
        <v>2674000</v>
      </c>
      <c r="F539" s="205">
        <f t="shared" si="16"/>
        <v>2593780</v>
      </c>
      <c r="G539" s="206">
        <f t="shared" si="17"/>
        <v>2513560</v>
      </c>
      <c r="H539" s="210">
        <v>743.79</v>
      </c>
      <c r="I539" s="210">
        <v>576.19000000000005</v>
      </c>
      <c r="J539" s="210">
        <v>167.59</v>
      </c>
      <c r="K539" s="61" t="s">
        <v>1544</v>
      </c>
    </row>
    <row r="540" spans="1:11">
      <c r="A540" s="202">
        <v>537</v>
      </c>
      <c r="B540" s="203" t="s">
        <v>2061</v>
      </c>
      <c r="C540" s="61" t="s">
        <v>3</v>
      </c>
      <c r="D540" s="61" t="s">
        <v>36</v>
      </c>
      <c r="E540" s="209">
        <v>2674000</v>
      </c>
      <c r="F540" s="205">
        <f t="shared" si="16"/>
        <v>2593780</v>
      </c>
      <c r="G540" s="206">
        <f t="shared" si="17"/>
        <v>2513560</v>
      </c>
      <c r="H540" s="210">
        <v>743.68</v>
      </c>
      <c r="I540" s="210">
        <v>576.19000000000005</v>
      </c>
      <c r="J540" s="210">
        <v>167.49</v>
      </c>
      <c r="K540" s="61" t="s">
        <v>1544</v>
      </c>
    </row>
    <row r="541" spans="1:11">
      <c r="A541" s="202">
        <v>538</v>
      </c>
      <c r="B541" s="203" t="s">
        <v>2062</v>
      </c>
      <c r="C541" s="61" t="s">
        <v>3</v>
      </c>
      <c r="D541" s="61" t="s">
        <v>36</v>
      </c>
      <c r="E541" s="209">
        <v>2674000</v>
      </c>
      <c r="F541" s="205">
        <f t="shared" si="16"/>
        <v>2593780</v>
      </c>
      <c r="G541" s="206">
        <f t="shared" si="17"/>
        <v>2513560</v>
      </c>
      <c r="H541" s="210">
        <v>743.79</v>
      </c>
      <c r="I541" s="210">
        <v>576.19000000000005</v>
      </c>
      <c r="J541" s="210">
        <v>167.59</v>
      </c>
      <c r="K541" s="61" t="s">
        <v>1544</v>
      </c>
    </row>
    <row r="542" spans="1:11">
      <c r="A542" s="202">
        <v>539</v>
      </c>
      <c r="B542" s="203" t="s">
        <v>2063</v>
      </c>
      <c r="C542" s="61" t="s">
        <v>4</v>
      </c>
      <c r="D542" s="61" t="s">
        <v>36</v>
      </c>
      <c r="E542" s="209">
        <v>2681000</v>
      </c>
      <c r="F542" s="205">
        <f t="shared" si="16"/>
        <v>2600570</v>
      </c>
      <c r="G542" s="206">
        <f t="shared" si="17"/>
        <v>2520140</v>
      </c>
      <c r="H542" s="210">
        <v>799.33</v>
      </c>
      <c r="I542" s="210">
        <v>569.63</v>
      </c>
      <c r="J542" s="210">
        <v>229.7</v>
      </c>
      <c r="K542" s="61" t="s">
        <v>2354</v>
      </c>
    </row>
    <row r="543" spans="1:11">
      <c r="A543" s="202">
        <v>540</v>
      </c>
      <c r="B543" s="203" t="s">
        <v>2064</v>
      </c>
      <c r="C543" s="61" t="s">
        <v>4458</v>
      </c>
      <c r="D543" s="61" t="s">
        <v>36</v>
      </c>
      <c r="E543" s="209">
        <v>2678000</v>
      </c>
      <c r="F543" s="205">
        <f t="shared" si="16"/>
        <v>2597660</v>
      </c>
      <c r="G543" s="206">
        <f t="shared" si="17"/>
        <v>2517320</v>
      </c>
      <c r="H543" s="210">
        <v>799.33</v>
      </c>
      <c r="I543" s="210">
        <v>569.63</v>
      </c>
      <c r="J543" s="210">
        <v>229.7</v>
      </c>
      <c r="K543" s="61" t="s">
        <v>2354</v>
      </c>
    </row>
    <row r="544" spans="1:11">
      <c r="A544" s="202">
        <v>541</v>
      </c>
      <c r="B544" s="203" t="s">
        <v>2065</v>
      </c>
      <c r="C544" s="61" t="s">
        <v>5</v>
      </c>
      <c r="D544" s="61" t="s">
        <v>36</v>
      </c>
      <c r="E544" s="209">
        <v>2681000</v>
      </c>
      <c r="F544" s="205">
        <f t="shared" si="16"/>
        <v>2600570</v>
      </c>
      <c r="G544" s="206">
        <f t="shared" si="17"/>
        <v>2520140</v>
      </c>
      <c r="H544" s="210">
        <v>710.31</v>
      </c>
      <c r="I544" s="210">
        <v>576.19000000000005</v>
      </c>
      <c r="J544" s="210">
        <v>134.12</v>
      </c>
      <c r="K544" s="61" t="s">
        <v>1544</v>
      </c>
    </row>
    <row r="545" spans="1:11">
      <c r="A545" s="202">
        <v>542</v>
      </c>
      <c r="B545" s="203" t="s">
        <v>2066</v>
      </c>
      <c r="C545" s="61" t="s">
        <v>5</v>
      </c>
      <c r="D545" s="61" t="s">
        <v>36</v>
      </c>
      <c r="E545" s="209">
        <v>2681000</v>
      </c>
      <c r="F545" s="205">
        <f t="shared" si="16"/>
        <v>2600570</v>
      </c>
      <c r="G545" s="206">
        <f t="shared" si="17"/>
        <v>2520140</v>
      </c>
      <c r="H545" s="210">
        <v>710.31</v>
      </c>
      <c r="I545" s="210">
        <v>576.19000000000005</v>
      </c>
      <c r="J545" s="210">
        <v>134.12</v>
      </c>
      <c r="K545" s="61" t="s">
        <v>1544</v>
      </c>
    </row>
    <row r="546" spans="1:11">
      <c r="A546" s="202">
        <v>543</v>
      </c>
      <c r="B546" s="203" t="s">
        <v>2067</v>
      </c>
      <c r="C546" s="61" t="s">
        <v>5</v>
      </c>
      <c r="D546" s="61" t="s">
        <v>36</v>
      </c>
      <c r="E546" s="209">
        <v>2681000</v>
      </c>
      <c r="F546" s="205">
        <f t="shared" si="16"/>
        <v>2600570</v>
      </c>
      <c r="G546" s="206">
        <f t="shared" si="17"/>
        <v>2520140</v>
      </c>
      <c r="H546" s="210">
        <v>710.31</v>
      </c>
      <c r="I546" s="210">
        <v>576.19000000000005</v>
      </c>
      <c r="J546" s="210">
        <v>134.12</v>
      </c>
      <c r="K546" s="61" t="s">
        <v>1544</v>
      </c>
    </row>
    <row r="547" spans="1:11">
      <c r="A547" s="202">
        <v>544</v>
      </c>
      <c r="B547" s="203" t="s">
        <v>2068</v>
      </c>
      <c r="C547" s="61" t="s">
        <v>5</v>
      </c>
      <c r="D547" s="61" t="s">
        <v>36</v>
      </c>
      <c r="E547" s="209">
        <v>2681000</v>
      </c>
      <c r="F547" s="205">
        <f t="shared" si="16"/>
        <v>2600570</v>
      </c>
      <c r="G547" s="206">
        <f t="shared" si="17"/>
        <v>2520140</v>
      </c>
      <c r="H547" s="210">
        <v>710.31</v>
      </c>
      <c r="I547" s="210">
        <v>576.19000000000005</v>
      </c>
      <c r="J547" s="210">
        <v>134.12</v>
      </c>
      <c r="K547" s="61" t="s">
        <v>1544</v>
      </c>
    </row>
    <row r="548" spans="1:11">
      <c r="A548" s="202">
        <v>545</v>
      </c>
      <c r="B548" s="203" t="s">
        <v>2069</v>
      </c>
      <c r="C548" s="61" t="s">
        <v>5</v>
      </c>
      <c r="D548" s="61" t="s">
        <v>36</v>
      </c>
      <c r="E548" s="209">
        <v>2681000</v>
      </c>
      <c r="F548" s="205">
        <f t="shared" si="16"/>
        <v>2600570</v>
      </c>
      <c r="G548" s="206">
        <f t="shared" si="17"/>
        <v>2520140</v>
      </c>
      <c r="H548" s="210">
        <v>710.31</v>
      </c>
      <c r="I548" s="210">
        <v>576.19000000000005</v>
      </c>
      <c r="J548" s="210">
        <v>134.12</v>
      </c>
      <c r="K548" s="61" t="s">
        <v>1544</v>
      </c>
    </row>
    <row r="549" spans="1:11">
      <c r="A549" s="202">
        <v>546</v>
      </c>
      <c r="B549" s="203" t="s">
        <v>2070</v>
      </c>
      <c r="C549" s="61" t="s">
        <v>5</v>
      </c>
      <c r="D549" s="61" t="s">
        <v>36</v>
      </c>
      <c r="E549" s="209">
        <v>2681000</v>
      </c>
      <c r="F549" s="205">
        <f t="shared" si="16"/>
        <v>2600570</v>
      </c>
      <c r="G549" s="206">
        <f t="shared" si="17"/>
        <v>2520140</v>
      </c>
      <c r="H549" s="210">
        <v>710.31</v>
      </c>
      <c r="I549" s="210">
        <v>576.19000000000005</v>
      </c>
      <c r="J549" s="210">
        <v>134.12</v>
      </c>
      <c r="K549" s="61" t="s">
        <v>1544</v>
      </c>
    </row>
    <row r="550" spans="1:11">
      <c r="A550" s="202">
        <v>547</v>
      </c>
      <c r="B550" s="203" t="s">
        <v>2071</v>
      </c>
      <c r="C550" s="61" t="s">
        <v>5</v>
      </c>
      <c r="D550" s="61" t="s">
        <v>36</v>
      </c>
      <c r="E550" s="209">
        <v>2681000</v>
      </c>
      <c r="F550" s="205">
        <f t="shared" si="16"/>
        <v>2600570</v>
      </c>
      <c r="G550" s="206">
        <f t="shared" si="17"/>
        <v>2520140</v>
      </c>
      <c r="H550" s="210">
        <v>710.31</v>
      </c>
      <c r="I550" s="210">
        <v>576.19000000000005</v>
      </c>
      <c r="J550" s="210">
        <v>134.12</v>
      </c>
      <c r="K550" s="61" t="s">
        <v>1544</v>
      </c>
    </row>
    <row r="551" spans="1:11">
      <c r="A551" s="202">
        <v>548</v>
      </c>
      <c r="B551" s="203" t="s">
        <v>2072</v>
      </c>
      <c r="C551" s="61" t="s">
        <v>5</v>
      </c>
      <c r="D551" s="61" t="s">
        <v>36</v>
      </c>
      <c r="E551" s="209">
        <v>2681000</v>
      </c>
      <c r="F551" s="205">
        <f t="shared" si="16"/>
        <v>2600570</v>
      </c>
      <c r="G551" s="206">
        <f t="shared" si="17"/>
        <v>2520140</v>
      </c>
      <c r="H551" s="210">
        <v>710.2</v>
      </c>
      <c r="I551" s="210">
        <v>576.19000000000005</v>
      </c>
      <c r="J551" s="210">
        <v>134.01</v>
      </c>
      <c r="K551" s="61" t="s">
        <v>1544</v>
      </c>
    </row>
    <row r="552" spans="1:11">
      <c r="A552" s="202">
        <v>549</v>
      </c>
      <c r="B552" s="203" t="s">
        <v>2073</v>
      </c>
      <c r="C552" s="61" t="s">
        <v>5</v>
      </c>
      <c r="D552" s="61" t="s">
        <v>36</v>
      </c>
      <c r="E552" s="209">
        <v>2681000</v>
      </c>
      <c r="F552" s="205">
        <f t="shared" si="16"/>
        <v>2600570</v>
      </c>
      <c r="G552" s="206">
        <f t="shared" si="17"/>
        <v>2520140</v>
      </c>
      <c r="H552" s="210">
        <v>710.31</v>
      </c>
      <c r="I552" s="210">
        <v>576.19000000000005</v>
      </c>
      <c r="J552" s="210">
        <v>134.12</v>
      </c>
      <c r="K552" s="61" t="s">
        <v>1544</v>
      </c>
    </row>
    <row r="553" spans="1:11">
      <c r="A553" s="202">
        <v>550</v>
      </c>
      <c r="B553" s="203" t="s">
        <v>2074</v>
      </c>
      <c r="C553" s="61" t="s">
        <v>4</v>
      </c>
      <c r="D553" s="61" t="s">
        <v>36</v>
      </c>
      <c r="E553" s="209">
        <v>2678000</v>
      </c>
      <c r="F553" s="205">
        <f t="shared" si="16"/>
        <v>2597660</v>
      </c>
      <c r="G553" s="206">
        <f t="shared" si="17"/>
        <v>2517320</v>
      </c>
      <c r="H553" s="210">
        <v>710.31</v>
      </c>
      <c r="I553" s="210">
        <v>576.19000000000005</v>
      </c>
      <c r="J553" s="210">
        <v>134.12</v>
      </c>
      <c r="K553" s="61" t="s">
        <v>1544</v>
      </c>
    </row>
    <row r="554" spans="1:11">
      <c r="A554" s="202">
        <v>551</v>
      </c>
      <c r="B554" s="203" t="s">
        <v>2075</v>
      </c>
      <c r="C554" s="61" t="s">
        <v>4</v>
      </c>
      <c r="D554" s="61" t="s">
        <v>36</v>
      </c>
      <c r="E554" s="209">
        <v>2678000</v>
      </c>
      <c r="F554" s="205">
        <f t="shared" si="16"/>
        <v>2597660</v>
      </c>
      <c r="G554" s="206">
        <f t="shared" si="17"/>
        <v>2517320</v>
      </c>
      <c r="H554" s="210">
        <v>710.31</v>
      </c>
      <c r="I554" s="210">
        <v>576.19000000000005</v>
      </c>
      <c r="J554" s="210">
        <v>134.12</v>
      </c>
      <c r="K554" s="61" t="s">
        <v>1544</v>
      </c>
    </row>
    <row r="555" spans="1:11">
      <c r="A555" s="202">
        <v>552</v>
      </c>
      <c r="B555" s="203" t="s">
        <v>2076</v>
      </c>
      <c r="C555" s="61" t="s">
        <v>4</v>
      </c>
      <c r="D555" s="61" t="s">
        <v>36</v>
      </c>
      <c r="E555" s="209">
        <v>2678000</v>
      </c>
      <c r="F555" s="205">
        <f t="shared" si="16"/>
        <v>2597660</v>
      </c>
      <c r="G555" s="206">
        <f t="shared" si="17"/>
        <v>2517320</v>
      </c>
      <c r="H555" s="210">
        <v>710.31</v>
      </c>
      <c r="I555" s="210">
        <v>576.19000000000005</v>
      </c>
      <c r="J555" s="210">
        <v>134.12</v>
      </c>
      <c r="K555" s="61" t="s">
        <v>1544</v>
      </c>
    </row>
    <row r="556" spans="1:11">
      <c r="A556" s="202">
        <v>553</v>
      </c>
      <c r="B556" s="203" t="s">
        <v>2077</v>
      </c>
      <c r="C556" s="61" t="s">
        <v>4</v>
      </c>
      <c r="D556" s="61" t="s">
        <v>36</v>
      </c>
      <c r="E556" s="209">
        <v>2678000</v>
      </c>
      <c r="F556" s="205">
        <f t="shared" si="16"/>
        <v>2597660</v>
      </c>
      <c r="G556" s="206">
        <f t="shared" si="17"/>
        <v>2517320</v>
      </c>
      <c r="H556" s="210">
        <v>710.2</v>
      </c>
      <c r="I556" s="210">
        <v>576.19000000000005</v>
      </c>
      <c r="J556" s="210">
        <v>134.01</v>
      </c>
      <c r="K556" s="61" t="s">
        <v>1544</v>
      </c>
    </row>
    <row r="557" spans="1:11">
      <c r="A557" s="202">
        <v>554</v>
      </c>
      <c r="B557" s="203" t="s">
        <v>2078</v>
      </c>
      <c r="C557" s="61" t="s">
        <v>4</v>
      </c>
      <c r="D557" s="61" t="s">
        <v>36</v>
      </c>
      <c r="E557" s="209">
        <v>2678000</v>
      </c>
      <c r="F557" s="205">
        <f t="shared" si="16"/>
        <v>2597660</v>
      </c>
      <c r="G557" s="206">
        <f t="shared" si="17"/>
        <v>2517320</v>
      </c>
      <c r="H557" s="210">
        <v>710.31</v>
      </c>
      <c r="I557" s="210">
        <v>576.19000000000005</v>
      </c>
      <c r="J557" s="210">
        <v>134.12</v>
      </c>
      <c r="K557" s="61" t="s">
        <v>1544</v>
      </c>
    </row>
    <row r="558" spans="1:11">
      <c r="A558" s="202">
        <v>555</v>
      </c>
      <c r="B558" s="203" t="s">
        <v>2079</v>
      </c>
      <c r="C558" s="61" t="s">
        <v>4</v>
      </c>
      <c r="D558" s="61" t="s">
        <v>36</v>
      </c>
      <c r="E558" s="209">
        <v>2678000</v>
      </c>
      <c r="F558" s="205">
        <f t="shared" si="16"/>
        <v>2597660</v>
      </c>
      <c r="G558" s="206">
        <f t="shared" si="17"/>
        <v>2517320</v>
      </c>
      <c r="H558" s="210">
        <v>710.31</v>
      </c>
      <c r="I558" s="210">
        <v>576.19000000000005</v>
      </c>
      <c r="J558" s="210">
        <v>134.12</v>
      </c>
      <c r="K558" s="61" t="s">
        <v>1544</v>
      </c>
    </row>
    <row r="559" spans="1:11">
      <c r="A559" s="202">
        <v>556</v>
      </c>
      <c r="B559" s="203" t="s">
        <v>2080</v>
      </c>
      <c r="C559" s="61" t="s">
        <v>4</v>
      </c>
      <c r="D559" s="61" t="s">
        <v>36</v>
      </c>
      <c r="E559" s="209">
        <v>2678000</v>
      </c>
      <c r="F559" s="205">
        <f t="shared" si="16"/>
        <v>2597660</v>
      </c>
      <c r="G559" s="206">
        <f t="shared" si="17"/>
        <v>2517320</v>
      </c>
      <c r="H559" s="210">
        <v>710.31</v>
      </c>
      <c r="I559" s="210">
        <v>576.19000000000005</v>
      </c>
      <c r="J559" s="210">
        <v>134.12</v>
      </c>
      <c r="K559" s="61" t="s">
        <v>1544</v>
      </c>
    </row>
    <row r="560" spans="1:11">
      <c r="A560" s="202">
        <v>557</v>
      </c>
      <c r="B560" s="203" t="s">
        <v>2081</v>
      </c>
      <c r="C560" s="61" t="s">
        <v>4</v>
      </c>
      <c r="D560" s="61" t="s">
        <v>36</v>
      </c>
      <c r="E560" s="209">
        <v>2678000</v>
      </c>
      <c r="F560" s="205">
        <f t="shared" si="16"/>
        <v>2597660</v>
      </c>
      <c r="G560" s="206">
        <f t="shared" si="17"/>
        <v>2517320</v>
      </c>
      <c r="H560" s="210">
        <v>710.31</v>
      </c>
      <c r="I560" s="210">
        <v>576.19000000000005</v>
      </c>
      <c r="J560" s="210">
        <v>134.12</v>
      </c>
      <c r="K560" s="61" t="s">
        <v>1544</v>
      </c>
    </row>
    <row r="561" spans="1:11">
      <c r="A561" s="202">
        <v>558</v>
      </c>
      <c r="B561" s="203" t="s">
        <v>2082</v>
      </c>
      <c r="C561" s="61" t="s">
        <v>4458</v>
      </c>
      <c r="D561" s="61" t="s">
        <v>36</v>
      </c>
      <c r="E561" s="209">
        <v>2676000</v>
      </c>
      <c r="F561" s="205">
        <f t="shared" si="16"/>
        <v>2595720</v>
      </c>
      <c r="G561" s="206">
        <f t="shared" si="17"/>
        <v>2515440</v>
      </c>
      <c r="H561" s="210">
        <v>710.31</v>
      </c>
      <c r="I561" s="210">
        <v>576.19000000000005</v>
      </c>
      <c r="J561" s="210">
        <v>134.12</v>
      </c>
      <c r="K561" s="61" t="s">
        <v>1544</v>
      </c>
    </row>
    <row r="562" spans="1:11">
      <c r="A562" s="202">
        <v>559</v>
      </c>
      <c r="B562" s="203" t="s">
        <v>2083</v>
      </c>
      <c r="C562" s="61" t="s">
        <v>4458</v>
      </c>
      <c r="D562" s="61" t="s">
        <v>36</v>
      </c>
      <c r="E562" s="209">
        <v>2676000</v>
      </c>
      <c r="F562" s="205">
        <f t="shared" si="16"/>
        <v>2595720</v>
      </c>
      <c r="G562" s="206">
        <f t="shared" si="17"/>
        <v>2515440</v>
      </c>
      <c r="H562" s="210">
        <v>710.31</v>
      </c>
      <c r="I562" s="210">
        <v>576.19000000000005</v>
      </c>
      <c r="J562" s="210">
        <v>134.12</v>
      </c>
      <c r="K562" s="61" t="s">
        <v>1544</v>
      </c>
    </row>
    <row r="563" spans="1:11">
      <c r="A563" s="202">
        <v>560</v>
      </c>
      <c r="B563" s="203" t="s">
        <v>2084</v>
      </c>
      <c r="C563" s="61" t="s">
        <v>4458</v>
      </c>
      <c r="D563" s="61" t="s">
        <v>36</v>
      </c>
      <c r="E563" s="209">
        <v>2676000</v>
      </c>
      <c r="F563" s="205">
        <f t="shared" si="16"/>
        <v>2595720</v>
      </c>
      <c r="G563" s="206">
        <f t="shared" si="17"/>
        <v>2515440</v>
      </c>
      <c r="H563" s="210">
        <v>710.31</v>
      </c>
      <c r="I563" s="210">
        <v>576.19000000000005</v>
      </c>
      <c r="J563" s="210">
        <v>134.12</v>
      </c>
      <c r="K563" s="61" t="s">
        <v>1544</v>
      </c>
    </row>
    <row r="564" spans="1:11">
      <c r="A564" s="202">
        <v>561</v>
      </c>
      <c r="B564" s="203" t="s">
        <v>2085</v>
      </c>
      <c r="C564" s="61" t="s">
        <v>4458</v>
      </c>
      <c r="D564" s="61" t="s">
        <v>36</v>
      </c>
      <c r="E564" s="209">
        <v>2676000</v>
      </c>
      <c r="F564" s="205">
        <f t="shared" si="16"/>
        <v>2595720</v>
      </c>
      <c r="G564" s="206">
        <f t="shared" si="17"/>
        <v>2515440</v>
      </c>
      <c r="H564" s="210">
        <v>710.31</v>
      </c>
      <c r="I564" s="210">
        <v>576.19000000000005</v>
      </c>
      <c r="J564" s="210">
        <v>134.12</v>
      </c>
      <c r="K564" s="61" t="s">
        <v>1544</v>
      </c>
    </row>
    <row r="565" spans="1:11">
      <c r="A565" s="202">
        <v>562</v>
      </c>
      <c r="B565" s="203" t="s">
        <v>2086</v>
      </c>
      <c r="C565" s="61" t="s">
        <v>4458</v>
      </c>
      <c r="D565" s="61" t="s">
        <v>36</v>
      </c>
      <c r="E565" s="209">
        <v>2675000</v>
      </c>
      <c r="F565" s="205">
        <f t="shared" si="16"/>
        <v>2594750</v>
      </c>
      <c r="G565" s="206">
        <f t="shared" si="17"/>
        <v>2514500</v>
      </c>
      <c r="H565" s="210">
        <v>710.2</v>
      </c>
      <c r="I565" s="210">
        <v>576.19000000000005</v>
      </c>
      <c r="J565" s="210">
        <v>134.01</v>
      </c>
      <c r="K565" s="61" t="s">
        <v>1544</v>
      </c>
    </row>
    <row r="566" spans="1:11">
      <c r="A566" s="202">
        <v>563</v>
      </c>
      <c r="B566" s="203" t="s">
        <v>2087</v>
      </c>
      <c r="C566" s="61" t="s">
        <v>4458</v>
      </c>
      <c r="D566" s="61" t="s">
        <v>36</v>
      </c>
      <c r="E566" s="209">
        <v>2676000</v>
      </c>
      <c r="F566" s="205">
        <f t="shared" si="16"/>
        <v>2595720</v>
      </c>
      <c r="G566" s="206">
        <f t="shared" si="17"/>
        <v>2515440</v>
      </c>
      <c r="H566" s="210">
        <v>710.31</v>
      </c>
      <c r="I566" s="210">
        <v>576.19000000000005</v>
      </c>
      <c r="J566" s="210">
        <v>134.12</v>
      </c>
      <c r="K566" s="61" t="s">
        <v>1544</v>
      </c>
    </row>
    <row r="567" spans="1:11">
      <c r="A567" s="202">
        <v>564</v>
      </c>
      <c r="B567" s="203" t="s">
        <v>2088</v>
      </c>
      <c r="C567" s="61" t="s">
        <v>4458</v>
      </c>
      <c r="D567" s="61" t="s">
        <v>36</v>
      </c>
      <c r="E567" s="209">
        <v>2676000</v>
      </c>
      <c r="F567" s="205">
        <f t="shared" si="16"/>
        <v>2595720</v>
      </c>
      <c r="G567" s="206">
        <f t="shared" si="17"/>
        <v>2515440</v>
      </c>
      <c r="H567" s="210">
        <v>710.31</v>
      </c>
      <c r="I567" s="210">
        <v>576.19000000000005</v>
      </c>
      <c r="J567" s="210">
        <v>134.12</v>
      </c>
      <c r="K567" s="61" t="s">
        <v>1544</v>
      </c>
    </row>
    <row r="568" spans="1:11">
      <c r="A568" s="202">
        <v>565</v>
      </c>
      <c r="B568" s="203" t="s">
        <v>2089</v>
      </c>
      <c r="C568" s="61" t="s">
        <v>4458</v>
      </c>
      <c r="D568" s="61" t="s">
        <v>36</v>
      </c>
      <c r="E568" s="209">
        <v>2676000</v>
      </c>
      <c r="F568" s="205">
        <f t="shared" si="16"/>
        <v>2595720</v>
      </c>
      <c r="G568" s="206">
        <f t="shared" si="17"/>
        <v>2515440</v>
      </c>
      <c r="H568" s="210">
        <v>710.31</v>
      </c>
      <c r="I568" s="210">
        <v>576.19000000000005</v>
      </c>
      <c r="J568" s="210">
        <v>134.12</v>
      </c>
      <c r="K568" s="61" t="s">
        <v>1544</v>
      </c>
    </row>
    <row r="569" spans="1:11">
      <c r="A569" s="202">
        <v>566</v>
      </c>
      <c r="B569" s="203" t="s">
        <v>2090</v>
      </c>
      <c r="C569" s="61" t="s">
        <v>4458</v>
      </c>
      <c r="D569" s="61" t="s">
        <v>36</v>
      </c>
      <c r="E569" s="209">
        <v>2676000</v>
      </c>
      <c r="F569" s="205">
        <f t="shared" si="16"/>
        <v>2595720</v>
      </c>
      <c r="G569" s="206">
        <f t="shared" si="17"/>
        <v>2515440</v>
      </c>
      <c r="H569" s="210">
        <v>710.31</v>
      </c>
      <c r="I569" s="210">
        <v>576.19000000000005</v>
      </c>
      <c r="J569" s="210">
        <v>134.12</v>
      </c>
      <c r="K569" s="61" t="s">
        <v>1544</v>
      </c>
    </row>
    <row r="570" spans="1:11">
      <c r="A570" s="202">
        <v>567</v>
      </c>
      <c r="B570" s="203" t="s">
        <v>2091</v>
      </c>
      <c r="C570" s="61" t="s">
        <v>4458</v>
      </c>
      <c r="D570" s="61" t="s">
        <v>36</v>
      </c>
      <c r="E570" s="209">
        <v>2676000</v>
      </c>
      <c r="F570" s="205">
        <f t="shared" si="16"/>
        <v>2595720</v>
      </c>
      <c r="G570" s="206">
        <f t="shared" si="17"/>
        <v>2515440</v>
      </c>
      <c r="H570" s="210">
        <v>710.31</v>
      </c>
      <c r="I570" s="210">
        <v>576.19000000000005</v>
      </c>
      <c r="J570" s="210">
        <v>134.12</v>
      </c>
      <c r="K570" s="61" t="s">
        <v>1544</v>
      </c>
    </row>
    <row r="571" spans="1:11">
      <c r="A571" s="202">
        <v>568</v>
      </c>
      <c r="B571" s="203" t="s">
        <v>2092</v>
      </c>
      <c r="C571" s="61" t="s">
        <v>6</v>
      </c>
      <c r="D571" s="61" t="s">
        <v>36</v>
      </c>
      <c r="E571" s="209">
        <v>2673000</v>
      </c>
      <c r="F571" s="205">
        <f t="shared" si="16"/>
        <v>2592810</v>
      </c>
      <c r="G571" s="206">
        <f t="shared" si="17"/>
        <v>2512620</v>
      </c>
      <c r="H571" s="210">
        <v>710.31</v>
      </c>
      <c r="I571" s="210">
        <v>576.19000000000005</v>
      </c>
      <c r="J571" s="210">
        <v>134.12</v>
      </c>
      <c r="K571" s="61" t="s">
        <v>1544</v>
      </c>
    </row>
    <row r="572" spans="1:11">
      <c r="A572" s="202">
        <v>569</v>
      </c>
      <c r="B572" s="203" t="s">
        <v>2093</v>
      </c>
      <c r="C572" s="61" t="s">
        <v>6</v>
      </c>
      <c r="D572" s="61" t="s">
        <v>36</v>
      </c>
      <c r="E572" s="209">
        <v>2673000</v>
      </c>
      <c r="F572" s="205">
        <f t="shared" si="16"/>
        <v>2592810</v>
      </c>
      <c r="G572" s="206">
        <f t="shared" si="17"/>
        <v>2512620</v>
      </c>
      <c r="H572" s="210">
        <v>710.31</v>
      </c>
      <c r="I572" s="210">
        <v>576.19000000000005</v>
      </c>
      <c r="J572" s="210">
        <v>134.12</v>
      </c>
      <c r="K572" s="61" t="s">
        <v>1544</v>
      </c>
    </row>
    <row r="573" spans="1:11">
      <c r="A573" s="202">
        <v>570</v>
      </c>
      <c r="B573" s="203" t="s">
        <v>2094</v>
      </c>
      <c r="C573" s="61" t="s">
        <v>6</v>
      </c>
      <c r="D573" s="61" t="s">
        <v>36</v>
      </c>
      <c r="E573" s="209">
        <v>2673000</v>
      </c>
      <c r="F573" s="205">
        <f t="shared" si="16"/>
        <v>2592810</v>
      </c>
      <c r="G573" s="206">
        <f t="shared" si="17"/>
        <v>2512620</v>
      </c>
      <c r="H573" s="210">
        <v>710.31</v>
      </c>
      <c r="I573" s="210">
        <v>576.19000000000005</v>
      </c>
      <c r="J573" s="210">
        <v>134.12</v>
      </c>
      <c r="K573" s="61" t="s">
        <v>1544</v>
      </c>
    </row>
    <row r="574" spans="1:11">
      <c r="A574" s="202">
        <v>571</v>
      </c>
      <c r="B574" s="203" t="s">
        <v>2095</v>
      </c>
      <c r="C574" s="61" t="s">
        <v>6</v>
      </c>
      <c r="D574" s="61" t="s">
        <v>36</v>
      </c>
      <c r="E574" s="209">
        <v>2673000</v>
      </c>
      <c r="F574" s="205">
        <f t="shared" si="16"/>
        <v>2592810</v>
      </c>
      <c r="G574" s="206">
        <f t="shared" si="17"/>
        <v>2512620</v>
      </c>
      <c r="H574" s="210">
        <v>710.31</v>
      </c>
      <c r="I574" s="210">
        <v>576.19000000000005</v>
      </c>
      <c r="J574" s="210">
        <v>134.12</v>
      </c>
      <c r="K574" s="61" t="s">
        <v>1544</v>
      </c>
    </row>
    <row r="575" spans="1:11">
      <c r="A575" s="202">
        <v>572</v>
      </c>
      <c r="B575" s="203" t="s">
        <v>2096</v>
      </c>
      <c r="C575" s="61" t="s">
        <v>6</v>
      </c>
      <c r="D575" s="61" t="s">
        <v>36</v>
      </c>
      <c r="E575" s="209">
        <v>2673000</v>
      </c>
      <c r="F575" s="205">
        <f t="shared" si="16"/>
        <v>2592810</v>
      </c>
      <c r="G575" s="206">
        <f t="shared" si="17"/>
        <v>2512620</v>
      </c>
      <c r="H575" s="210">
        <v>710.31</v>
      </c>
      <c r="I575" s="210">
        <v>576.19000000000005</v>
      </c>
      <c r="J575" s="210">
        <v>134.12</v>
      </c>
      <c r="K575" s="61" t="s">
        <v>1544</v>
      </c>
    </row>
    <row r="576" spans="1:11">
      <c r="A576" s="202">
        <v>573</v>
      </c>
      <c r="B576" s="203" t="s">
        <v>2097</v>
      </c>
      <c r="C576" s="61" t="s">
        <v>6</v>
      </c>
      <c r="D576" s="61" t="s">
        <v>36</v>
      </c>
      <c r="E576" s="209">
        <v>2673000</v>
      </c>
      <c r="F576" s="205">
        <f t="shared" si="16"/>
        <v>2592810</v>
      </c>
      <c r="G576" s="206">
        <f t="shared" si="17"/>
        <v>2512620</v>
      </c>
      <c r="H576" s="210">
        <v>710.31</v>
      </c>
      <c r="I576" s="210">
        <v>576.19000000000005</v>
      </c>
      <c r="J576" s="210">
        <v>134.12</v>
      </c>
      <c r="K576" s="61" t="s">
        <v>1544</v>
      </c>
    </row>
    <row r="577" spans="1:11">
      <c r="A577" s="202">
        <v>574</v>
      </c>
      <c r="B577" s="203" t="s">
        <v>2098</v>
      </c>
      <c r="C577" s="61" t="s">
        <v>6</v>
      </c>
      <c r="D577" s="61" t="s">
        <v>36</v>
      </c>
      <c r="E577" s="209">
        <v>2673000</v>
      </c>
      <c r="F577" s="205">
        <f t="shared" si="16"/>
        <v>2592810</v>
      </c>
      <c r="G577" s="206">
        <f t="shared" si="17"/>
        <v>2512620</v>
      </c>
      <c r="H577" s="210">
        <v>710.31</v>
      </c>
      <c r="I577" s="210">
        <v>576.19000000000005</v>
      </c>
      <c r="J577" s="210">
        <v>134.12</v>
      </c>
      <c r="K577" s="61" t="s">
        <v>1544</v>
      </c>
    </row>
    <row r="578" spans="1:11">
      <c r="A578" s="202">
        <v>575</v>
      </c>
      <c r="B578" s="203" t="s">
        <v>2099</v>
      </c>
      <c r="C578" s="61" t="s">
        <v>6</v>
      </c>
      <c r="D578" s="61" t="s">
        <v>36</v>
      </c>
      <c r="E578" s="209">
        <v>2673000</v>
      </c>
      <c r="F578" s="205">
        <f t="shared" si="16"/>
        <v>2592810</v>
      </c>
      <c r="G578" s="206">
        <f t="shared" si="17"/>
        <v>2512620</v>
      </c>
      <c r="H578" s="210">
        <v>710.31</v>
      </c>
      <c r="I578" s="210">
        <v>576.19000000000005</v>
      </c>
      <c r="J578" s="210">
        <v>134.12</v>
      </c>
      <c r="K578" s="61" t="s">
        <v>1544</v>
      </c>
    </row>
    <row r="579" spans="1:11">
      <c r="A579" s="202">
        <v>576</v>
      </c>
      <c r="B579" s="203" t="s">
        <v>2100</v>
      </c>
      <c r="C579" s="61" t="s">
        <v>6</v>
      </c>
      <c r="D579" s="61" t="s">
        <v>36</v>
      </c>
      <c r="E579" s="209">
        <v>2673000</v>
      </c>
      <c r="F579" s="205">
        <f t="shared" ref="F579:F641" si="18">E579*0.97</f>
        <v>2592810</v>
      </c>
      <c r="G579" s="206">
        <f t="shared" ref="G579:G641" si="19">E579*0.94</f>
        <v>2512620</v>
      </c>
      <c r="H579" s="210">
        <v>710.31</v>
      </c>
      <c r="I579" s="210">
        <v>576.19000000000005</v>
      </c>
      <c r="J579" s="210">
        <v>134.12</v>
      </c>
      <c r="K579" s="61" t="s">
        <v>1544</v>
      </c>
    </row>
    <row r="580" spans="1:11">
      <c r="A580" s="202">
        <v>577</v>
      </c>
      <c r="B580" s="203" t="s">
        <v>2101</v>
      </c>
      <c r="C580" s="61" t="s">
        <v>6</v>
      </c>
      <c r="D580" s="61" t="s">
        <v>36</v>
      </c>
      <c r="E580" s="209">
        <v>2673000</v>
      </c>
      <c r="F580" s="205">
        <f t="shared" si="18"/>
        <v>2592810</v>
      </c>
      <c r="G580" s="206">
        <f t="shared" si="19"/>
        <v>2512620</v>
      </c>
      <c r="H580" s="210">
        <v>710.2</v>
      </c>
      <c r="I580" s="210">
        <v>576.19000000000005</v>
      </c>
      <c r="J580" s="210">
        <v>134.01</v>
      </c>
      <c r="K580" s="61" t="s">
        <v>1544</v>
      </c>
    </row>
    <row r="581" spans="1:11">
      <c r="A581" s="202">
        <v>578</v>
      </c>
      <c r="B581" s="203" t="s">
        <v>2102</v>
      </c>
      <c r="C581" s="61" t="s">
        <v>7</v>
      </c>
      <c r="D581" s="61" t="s">
        <v>36</v>
      </c>
      <c r="E581" s="209">
        <v>2670000</v>
      </c>
      <c r="F581" s="205">
        <f t="shared" si="18"/>
        <v>2589900</v>
      </c>
      <c r="G581" s="206">
        <f t="shared" si="19"/>
        <v>2509800</v>
      </c>
      <c r="H581" s="210">
        <v>710.31</v>
      </c>
      <c r="I581" s="210">
        <v>576.19000000000005</v>
      </c>
      <c r="J581" s="210">
        <v>134.12</v>
      </c>
      <c r="K581" s="61" t="s">
        <v>1544</v>
      </c>
    </row>
    <row r="582" spans="1:11">
      <c r="A582" s="202">
        <v>579</v>
      </c>
      <c r="B582" s="203" t="s">
        <v>2103</v>
      </c>
      <c r="C582" s="61" t="s">
        <v>7</v>
      </c>
      <c r="D582" s="61" t="s">
        <v>36</v>
      </c>
      <c r="E582" s="209">
        <v>2670000</v>
      </c>
      <c r="F582" s="205">
        <f t="shared" si="18"/>
        <v>2589900</v>
      </c>
      <c r="G582" s="206">
        <f t="shared" si="19"/>
        <v>2509800</v>
      </c>
      <c r="H582" s="210">
        <v>710.31</v>
      </c>
      <c r="I582" s="210">
        <v>576.19000000000005</v>
      </c>
      <c r="J582" s="210">
        <v>134.12</v>
      </c>
      <c r="K582" s="61" t="s">
        <v>1544</v>
      </c>
    </row>
    <row r="583" spans="1:11">
      <c r="A583" s="202">
        <v>580</v>
      </c>
      <c r="B583" s="203" t="s">
        <v>2104</v>
      </c>
      <c r="C583" s="61" t="s">
        <v>7</v>
      </c>
      <c r="D583" s="61" t="s">
        <v>36</v>
      </c>
      <c r="E583" s="209">
        <v>2670000</v>
      </c>
      <c r="F583" s="205">
        <f t="shared" si="18"/>
        <v>2589900</v>
      </c>
      <c r="G583" s="206">
        <f t="shared" si="19"/>
        <v>2509800</v>
      </c>
      <c r="H583" s="210">
        <v>710.31</v>
      </c>
      <c r="I583" s="210">
        <v>576.19000000000005</v>
      </c>
      <c r="J583" s="210">
        <v>134.12</v>
      </c>
      <c r="K583" s="61" t="s">
        <v>1544</v>
      </c>
    </row>
    <row r="584" spans="1:11">
      <c r="A584" s="202">
        <v>581</v>
      </c>
      <c r="B584" s="203" t="s">
        <v>2105</v>
      </c>
      <c r="C584" s="61" t="s">
        <v>7</v>
      </c>
      <c r="D584" s="61" t="s">
        <v>36</v>
      </c>
      <c r="E584" s="209">
        <v>2670000</v>
      </c>
      <c r="F584" s="205">
        <f t="shared" si="18"/>
        <v>2589900</v>
      </c>
      <c r="G584" s="206">
        <f t="shared" si="19"/>
        <v>2509800</v>
      </c>
      <c r="H584" s="210">
        <v>710.31</v>
      </c>
      <c r="I584" s="210">
        <v>576.19000000000005</v>
      </c>
      <c r="J584" s="210">
        <v>134.12</v>
      </c>
      <c r="K584" s="61" t="s">
        <v>1544</v>
      </c>
    </row>
    <row r="585" spans="1:11">
      <c r="A585" s="202">
        <v>582</v>
      </c>
      <c r="B585" s="203" t="s">
        <v>2106</v>
      </c>
      <c r="C585" s="61" t="s">
        <v>7</v>
      </c>
      <c r="D585" s="61" t="s">
        <v>36</v>
      </c>
      <c r="E585" s="209">
        <v>2670000</v>
      </c>
      <c r="F585" s="205">
        <f t="shared" si="18"/>
        <v>2589900</v>
      </c>
      <c r="G585" s="206">
        <f t="shared" si="19"/>
        <v>2509800</v>
      </c>
      <c r="H585" s="210">
        <v>710.31</v>
      </c>
      <c r="I585" s="210">
        <v>576.19000000000005</v>
      </c>
      <c r="J585" s="210">
        <v>134.12</v>
      </c>
      <c r="K585" s="61" t="s">
        <v>1544</v>
      </c>
    </row>
    <row r="586" spans="1:11">
      <c r="A586" s="202">
        <v>583</v>
      </c>
      <c r="B586" s="203" t="s">
        <v>2107</v>
      </c>
      <c r="C586" s="61" t="s">
        <v>7</v>
      </c>
      <c r="D586" s="61" t="s">
        <v>36</v>
      </c>
      <c r="E586" s="209">
        <v>2670000</v>
      </c>
      <c r="F586" s="205">
        <f t="shared" si="18"/>
        <v>2589900</v>
      </c>
      <c r="G586" s="206">
        <f t="shared" si="19"/>
        <v>2509800</v>
      </c>
      <c r="H586" s="210">
        <v>710.31</v>
      </c>
      <c r="I586" s="210">
        <v>576.19000000000005</v>
      </c>
      <c r="J586" s="210">
        <v>134.12</v>
      </c>
      <c r="K586" s="61" t="s">
        <v>1544</v>
      </c>
    </row>
    <row r="587" spans="1:11">
      <c r="A587" s="202">
        <v>584</v>
      </c>
      <c r="B587" s="203" t="s">
        <v>2108</v>
      </c>
      <c r="C587" s="61" t="s">
        <v>7</v>
      </c>
      <c r="D587" s="61" t="s">
        <v>36</v>
      </c>
      <c r="E587" s="209">
        <v>2670000</v>
      </c>
      <c r="F587" s="205">
        <f t="shared" si="18"/>
        <v>2589900</v>
      </c>
      <c r="G587" s="206">
        <f t="shared" si="19"/>
        <v>2509800</v>
      </c>
      <c r="H587" s="210">
        <v>710.2</v>
      </c>
      <c r="I587" s="210">
        <v>576.19000000000005</v>
      </c>
      <c r="J587" s="210">
        <v>134.01</v>
      </c>
      <c r="K587" s="61" t="s">
        <v>1544</v>
      </c>
    </row>
    <row r="588" spans="1:11">
      <c r="A588" s="202">
        <v>585</v>
      </c>
      <c r="B588" s="203" t="s">
        <v>2109</v>
      </c>
      <c r="C588" s="61" t="s">
        <v>7</v>
      </c>
      <c r="D588" s="61" t="s">
        <v>36</v>
      </c>
      <c r="E588" s="209">
        <v>2670000</v>
      </c>
      <c r="F588" s="205">
        <f t="shared" si="18"/>
        <v>2589900</v>
      </c>
      <c r="G588" s="206">
        <f t="shared" si="19"/>
        <v>2509800</v>
      </c>
      <c r="H588" s="210">
        <v>710.31</v>
      </c>
      <c r="I588" s="210">
        <v>576.19000000000005</v>
      </c>
      <c r="J588" s="210">
        <v>134.12</v>
      </c>
      <c r="K588" s="61" t="s">
        <v>1544</v>
      </c>
    </row>
    <row r="589" spans="1:11">
      <c r="A589" s="202">
        <v>586</v>
      </c>
      <c r="B589" s="203" t="s">
        <v>2110</v>
      </c>
      <c r="C589" s="61" t="s">
        <v>7</v>
      </c>
      <c r="D589" s="61" t="s">
        <v>36</v>
      </c>
      <c r="E589" s="209">
        <v>2670000</v>
      </c>
      <c r="F589" s="205">
        <f t="shared" si="18"/>
        <v>2589900</v>
      </c>
      <c r="G589" s="206">
        <f t="shared" si="19"/>
        <v>2509800</v>
      </c>
      <c r="H589" s="210">
        <v>710.31</v>
      </c>
      <c r="I589" s="210">
        <v>576.19000000000005</v>
      </c>
      <c r="J589" s="210">
        <v>134.12</v>
      </c>
      <c r="K589" s="61" t="s">
        <v>1544</v>
      </c>
    </row>
    <row r="590" spans="1:11">
      <c r="A590" s="202">
        <v>587</v>
      </c>
      <c r="B590" s="203" t="s">
        <v>2111</v>
      </c>
      <c r="C590" s="61" t="s">
        <v>7</v>
      </c>
      <c r="D590" s="61" t="s">
        <v>36</v>
      </c>
      <c r="E590" s="209">
        <v>2670000</v>
      </c>
      <c r="F590" s="205">
        <f t="shared" si="18"/>
        <v>2589900</v>
      </c>
      <c r="G590" s="206">
        <f t="shared" si="19"/>
        <v>2509800</v>
      </c>
      <c r="H590" s="210">
        <v>710.31</v>
      </c>
      <c r="I590" s="210">
        <v>576.19000000000005</v>
      </c>
      <c r="J590" s="210">
        <v>134.12</v>
      </c>
      <c r="K590" s="61" t="s">
        <v>1544</v>
      </c>
    </row>
    <row r="591" spans="1:11">
      <c r="A591" s="202">
        <v>588</v>
      </c>
      <c r="B591" s="203" t="s">
        <v>2112</v>
      </c>
      <c r="C591" s="61" t="s">
        <v>7</v>
      </c>
      <c r="D591" s="61" t="s">
        <v>36</v>
      </c>
      <c r="E591" s="209">
        <v>2670000</v>
      </c>
      <c r="F591" s="205">
        <f t="shared" si="18"/>
        <v>2589900</v>
      </c>
      <c r="G591" s="206">
        <f t="shared" si="19"/>
        <v>2509800</v>
      </c>
      <c r="H591" s="210">
        <v>710.31</v>
      </c>
      <c r="I591" s="210">
        <v>576.19000000000005</v>
      </c>
      <c r="J591" s="210">
        <v>134.12</v>
      </c>
      <c r="K591" s="61" t="s">
        <v>1544</v>
      </c>
    </row>
    <row r="592" spans="1:11">
      <c r="A592" s="202">
        <v>589</v>
      </c>
      <c r="B592" s="203" t="s">
        <v>2113</v>
      </c>
      <c r="C592" s="61" t="s">
        <v>7</v>
      </c>
      <c r="D592" s="61" t="s">
        <v>36</v>
      </c>
      <c r="E592" s="209">
        <v>2670000</v>
      </c>
      <c r="F592" s="205">
        <f t="shared" si="18"/>
        <v>2589900</v>
      </c>
      <c r="G592" s="206">
        <f t="shared" si="19"/>
        <v>2509800</v>
      </c>
      <c r="H592" s="210">
        <v>710.31</v>
      </c>
      <c r="I592" s="210">
        <v>576.19000000000005</v>
      </c>
      <c r="J592" s="210">
        <v>134.12</v>
      </c>
      <c r="K592" s="61" t="s">
        <v>1544</v>
      </c>
    </row>
    <row r="593" spans="1:11">
      <c r="A593" s="202">
        <v>590</v>
      </c>
      <c r="B593" s="203" t="s">
        <v>2114</v>
      </c>
      <c r="C593" s="61" t="s">
        <v>8</v>
      </c>
      <c r="D593" s="61" t="s">
        <v>36</v>
      </c>
      <c r="E593" s="209">
        <v>2668000</v>
      </c>
      <c r="F593" s="205">
        <f t="shared" si="18"/>
        <v>2587960</v>
      </c>
      <c r="G593" s="206">
        <f t="shared" si="19"/>
        <v>2507920</v>
      </c>
      <c r="H593" s="210">
        <v>710.31</v>
      </c>
      <c r="I593" s="210">
        <v>576.19000000000005</v>
      </c>
      <c r="J593" s="210">
        <v>134.12</v>
      </c>
      <c r="K593" s="61" t="s">
        <v>1544</v>
      </c>
    </row>
    <row r="594" spans="1:11">
      <c r="A594" s="202">
        <v>591</v>
      </c>
      <c r="B594" s="203" t="s">
        <v>2115</v>
      </c>
      <c r="C594" s="61" t="s">
        <v>8</v>
      </c>
      <c r="D594" s="61" t="s">
        <v>36</v>
      </c>
      <c r="E594" s="209">
        <v>2668000</v>
      </c>
      <c r="F594" s="205">
        <f t="shared" si="18"/>
        <v>2587960</v>
      </c>
      <c r="G594" s="206">
        <f t="shared" si="19"/>
        <v>2507920</v>
      </c>
      <c r="H594" s="210">
        <v>710.31</v>
      </c>
      <c r="I594" s="210">
        <v>576.19000000000005</v>
      </c>
      <c r="J594" s="210">
        <v>134.12</v>
      </c>
      <c r="K594" s="61" t="s">
        <v>1544</v>
      </c>
    </row>
    <row r="595" spans="1:11">
      <c r="A595" s="202">
        <v>592</v>
      </c>
      <c r="B595" s="203" t="s">
        <v>2116</v>
      </c>
      <c r="C595" s="61" t="s">
        <v>8</v>
      </c>
      <c r="D595" s="61" t="s">
        <v>36</v>
      </c>
      <c r="E595" s="209">
        <v>2668000</v>
      </c>
      <c r="F595" s="205">
        <f t="shared" si="18"/>
        <v>2587960</v>
      </c>
      <c r="G595" s="206">
        <f t="shared" si="19"/>
        <v>2507920</v>
      </c>
      <c r="H595" s="210">
        <v>710.31</v>
      </c>
      <c r="I595" s="210">
        <v>576.19000000000005</v>
      </c>
      <c r="J595" s="210">
        <v>134.12</v>
      </c>
      <c r="K595" s="61" t="s">
        <v>1544</v>
      </c>
    </row>
    <row r="596" spans="1:11">
      <c r="A596" s="202">
        <v>593</v>
      </c>
      <c r="B596" s="203" t="s">
        <v>2117</v>
      </c>
      <c r="C596" s="61" t="s">
        <v>8</v>
      </c>
      <c r="D596" s="61" t="s">
        <v>36</v>
      </c>
      <c r="E596" s="209">
        <v>2668000</v>
      </c>
      <c r="F596" s="205">
        <f t="shared" si="18"/>
        <v>2587960</v>
      </c>
      <c r="G596" s="206">
        <f t="shared" si="19"/>
        <v>2507920</v>
      </c>
      <c r="H596" s="210">
        <v>710.31</v>
      </c>
      <c r="I596" s="210">
        <v>576.19000000000005</v>
      </c>
      <c r="J596" s="210">
        <v>134.12</v>
      </c>
      <c r="K596" s="61" t="s">
        <v>1544</v>
      </c>
    </row>
    <row r="597" spans="1:11">
      <c r="A597" s="202">
        <v>594</v>
      </c>
      <c r="B597" s="203" t="s">
        <v>2118</v>
      </c>
      <c r="C597" s="61" t="s">
        <v>8</v>
      </c>
      <c r="D597" s="61" t="s">
        <v>36</v>
      </c>
      <c r="E597" s="209">
        <v>2668000</v>
      </c>
      <c r="F597" s="205">
        <f t="shared" si="18"/>
        <v>2587960</v>
      </c>
      <c r="G597" s="206">
        <f t="shared" si="19"/>
        <v>2507920</v>
      </c>
      <c r="H597" s="210">
        <v>710.31</v>
      </c>
      <c r="I597" s="210">
        <v>576.19000000000005</v>
      </c>
      <c r="J597" s="210">
        <v>134.12</v>
      </c>
      <c r="K597" s="61" t="s">
        <v>1544</v>
      </c>
    </row>
    <row r="598" spans="1:11">
      <c r="A598" s="202">
        <v>595</v>
      </c>
      <c r="B598" s="203" t="s">
        <v>2119</v>
      </c>
      <c r="C598" s="61" t="s">
        <v>8</v>
      </c>
      <c r="D598" s="61" t="s">
        <v>36</v>
      </c>
      <c r="E598" s="209">
        <v>2668000</v>
      </c>
      <c r="F598" s="205">
        <f t="shared" si="18"/>
        <v>2587960</v>
      </c>
      <c r="G598" s="206">
        <f t="shared" si="19"/>
        <v>2507920</v>
      </c>
      <c r="H598" s="210">
        <v>710.31</v>
      </c>
      <c r="I598" s="210">
        <v>576.19000000000005</v>
      </c>
      <c r="J598" s="210">
        <v>134.12</v>
      </c>
      <c r="K598" s="61" t="s">
        <v>1544</v>
      </c>
    </row>
    <row r="599" spans="1:11">
      <c r="A599" s="202">
        <v>596</v>
      </c>
      <c r="B599" s="203" t="s">
        <v>2120</v>
      </c>
      <c r="C599" s="61" t="s">
        <v>8</v>
      </c>
      <c r="D599" s="61" t="s">
        <v>36</v>
      </c>
      <c r="E599" s="209">
        <v>2668000</v>
      </c>
      <c r="F599" s="205">
        <f t="shared" si="18"/>
        <v>2587960</v>
      </c>
      <c r="G599" s="206">
        <f t="shared" si="19"/>
        <v>2507920</v>
      </c>
      <c r="H599" s="210">
        <v>710.31</v>
      </c>
      <c r="I599" s="210">
        <v>576.19000000000005</v>
      </c>
      <c r="J599" s="210">
        <v>134.12</v>
      </c>
      <c r="K599" s="61" t="s">
        <v>1544</v>
      </c>
    </row>
    <row r="600" spans="1:11">
      <c r="A600" s="202">
        <v>597</v>
      </c>
      <c r="B600" s="203" t="s">
        <v>2121</v>
      </c>
      <c r="C600" s="61" t="s">
        <v>8</v>
      </c>
      <c r="D600" s="61" t="s">
        <v>36</v>
      </c>
      <c r="E600" s="209">
        <v>2668000</v>
      </c>
      <c r="F600" s="205">
        <f t="shared" si="18"/>
        <v>2587960</v>
      </c>
      <c r="G600" s="206">
        <f t="shared" si="19"/>
        <v>2507920</v>
      </c>
      <c r="H600" s="210">
        <v>710.31</v>
      </c>
      <c r="I600" s="210">
        <v>576.19000000000005</v>
      </c>
      <c r="J600" s="210">
        <v>134.12</v>
      </c>
      <c r="K600" s="61" t="s">
        <v>1544</v>
      </c>
    </row>
    <row r="601" spans="1:11">
      <c r="A601" s="202">
        <v>598</v>
      </c>
      <c r="B601" s="203" t="s">
        <v>2122</v>
      </c>
      <c r="C601" s="61" t="s">
        <v>8</v>
      </c>
      <c r="D601" s="61" t="s">
        <v>36</v>
      </c>
      <c r="E601" s="209">
        <v>2668000</v>
      </c>
      <c r="F601" s="205">
        <f t="shared" si="18"/>
        <v>2587960</v>
      </c>
      <c r="G601" s="206">
        <f t="shared" si="19"/>
        <v>2507920</v>
      </c>
      <c r="H601" s="210">
        <v>710.31</v>
      </c>
      <c r="I601" s="210">
        <v>576.19000000000005</v>
      </c>
      <c r="J601" s="210">
        <v>134.12</v>
      </c>
      <c r="K601" s="61" t="s">
        <v>1544</v>
      </c>
    </row>
    <row r="602" spans="1:11">
      <c r="A602" s="202">
        <v>599</v>
      </c>
      <c r="B602" s="203" t="s">
        <v>2123</v>
      </c>
      <c r="C602" s="61" t="s">
        <v>8</v>
      </c>
      <c r="D602" s="61" t="s">
        <v>36</v>
      </c>
      <c r="E602" s="209">
        <v>2668000</v>
      </c>
      <c r="F602" s="205">
        <f t="shared" si="18"/>
        <v>2587960</v>
      </c>
      <c r="G602" s="206">
        <f t="shared" si="19"/>
        <v>2507920</v>
      </c>
      <c r="H602" s="210">
        <v>710.31</v>
      </c>
      <c r="I602" s="210">
        <v>576.19000000000005</v>
      </c>
      <c r="J602" s="210">
        <v>134.12</v>
      </c>
      <c r="K602" s="61" t="s">
        <v>1544</v>
      </c>
    </row>
    <row r="603" spans="1:11">
      <c r="A603" s="202">
        <v>600</v>
      </c>
      <c r="B603" s="203" t="s">
        <v>2124</v>
      </c>
      <c r="C603" s="61" t="s">
        <v>8</v>
      </c>
      <c r="D603" s="61" t="s">
        <v>36</v>
      </c>
      <c r="E603" s="209">
        <v>2668000</v>
      </c>
      <c r="F603" s="205">
        <f t="shared" si="18"/>
        <v>2587960</v>
      </c>
      <c r="G603" s="206">
        <f t="shared" si="19"/>
        <v>2507920</v>
      </c>
      <c r="H603" s="210">
        <v>710.31</v>
      </c>
      <c r="I603" s="210">
        <v>576.19000000000005</v>
      </c>
      <c r="J603" s="210">
        <v>134.12</v>
      </c>
      <c r="K603" s="61" t="s">
        <v>1544</v>
      </c>
    </row>
    <row r="604" spans="1:11">
      <c r="A604" s="202">
        <v>601</v>
      </c>
      <c r="B604" s="203" t="s">
        <v>2125</v>
      </c>
      <c r="C604" s="61" t="s">
        <v>8</v>
      </c>
      <c r="D604" s="61" t="s">
        <v>36</v>
      </c>
      <c r="E604" s="209">
        <v>2668000</v>
      </c>
      <c r="F604" s="205">
        <f t="shared" si="18"/>
        <v>2587960</v>
      </c>
      <c r="G604" s="206">
        <f t="shared" si="19"/>
        <v>2507920</v>
      </c>
      <c r="H604" s="210">
        <v>710.2</v>
      </c>
      <c r="I604" s="210">
        <v>576.19000000000005</v>
      </c>
      <c r="J604" s="210">
        <v>134.01</v>
      </c>
      <c r="K604" s="61" t="s">
        <v>1544</v>
      </c>
    </row>
    <row r="605" spans="1:11">
      <c r="A605" s="202">
        <v>602</v>
      </c>
      <c r="B605" s="203" t="s">
        <v>2126</v>
      </c>
      <c r="C605" s="61" t="s">
        <v>10</v>
      </c>
      <c r="D605" s="61" t="s">
        <v>36</v>
      </c>
      <c r="E605" s="209">
        <v>2663000</v>
      </c>
      <c r="F605" s="205">
        <f t="shared" si="18"/>
        <v>2583110</v>
      </c>
      <c r="G605" s="206">
        <f t="shared" si="19"/>
        <v>2503220</v>
      </c>
      <c r="H605" s="210">
        <v>710.31</v>
      </c>
      <c r="I605" s="210">
        <v>576.19000000000005</v>
      </c>
      <c r="J605" s="210">
        <v>134.12</v>
      </c>
      <c r="K605" s="61" t="s">
        <v>1544</v>
      </c>
    </row>
    <row r="606" spans="1:11">
      <c r="A606" s="202">
        <v>603</v>
      </c>
      <c r="B606" s="203" t="s">
        <v>2127</v>
      </c>
      <c r="C606" s="61" t="s">
        <v>10</v>
      </c>
      <c r="D606" s="61" t="s">
        <v>36</v>
      </c>
      <c r="E606" s="209">
        <v>2663000</v>
      </c>
      <c r="F606" s="205">
        <f t="shared" si="18"/>
        <v>2583110</v>
      </c>
      <c r="G606" s="206">
        <f t="shared" si="19"/>
        <v>2503220</v>
      </c>
      <c r="H606" s="210">
        <v>710.31</v>
      </c>
      <c r="I606" s="210">
        <v>576.19000000000005</v>
      </c>
      <c r="J606" s="210">
        <v>134.12</v>
      </c>
      <c r="K606" s="61" t="s">
        <v>1544</v>
      </c>
    </row>
    <row r="607" spans="1:11">
      <c r="A607" s="202">
        <v>604</v>
      </c>
      <c r="B607" s="203" t="s">
        <v>2128</v>
      </c>
      <c r="C607" s="61" t="s">
        <v>10</v>
      </c>
      <c r="D607" s="61" t="s">
        <v>36</v>
      </c>
      <c r="E607" s="209">
        <v>2663000</v>
      </c>
      <c r="F607" s="205">
        <f t="shared" si="18"/>
        <v>2583110</v>
      </c>
      <c r="G607" s="206">
        <f t="shared" si="19"/>
        <v>2503220</v>
      </c>
      <c r="H607" s="210">
        <v>710.31</v>
      </c>
      <c r="I607" s="210">
        <v>576.19000000000005</v>
      </c>
      <c r="J607" s="210">
        <v>134.12</v>
      </c>
      <c r="K607" s="61" t="s">
        <v>1544</v>
      </c>
    </row>
    <row r="608" spans="1:11">
      <c r="A608" s="202">
        <v>605</v>
      </c>
      <c r="B608" s="203" t="s">
        <v>2129</v>
      </c>
      <c r="C608" s="61" t="s">
        <v>10</v>
      </c>
      <c r="D608" s="61" t="s">
        <v>36</v>
      </c>
      <c r="E608" s="209">
        <v>2663000</v>
      </c>
      <c r="F608" s="205">
        <f t="shared" si="18"/>
        <v>2583110</v>
      </c>
      <c r="G608" s="206">
        <f t="shared" si="19"/>
        <v>2503220</v>
      </c>
      <c r="H608" s="210">
        <v>710.31</v>
      </c>
      <c r="I608" s="210">
        <v>576.19000000000005</v>
      </c>
      <c r="J608" s="210">
        <v>134.12</v>
      </c>
      <c r="K608" s="61" t="s">
        <v>1544</v>
      </c>
    </row>
    <row r="609" spans="1:11">
      <c r="A609" s="202">
        <v>606</v>
      </c>
      <c r="B609" s="203" t="s">
        <v>2130</v>
      </c>
      <c r="C609" s="61" t="s">
        <v>10</v>
      </c>
      <c r="D609" s="61" t="s">
        <v>36</v>
      </c>
      <c r="E609" s="209">
        <v>2663000</v>
      </c>
      <c r="F609" s="205">
        <f t="shared" si="18"/>
        <v>2583110</v>
      </c>
      <c r="G609" s="206">
        <f t="shared" si="19"/>
        <v>2503220</v>
      </c>
      <c r="H609" s="210">
        <v>710.31</v>
      </c>
      <c r="I609" s="210">
        <v>576.19000000000005</v>
      </c>
      <c r="J609" s="210">
        <v>134.12</v>
      </c>
      <c r="K609" s="61" t="s">
        <v>1544</v>
      </c>
    </row>
    <row r="610" spans="1:11">
      <c r="A610" s="202">
        <v>607</v>
      </c>
      <c r="B610" s="203" t="s">
        <v>2131</v>
      </c>
      <c r="C610" s="61" t="s">
        <v>10</v>
      </c>
      <c r="D610" s="61" t="s">
        <v>36</v>
      </c>
      <c r="E610" s="209">
        <v>2663000</v>
      </c>
      <c r="F610" s="205">
        <f t="shared" si="18"/>
        <v>2583110</v>
      </c>
      <c r="G610" s="206">
        <f t="shared" si="19"/>
        <v>2503220</v>
      </c>
      <c r="H610" s="210">
        <v>710.31</v>
      </c>
      <c r="I610" s="210">
        <v>576.19000000000005</v>
      </c>
      <c r="J610" s="210">
        <v>134.12</v>
      </c>
      <c r="K610" s="61" t="s">
        <v>1544</v>
      </c>
    </row>
    <row r="611" spans="1:11">
      <c r="A611" s="202">
        <v>608</v>
      </c>
      <c r="B611" s="203" t="s">
        <v>2132</v>
      </c>
      <c r="C611" s="61" t="s">
        <v>10</v>
      </c>
      <c r="D611" s="61" t="s">
        <v>36</v>
      </c>
      <c r="E611" s="209">
        <v>2662000</v>
      </c>
      <c r="F611" s="205">
        <f t="shared" si="18"/>
        <v>2582140</v>
      </c>
      <c r="G611" s="206">
        <f t="shared" si="19"/>
        <v>2502280</v>
      </c>
      <c r="H611" s="210">
        <v>710.2</v>
      </c>
      <c r="I611" s="210">
        <v>576.19000000000005</v>
      </c>
      <c r="J611" s="210">
        <v>134.01</v>
      </c>
      <c r="K611" s="61" t="s">
        <v>1544</v>
      </c>
    </row>
    <row r="612" spans="1:11">
      <c r="A612" s="202">
        <v>609</v>
      </c>
      <c r="B612" s="203" t="s">
        <v>2133</v>
      </c>
      <c r="C612" s="61" t="s">
        <v>10</v>
      </c>
      <c r="D612" s="61" t="s">
        <v>36</v>
      </c>
      <c r="E612" s="209">
        <v>2663000</v>
      </c>
      <c r="F612" s="205">
        <f t="shared" si="18"/>
        <v>2583110</v>
      </c>
      <c r="G612" s="206">
        <f t="shared" si="19"/>
        <v>2503220</v>
      </c>
      <c r="H612" s="210">
        <v>710.31</v>
      </c>
      <c r="I612" s="210">
        <v>576.19000000000005</v>
      </c>
      <c r="J612" s="210">
        <v>134.12</v>
      </c>
      <c r="K612" s="61" t="s">
        <v>1544</v>
      </c>
    </row>
    <row r="613" spans="1:11">
      <c r="A613" s="202">
        <v>610</v>
      </c>
      <c r="B613" s="203" t="s">
        <v>2134</v>
      </c>
      <c r="C613" s="61" t="s">
        <v>10</v>
      </c>
      <c r="D613" s="61" t="s">
        <v>36</v>
      </c>
      <c r="E613" s="209">
        <v>2663000</v>
      </c>
      <c r="F613" s="205">
        <f t="shared" si="18"/>
        <v>2583110</v>
      </c>
      <c r="G613" s="206">
        <f t="shared" si="19"/>
        <v>2503220</v>
      </c>
      <c r="H613" s="210">
        <v>710.31</v>
      </c>
      <c r="I613" s="210">
        <v>576.19000000000005</v>
      </c>
      <c r="J613" s="210">
        <v>134.12</v>
      </c>
      <c r="K613" s="61" t="s">
        <v>1544</v>
      </c>
    </row>
    <row r="614" spans="1:11">
      <c r="A614" s="202">
        <v>611</v>
      </c>
      <c r="B614" s="203" t="s">
        <v>2135</v>
      </c>
      <c r="C614" s="61" t="s">
        <v>10</v>
      </c>
      <c r="D614" s="61" t="s">
        <v>36</v>
      </c>
      <c r="E614" s="209">
        <v>2663000</v>
      </c>
      <c r="F614" s="205">
        <f t="shared" si="18"/>
        <v>2583110</v>
      </c>
      <c r="G614" s="206">
        <f t="shared" si="19"/>
        <v>2503220</v>
      </c>
      <c r="H614" s="210">
        <v>710.31</v>
      </c>
      <c r="I614" s="210">
        <v>576.19000000000005</v>
      </c>
      <c r="J614" s="210">
        <v>134.12</v>
      </c>
      <c r="K614" s="61" t="s">
        <v>1544</v>
      </c>
    </row>
    <row r="615" spans="1:11">
      <c r="A615" s="202">
        <v>612</v>
      </c>
      <c r="B615" s="203" t="s">
        <v>4518</v>
      </c>
      <c r="C615" s="61" t="s">
        <v>4484</v>
      </c>
      <c r="D615" s="61" t="s">
        <v>36</v>
      </c>
      <c r="E615" s="209">
        <v>2726000</v>
      </c>
      <c r="F615" s="205">
        <f t="shared" si="18"/>
        <v>2644220</v>
      </c>
      <c r="G615" s="206">
        <f t="shared" si="19"/>
        <v>2562440</v>
      </c>
      <c r="H615" s="210">
        <v>695.35</v>
      </c>
      <c r="I615" s="210">
        <v>561.23</v>
      </c>
      <c r="J615" s="210">
        <v>134.12</v>
      </c>
      <c r="K615" s="61" t="s">
        <v>1544</v>
      </c>
    </row>
    <row r="616" spans="1:11">
      <c r="A616" s="202">
        <v>613</v>
      </c>
      <c r="B616" s="203" t="s">
        <v>2136</v>
      </c>
      <c r="C616" s="61" t="s">
        <v>179</v>
      </c>
      <c r="D616" s="61" t="s">
        <v>36</v>
      </c>
      <c r="E616" s="209">
        <v>2714000</v>
      </c>
      <c r="F616" s="205">
        <f t="shared" si="18"/>
        <v>2632580</v>
      </c>
      <c r="G616" s="206">
        <f t="shared" si="19"/>
        <v>2551160</v>
      </c>
      <c r="H616" s="210">
        <v>695.35</v>
      </c>
      <c r="I616" s="210">
        <v>561.23</v>
      </c>
      <c r="J616" s="210">
        <v>134.12</v>
      </c>
      <c r="K616" s="61" t="s">
        <v>1544</v>
      </c>
    </row>
    <row r="617" spans="1:11">
      <c r="A617" s="202">
        <v>614</v>
      </c>
      <c r="B617" s="203" t="s">
        <v>2137</v>
      </c>
      <c r="C617" s="61" t="s">
        <v>218</v>
      </c>
      <c r="D617" s="61" t="s">
        <v>36</v>
      </c>
      <c r="E617" s="209">
        <v>2711000</v>
      </c>
      <c r="F617" s="205">
        <f t="shared" si="18"/>
        <v>2629670</v>
      </c>
      <c r="G617" s="206">
        <f t="shared" si="19"/>
        <v>2548340</v>
      </c>
      <c r="H617" s="210">
        <v>695.35</v>
      </c>
      <c r="I617" s="210">
        <v>561.23</v>
      </c>
      <c r="J617" s="210">
        <v>134.12</v>
      </c>
      <c r="K617" s="61" t="s">
        <v>1544</v>
      </c>
    </row>
    <row r="618" spans="1:11">
      <c r="A618" s="202">
        <v>615</v>
      </c>
      <c r="B618" s="203" t="s">
        <v>2138</v>
      </c>
      <c r="C618" s="61" t="s">
        <v>181</v>
      </c>
      <c r="D618" s="61" t="s">
        <v>36</v>
      </c>
      <c r="E618" s="209">
        <v>2698000</v>
      </c>
      <c r="F618" s="205">
        <f t="shared" si="18"/>
        <v>2617060</v>
      </c>
      <c r="G618" s="206">
        <f t="shared" si="19"/>
        <v>2536120</v>
      </c>
      <c r="H618" s="210">
        <v>695.35</v>
      </c>
      <c r="I618" s="210">
        <v>561.23</v>
      </c>
      <c r="J618" s="210">
        <v>134.12</v>
      </c>
      <c r="K618" s="61" t="s">
        <v>1544</v>
      </c>
    </row>
    <row r="619" spans="1:11">
      <c r="A619" s="202">
        <v>616</v>
      </c>
      <c r="B619" s="203" t="s">
        <v>2139</v>
      </c>
      <c r="C619" s="61" t="s">
        <v>181</v>
      </c>
      <c r="D619" s="61" t="s">
        <v>36</v>
      </c>
      <c r="E619" s="209">
        <v>2698000</v>
      </c>
      <c r="F619" s="205">
        <f t="shared" si="18"/>
        <v>2617060</v>
      </c>
      <c r="G619" s="206">
        <f t="shared" si="19"/>
        <v>2536120</v>
      </c>
      <c r="H619" s="210">
        <v>695.35</v>
      </c>
      <c r="I619" s="210">
        <v>561.23</v>
      </c>
      <c r="J619" s="210">
        <v>134.12</v>
      </c>
      <c r="K619" s="61" t="s">
        <v>1544</v>
      </c>
    </row>
    <row r="620" spans="1:11">
      <c r="A620" s="202">
        <v>617</v>
      </c>
      <c r="B620" s="203" t="s">
        <v>2140</v>
      </c>
      <c r="C620" s="61" t="s">
        <v>4454</v>
      </c>
      <c r="D620" s="61" t="s">
        <v>36</v>
      </c>
      <c r="E620" s="209">
        <v>2696000</v>
      </c>
      <c r="F620" s="205">
        <f t="shared" si="18"/>
        <v>2615120</v>
      </c>
      <c r="G620" s="206">
        <f t="shared" si="19"/>
        <v>2534240</v>
      </c>
      <c r="H620" s="210">
        <v>695.35</v>
      </c>
      <c r="I620" s="210">
        <v>561.23</v>
      </c>
      <c r="J620" s="210">
        <v>134.12</v>
      </c>
      <c r="K620" s="61" t="s">
        <v>1544</v>
      </c>
    </row>
    <row r="621" spans="1:11">
      <c r="A621" s="202">
        <v>618</v>
      </c>
      <c r="B621" s="203" t="s">
        <v>2141</v>
      </c>
      <c r="C621" s="61" t="s">
        <v>4454</v>
      </c>
      <c r="D621" s="61" t="s">
        <v>36</v>
      </c>
      <c r="E621" s="209">
        <v>2696000</v>
      </c>
      <c r="F621" s="205">
        <f t="shared" si="18"/>
        <v>2615120</v>
      </c>
      <c r="G621" s="206">
        <f t="shared" si="19"/>
        <v>2534240</v>
      </c>
      <c r="H621" s="210">
        <v>695.35</v>
      </c>
      <c r="I621" s="210">
        <v>561.23</v>
      </c>
      <c r="J621" s="210">
        <v>134.12</v>
      </c>
      <c r="K621" s="61" t="s">
        <v>1544</v>
      </c>
    </row>
    <row r="622" spans="1:11">
      <c r="A622" s="202">
        <v>619</v>
      </c>
      <c r="B622" s="203" t="s">
        <v>2142</v>
      </c>
      <c r="C622" s="61" t="s">
        <v>4454</v>
      </c>
      <c r="D622" s="61" t="s">
        <v>36</v>
      </c>
      <c r="E622" s="209">
        <v>2696000</v>
      </c>
      <c r="F622" s="205">
        <f t="shared" si="18"/>
        <v>2615120</v>
      </c>
      <c r="G622" s="206">
        <f t="shared" si="19"/>
        <v>2534240</v>
      </c>
      <c r="H622" s="210">
        <v>695.35</v>
      </c>
      <c r="I622" s="210">
        <v>561.23</v>
      </c>
      <c r="J622" s="210">
        <v>134.12</v>
      </c>
      <c r="K622" s="61" t="s">
        <v>1544</v>
      </c>
    </row>
    <row r="623" spans="1:11">
      <c r="A623" s="202">
        <v>620</v>
      </c>
      <c r="B623" s="203" t="s">
        <v>2143</v>
      </c>
      <c r="C623" s="61" t="s">
        <v>4499</v>
      </c>
      <c r="D623" s="61" t="s">
        <v>36</v>
      </c>
      <c r="E623" s="209">
        <v>2691000</v>
      </c>
      <c r="F623" s="205">
        <f t="shared" si="18"/>
        <v>2610270</v>
      </c>
      <c r="G623" s="206">
        <f t="shared" si="19"/>
        <v>2529540</v>
      </c>
      <c r="H623" s="210">
        <v>695.35</v>
      </c>
      <c r="I623" s="210">
        <v>561.23</v>
      </c>
      <c r="J623" s="210">
        <v>134.12</v>
      </c>
      <c r="K623" s="61" t="s">
        <v>1544</v>
      </c>
    </row>
    <row r="624" spans="1:11">
      <c r="A624" s="202">
        <v>621</v>
      </c>
      <c r="B624" s="203" t="s">
        <v>2144</v>
      </c>
      <c r="C624" s="61" t="s">
        <v>4499</v>
      </c>
      <c r="D624" s="61" t="s">
        <v>36</v>
      </c>
      <c r="E624" s="209">
        <v>2691000</v>
      </c>
      <c r="F624" s="205">
        <f t="shared" si="18"/>
        <v>2610270</v>
      </c>
      <c r="G624" s="206">
        <f t="shared" si="19"/>
        <v>2529540</v>
      </c>
      <c r="H624" s="210">
        <v>695.35</v>
      </c>
      <c r="I624" s="210">
        <v>561.23</v>
      </c>
      <c r="J624" s="210">
        <v>134.12</v>
      </c>
      <c r="K624" s="61" t="s">
        <v>1544</v>
      </c>
    </row>
    <row r="625" spans="1:11">
      <c r="A625" s="202">
        <v>622</v>
      </c>
      <c r="B625" s="203" t="s">
        <v>2145</v>
      </c>
      <c r="C625" s="61" t="s">
        <v>4499</v>
      </c>
      <c r="D625" s="61" t="s">
        <v>36</v>
      </c>
      <c r="E625" s="209">
        <v>2691000</v>
      </c>
      <c r="F625" s="205">
        <f t="shared" si="18"/>
        <v>2610270</v>
      </c>
      <c r="G625" s="206">
        <f t="shared" si="19"/>
        <v>2529540</v>
      </c>
      <c r="H625" s="210">
        <v>695.35</v>
      </c>
      <c r="I625" s="210">
        <v>561.23</v>
      </c>
      <c r="J625" s="210">
        <v>134.12</v>
      </c>
      <c r="K625" s="61" t="s">
        <v>1544</v>
      </c>
    </row>
    <row r="626" spans="1:11">
      <c r="A626" s="202">
        <v>623</v>
      </c>
      <c r="B626" s="203" t="s">
        <v>2146</v>
      </c>
      <c r="C626" s="61" t="s">
        <v>4480</v>
      </c>
      <c r="D626" s="61" t="s">
        <v>36</v>
      </c>
      <c r="E626" s="209">
        <v>2688000</v>
      </c>
      <c r="F626" s="205">
        <f t="shared" si="18"/>
        <v>2607360</v>
      </c>
      <c r="G626" s="206">
        <f t="shared" si="19"/>
        <v>2526720</v>
      </c>
      <c r="H626" s="210">
        <v>695.35</v>
      </c>
      <c r="I626" s="210">
        <v>561.23</v>
      </c>
      <c r="J626" s="210">
        <v>134.12</v>
      </c>
      <c r="K626" s="61" t="s">
        <v>1544</v>
      </c>
    </row>
    <row r="627" spans="1:11">
      <c r="A627" s="202">
        <v>624</v>
      </c>
      <c r="B627" s="203" t="s">
        <v>2147</v>
      </c>
      <c r="C627" s="61" t="s">
        <v>4480</v>
      </c>
      <c r="D627" s="61" t="s">
        <v>36</v>
      </c>
      <c r="E627" s="209">
        <v>2688000</v>
      </c>
      <c r="F627" s="205">
        <f t="shared" si="18"/>
        <v>2607360</v>
      </c>
      <c r="G627" s="206">
        <f t="shared" si="19"/>
        <v>2526720</v>
      </c>
      <c r="H627" s="210">
        <v>695.35</v>
      </c>
      <c r="I627" s="210">
        <v>561.23</v>
      </c>
      <c r="J627" s="210">
        <v>134.12</v>
      </c>
      <c r="K627" s="61" t="s">
        <v>1544</v>
      </c>
    </row>
    <row r="628" spans="1:11">
      <c r="A628" s="202">
        <v>625</v>
      </c>
      <c r="B628" s="203" t="s">
        <v>2148</v>
      </c>
      <c r="C628" s="61" t="s">
        <v>4480</v>
      </c>
      <c r="D628" s="61" t="s">
        <v>36</v>
      </c>
      <c r="E628" s="209">
        <v>2688000</v>
      </c>
      <c r="F628" s="205">
        <f t="shared" si="18"/>
        <v>2607360</v>
      </c>
      <c r="G628" s="206">
        <f t="shared" si="19"/>
        <v>2526720</v>
      </c>
      <c r="H628" s="210">
        <v>695.35</v>
      </c>
      <c r="I628" s="210">
        <v>561.23</v>
      </c>
      <c r="J628" s="210">
        <v>134.12</v>
      </c>
      <c r="K628" s="61" t="s">
        <v>1544</v>
      </c>
    </row>
    <row r="629" spans="1:11">
      <c r="A629" s="202">
        <v>626</v>
      </c>
      <c r="B629" s="203" t="s">
        <v>2149</v>
      </c>
      <c r="C629" s="61" t="s">
        <v>4497</v>
      </c>
      <c r="D629" s="61" t="s">
        <v>36</v>
      </c>
      <c r="E629" s="209">
        <v>2686000</v>
      </c>
      <c r="F629" s="205">
        <f t="shared" si="18"/>
        <v>2605420</v>
      </c>
      <c r="G629" s="206">
        <f t="shared" si="19"/>
        <v>2524840</v>
      </c>
      <c r="H629" s="210">
        <v>695.35</v>
      </c>
      <c r="I629" s="210">
        <v>561.23</v>
      </c>
      <c r="J629" s="210">
        <v>134.12</v>
      </c>
      <c r="K629" s="61" t="s">
        <v>1544</v>
      </c>
    </row>
    <row r="630" spans="1:11">
      <c r="A630" s="202">
        <v>627</v>
      </c>
      <c r="B630" s="203" t="s">
        <v>2150</v>
      </c>
      <c r="C630" s="61" t="s">
        <v>4497</v>
      </c>
      <c r="D630" s="61" t="s">
        <v>36</v>
      </c>
      <c r="E630" s="209">
        <v>2686000</v>
      </c>
      <c r="F630" s="205">
        <f t="shared" si="18"/>
        <v>2605420</v>
      </c>
      <c r="G630" s="206">
        <f t="shared" si="19"/>
        <v>2524840</v>
      </c>
      <c r="H630" s="210">
        <v>695.35</v>
      </c>
      <c r="I630" s="210">
        <v>561.23</v>
      </c>
      <c r="J630" s="210">
        <v>134.12</v>
      </c>
      <c r="K630" s="61" t="s">
        <v>1544</v>
      </c>
    </row>
    <row r="631" spans="1:11">
      <c r="A631" s="202">
        <v>628</v>
      </c>
      <c r="B631" s="203" t="s">
        <v>2151</v>
      </c>
      <c r="C631" s="61" t="s">
        <v>4476</v>
      </c>
      <c r="D631" s="61" t="s">
        <v>36</v>
      </c>
      <c r="E631" s="209">
        <v>2678000</v>
      </c>
      <c r="F631" s="205">
        <f t="shared" si="18"/>
        <v>2597660</v>
      </c>
      <c r="G631" s="206">
        <f t="shared" si="19"/>
        <v>2517320</v>
      </c>
      <c r="H631" s="210">
        <v>695.35</v>
      </c>
      <c r="I631" s="210">
        <v>561.23</v>
      </c>
      <c r="J631" s="210">
        <v>134.12</v>
      </c>
      <c r="K631" s="61" t="s">
        <v>1544</v>
      </c>
    </row>
    <row r="632" spans="1:11">
      <c r="A632" s="202">
        <v>629</v>
      </c>
      <c r="B632" s="203" t="s">
        <v>2152</v>
      </c>
      <c r="C632" s="61" t="s">
        <v>4476</v>
      </c>
      <c r="D632" s="61" t="s">
        <v>36</v>
      </c>
      <c r="E632" s="209">
        <v>2678000</v>
      </c>
      <c r="F632" s="205">
        <f t="shared" si="18"/>
        <v>2597660</v>
      </c>
      <c r="G632" s="206">
        <f t="shared" si="19"/>
        <v>2517320</v>
      </c>
      <c r="H632" s="210">
        <v>695.35</v>
      </c>
      <c r="I632" s="210">
        <v>561.23</v>
      </c>
      <c r="J632" s="210">
        <v>134.12</v>
      </c>
      <c r="K632" s="61" t="s">
        <v>1544</v>
      </c>
    </row>
    <row r="633" spans="1:11">
      <c r="A633" s="202">
        <v>630</v>
      </c>
      <c r="B633" s="203" t="s">
        <v>2153</v>
      </c>
      <c r="C633" s="61" t="s">
        <v>4476</v>
      </c>
      <c r="D633" s="61" t="s">
        <v>36</v>
      </c>
      <c r="E633" s="209">
        <v>2678000</v>
      </c>
      <c r="F633" s="205">
        <f t="shared" si="18"/>
        <v>2597660</v>
      </c>
      <c r="G633" s="206">
        <f t="shared" si="19"/>
        <v>2517320</v>
      </c>
      <c r="H633" s="210">
        <v>695.35</v>
      </c>
      <c r="I633" s="210">
        <v>561.23</v>
      </c>
      <c r="J633" s="210">
        <v>134.12</v>
      </c>
      <c r="K633" s="61" t="s">
        <v>1544</v>
      </c>
    </row>
    <row r="634" spans="1:11">
      <c r="A634" s="202">
        <v>631</v>
      </c>
      <c r="B634" s="203" t="s">
        <v>2154</v>
      </c>
      <c r="C634" s="61" t="s">
        <v>4475</v>
      </c>
      <c r="D634" s="61" t="s">
        <v>36</v>
      </c>
      <c r="E634" s="209">
        <v>2675000</v>
      </c>
      <c r="F634" s="205">
        <f t="shared" si="18"/>
        <v>2594750</v>
      </c>
      <c r="G634" s="206">
        <f t="shared" si="19"/>
        <v>2514500</v>
      </c>
      <c r="H634" s="210">
        <v>695.35</v>
      </c>
      <c r="I634" s="210">
        <v>561.23</v>
      </c>
      <c r="J634" s="210">
        <v>134.12</v>
      </c>
      <c r="K634" s="61" t="s">
        <v>1544</v>
      </c>
    </row>
    <row r="635" spans="1:11">
      <c r="A635" s="202">
        <v>632</v>
      </c>
      <c r="B635" s="203" t="s">
        <v>2155</v>
      </c>
      <c r="C635" s="61" t="s">
        <v>4475</v>
      </c>
      <c r="D635" s="61" t="s">
        <v>36</v>
      </c>
      <c r="E635" s="209">
        <v>2675000</v>
      </c>
      <c r="F635" s="205">
        <f t="shared" si="18"/>
        <v>2594750</v>
      </c>
      <c r="G635" s="206">
        <f t="shared" si="19"/>
        <v>2514500</v>
      </c>
      <c r="H635" s="210">
        <v>695.35</v>
      </c>
      <c r="I635" s="210">
        <v>561.23</v>
      </c>
      <c r="J635" s="210">
        <v>134.12</v>
      </c>
      <c r="K635" s="61" t="s">
        <v>1544</v>
      </c>
    </row>
    <row r="636" spans="1:11">
      <c r="A636" s="202">
        <v>633</v>
      </c>
      <c r="B636" s="203" t="s">
        <v>2156</v>
      </c>
      <c r="C636" s="61" t="s">
        <v>4475</v>
      </c>
      <c r="D636" s="61" t="s">
        <v>36</v>
      </c>
      <c r="E636" s="209">
        <v>2675000</v>
      </c>
      <c r="F636" s="205">
        <f t="shared" si="18"/>
        <v>2594750</v>
      </c>
      <c r="G636" s="206">
        <f t="shared" si="19"/>
        <v>2514500</v>
      </c>
      <c r="H636" s="210">
        <v>695.35</v>
      </c>
      <c r="I636" s="210">
        <v>561.23</v>
      </c>
      <c r="J636" s="210">
        <v>134.12</v>
      </c>
      <c r="K636" s="61" t="s">
        <v>1544</v>
      </c>
    </row>
    <row r="637" spans="1:11">
      <c r="A637" s="202">
        <v>634</v>
      </c>
      <c r="B637" s="203" t="s">
        <v>2157</v>
      </c>
      <c r="C637" s="61" t="s">
        <v>4475</v>
      </c>
      <c r="D637" s="61" t="s">
        <v>36</v>
      </c>
      <c r="E637" s="209">
        <v>2675000</v>
      </c>
      <c r="F637" s="205">
        <f t="shared" si="18"/>
        <v>2594750</v>
      </c>
      <c r="G637" s="206">
        <f t="shared" si="19"/>
        <v>2514500</v>
      </c>
      <c r="H637" s="210">
        <v>695.35</v>
      </c>
      <c r="I637" s="210">
        <v>561.23</v>
      </c>
      <c r="J637" s="210">
        <v>134.12</v>
      </c>
      <c r="K637" s="61" t="s">
        <v>1544</v>
      </c>
    </row>
    <row r="638" spans="1:11">
      <c r="A638" s="202">
        <v>635</v>
      </c>
      <c r="B638" s="203" t="s">
        <v>2158</v>
      </c>
      <c r="C638" s="61" t="s">
        <v>4473</v>
      </c>
      <c r="D638" s="61" t="s">
        <v>36</v>
      </c>
      <c r="E638" s="209">
        <v>2670000</v>
      </c>
      <c r="F638" s="205">
        <f t="shared" si="18"/>
        <v>2589900</v>
      </c>
      <c r="G638" s="206">
        <f t="shared" si="19"/>
        <v>2509800</v>
      </c>
      <c r="H638" s="210">
        <v>695.35</v>
      </c>
      <c r="I638" s="210">
        <v>561.23</v>
      </c>
      <c r="J638" s="210">
        <v>134.12</v>
      </c>
      <c r="K638" s="61" t="s">
        <v>1544</v>
      </c>
    </row>
    <row r="639" spans="1:11">
      <c r="A639" s="202">
        <v>636</v>
      </c>
      <c r="B639" s="203" t="s">
        <v>2159</v>
      </c>
      <c r="C639" s="61" t="s">
        <v>4473</v>
      </c>
      <c r="D639" s="61" t="s">
        <v>36</v>
      </c>
      <c r="E639" s="209">
        <v>2670000</v>
      </c>
      <c r="F639" s="205">
        <f t="shared" si="18"/>
        <v>2589900</v>
      </c>
      <c r="G639" s="206">
        <f t="shared" si="19"/>
        <v>2509800</v>
      </c>
      <c r="H639" s="210">
        <v>695.35</v>
      </c>
      <c r="I639" s="210">
        <v>561.23</v>
      </c>
      <c r="J639" s="210">
        <v>134.12</v>
      </c>
      <c r="K639" s="61" t="s">
        <v>1544</v>
      </c>
    </row>
    <row r="640" spans="1:11">
      <c r="A640" s="202">
        <v>637</v>
      </c>
      <c r="B640" s="203" t="s">
        <v>2160</v>
      </c>
      <c r="C640" s="61" t="s">
        <v>4473</v>
      </c>
      <c r="D640" s="61" t="s">
        <v>36</v>
      </c>
      <c r="E640" s="209">
        <v>2670000</v>
      </c>
      <c r="F640" s="205">
        <f t="shared" si="18"/>
        <v>2589900</v>
      </c>
      <c r="G640" s="206">
        <f t="shared" si="19"/>
        <v>2509800</v>
      </c>
      <c r="H640" s="210">
        <v>695.35</v>
      </c>
      <c r="I640" s="210">
        <v>561.23</v>
      </c>
      <c r="J640" s="210">
        <v>134.12</v>
      </c>
      <c r="K640" s="61" t="s">
        <v>1544</v>
      </c>
    </row>
    <row r="641" spans="1:11">
      <c r="A641" s="202">
        <v>638</v>
      </c>
      <c r="B641" s="203" t="s">
        <v>2161</v>
      </c>
      <c r="C641" s="61" t="s">
        <v>4473</v>
      </c>
      <c r="D641" s="61" t="s">
        <v>36</v>
      </c>
      <c r="E641" s="209">
        <v>2670000</v>
      </c>
      <c r="F641" s="205">
        <f t="shared" si="18"/>
        <v>2589900</v>
      </c>
      <c r="G641" s="206">
        <f t="shared" si="19"/>
        <v>2509800</v>
      </c>
      <c r="H641" s="210">
        <v>695.35</v>
      </c>
      <c r="I641" s="210">
        <v>561.23</v>
      </c>
      <c r="J641" s="210">
        <v>134.12</v>
      </c>
      <c r="K641" s="61" t="s">
        <v>1544</v>
      </c>
    </row>
    <row r="642" spans="1:11">
      <c r="A642" s="202">
        <v>639</v>
      </c>
      <c r="B642" s="203" t="s">
        <v>2162</v>
      </c>
      <c r="C642" s="61" t="s">
        <v>4471</v>
      </c>
      <c r="D642" s="61" t="s">
        <v>36</v>
      </c>
      <c r="E642" s="209">
        <v>2665000</v>
      </c>
      <c r="F642" s="205">
        <f t="shared" ref="F642:F705" si="20">E642*0.97</f>
        <v>2585050</v>
      </c>
      <c r="G642" s="206">
        <f t="shared" ref="G642:G705" si="21">E642*0.94</f>
        <v>2505100</v>
      </c>
      <c r="H642" s="210">
        <v>695.35</v>
      </c>
      <c r="I642" s="210">
        <v>561.23</v>
      </c>
      <c r="J642" s="210">
        <v>134.12</v>
      </c>
      <c r="K642" s="61" t="s">
        <v>1544</v>
      </c>
    </row>
    <row r="643" spans="1:11">
      <c r="A643" s="202">
        <v>640</v>
      </c>
      <c r="B643" s="203" t="s">
        <v>2163</v>
      </c>
      <c r="C643" s="61" t="s">
        <v>4471</v>
      </c>
      <c r="D643" s="61" t="s">
        <v>36</v>
      </c>
      <c r="E643" s="209">
        <v>2665000</v>
      </c>
      <c r="F643" s="205">
        <f t="shared" si="20"/>
        <v>2585050</v>
      </c>
      <c r="G643" s="206">
        <f t="shared" si="21"/>
        <v>2505100</v>
      </c>
      <c r="H643" s="210">
        <v>695.35</v>
      </c>
      <c r="I643" s="210">
        <v>561.23</v>
      </c>
      <c r="J643" s="210">
        <v>134.12</v>
      </c>
      <c r="K643" s="61" t="s">
        <v>1544</v>
      </c>
    </row>
    <row r="644" spans="1:11">
      <c r="A644" s="202">
        <v>641</v>
      </c>
      <c r="B644" s="203" t="s">
        <v>2164</v>
      </c>
      <c r="C644" s="61" t="s">
        <v>4471</v>
      </c>
      <c r="D644" s="61" t="s">
        <v>36</v>
      </c>
      <c r="E644" s="209">
        <v>2665000</v>
      </c>
      <c r="F644" s="205">
        <f t="shared" si="20"/>
        <v>2585050</v>
      </c>
      <c r="G644" s="206">
        <f t="shared" si="21"/>
        <v>2505100</v>
      </c>
      <c r="H644" s="210">
        <v>695.35</v>
      </c>
      <c r="I644" s="210">
        <v>561.23</v>
      </c>
      <c r="J644" s="210">
        <v>134.12</v>
      </c>
      <c r="K644" s="61" t="s">
        <v>1544</v>
      </c>
    </row>
    <row r="645" spans="1:11">
      <c r="A645" s="202">
        <v>642</v>
      </c>
      <c r="B645" s="203" t="s">
        <v>2165</v>
      </c>
      <c r="C645" s="61" t="s">
        <v>4471</v>
      </c>
      <c r="D645" s="61" t="s">
        <v>36</v>
      </c>
      <c r="E645" s="209">
        <v>2665000</v>
      </c>
      <c r="F645" s="205">
        <f t="shared" si="20"/>
        <v>2585050</v>
      </c>
      <c r="G645" s="206">
        <f t="shared" si="21"/>
        <v>2505100</v>
      </c>
      <c r="H645" s="210">
        <v>695.35</v>
      </c>
      <c r="I645" s="210">
        <v>561.23</v>
      </c>
      <c r="J645" s="210">
        <v>134.12</v>
      </c>
      <c r="K645" s="61" t="s">
        <v>1544</v>
      </c>
    </row>
    <row r="646" spans="1:11">
      <c r="A646" s="202">
        <v>643</v>
      </c>
      <c r="B646" s="203" t="s">
        <v>2166</v>
      </c>
      <c r="C646" s="61" t="s">
        <v>4471</v>
      </c>
      <c r="D646" s="61" t="s">
        <v>36</v>
      </c>
      <c r="E646" s="209">
        <v>2665000</v>
      </c>
      <c r="F646" s="205">
        <f t="shared" si="20"/>
        <v>2585050</v>
      </c>
      <c r="G646" s="206">
        <f t="shared" si="21"/>
        <v>2505100</v>
      </c>
      <c r="H646" s="210">
        <v>695.35</v>
      </c>
      <c r="I646" s="210">
        <v>561.23</v>
      </c>
      <c r="J646" s="210">
        <v>134.12</v>
      </c>
      <c r="K646" s="61" t="s">
        <v>1544</v>
      </c>
    </row>
    <row r="647" spans="1:11">
      <c r="A647" s="202">
        <v>644</v>
      </c>
      <c r="B647" s="203" t="s">
        <v>2167</v>
      </c>
      <c r="C647" s="61" t="s">
        <v>4471</v>
      </c>
      <c r="D647" s="61" t="s">
        <v>36</v>
      </c>
      <c r="E647" s="209">
        <v>2665000</v>
      </c>
      <c r="F647" s="205">
        <f t="shared" si="20"/>
        <v>2585050</v>
      </c>
      <c r="G647" s="206">
        <f t="shared" si="21"/>
        <v>2505100</v>
      </c>
      <c r="H647" s="210">
        <v>695.35</v>
      </c>
      <c r="I647" s="210">
        <v>561.23</v>
      </c>
      <c r="J647" s="210">
        <v>134.12</v>
      </c>
      <c r="K647" s="61" t="s">
        <v>1544</v>
      </c>
    </row>
    <row r="648" spans="1:11">
      <c r="A648" s="202">
        <v>645</v>
      </c>
      <c r="B648" s="203" t="s">
        <v>2168</v>
      </c>
      <c r="C648" s="61" t="s">
        <v>4470</v>
      </c>
      <c r="D648" s="61" t="s">
        <v>36</v>
      </c>
      <c r="E648" s="209">
        <v>2663000</v>
      </c>
      <c r="F648" s="205">
        <f t="shared" si="20"/>
        <v>2583110</v>
      </c>
      <c r="G648" s="206">
        <f t="shared" si="21"/>
        <v>2503220</v>
      </c>
      <c r="H648" s="210">
        <v>695.35</v>
      </c>
      <c r="I648" s="210">
        <v>561.23</v>
      </c>
      <c r="J648" s="210">
        <v>134.12</v>
      </c>
      <c r="K648" s="61" t="s">
        <v>1544</v>
      </c>
    </row>
    <row r="649" spans="1:11">
      <c r="A649" s="202">
        <v>646</v>
      </c>
      <c r="B649" s="203" t="s">
        <v>2169</v>
      </c>
      <c r="C649" s="61" t="s">
        <v>4470</v>
      </c>
      <c r="D649" s="61" t="s">
        <v>36</v>
      </c>
      <c r="E649" s="209">
        <v>2663000</v>
      </c>
      <c r="F649" s="205">
        <f t="shared" si="20"/>
        <v>2583110</v>
      </c>
      <c r="G649" s="206">
        <f t="shared" si="21"/>
        <v>2503220</v>
      </c>
      <c r="H649" s="210">
        <v>695.35</v>
      </c>
      <c r="I649" s="210">
        <v>561.23</v>
      </c>
      <c r="J649" s="210">
        <v>134.12</v>
      </c>
      <c r="K649" s="61" t="s">
        <v>1544</v>
      </c>
    </row>
    <row r="650" spans="1:11">
      <c r="A650" s="202">
        <v>647</v>
      </c>
      <c r="B650" s="203" t="s">
        <v>2170</v>
      </c>
      <c r="C650" s="61" t="s">
        <v>4470</v>
      </c>
      <c r="D650" s="61" t="s">
        <v>36</v>
      </c>
      <c r="E650" s="209">
        <v>2663000</v>
      </c>
      <c r="F650" s="205">
        <f t="shared" si="20"/>
        <v>2583110</v>
      </c>
      <c r="G650" s="206">
        <f t="shared" si="21"/>
        <v>2503220</v>
      </c>
      <c r="H650" s="210">
        <v>695.35</v>
      </c>
      <c r="I650" s="210">
        <v>561.23</v>
      </c>
      <c r="J650" s="210">
        <v>134.12</v>
      </c>
      <c r="K650" s="61" t="s">
        <v>1544</v>
      </c>
    </row>
    <row r="651" spans="1:11">
      <c r="A651" s="202">
        <v>648</v>
      </c>
      <c r="B651" s="203" t="s">
        <v>2171</v>
      </c>
      <c r="C651" s="61" t="s">
        <v>4470</v>
      </c>
      <c r="D651" s="61" t="s">
        <v>36</v>
      </c>
      <c r="E651" s="209">
        <v>2663000</v>
      </c>
      <c r="F651" s="205">
        <f t="shared" si="20"/>
        <v>2583110</v>
      </c>
      <c r="G651" s="206">
        <f t="shared" si="21"/>
        <v>2503220</v>
      </c>
      <c r="H651" s="210">
        <v>695.35</v>
      </c>
      <c r="I651" s="210">
        <v>561.23</v>
      </c>
      <c r="J651" s="210">
        <v>134.12</v>
      </c>
      <c r="K651" s="61" t="s">
        <v>1544</v>
      </c>
    </row>
    <row r="652" spans="1:11">
      <c r="A652" s="202">
        <v>649</v>
      </c>
      <c r="B652" s="203" t="s">
        <v>2172</v>
      </c>
      <c r="C652" s="61" t="s">
        <v>4470</v>
      </c>
      <c r="D652" s="61" t="s">
        <v>36</v>
      </c>
      <c r="E652" s="209">
        <v>2663000</v>
      </c>
      <c r="F652" s="205">
        <f t="shared" si="20"/>
        <v>2583110</v>
      </c>
      <c r="G652" s="206">
        <f t="shared" si="21"/>
        <v>2503220</v>
      </c>
      <c r="H652" s="210">
        <v>695.35</v>
      </c>
      <c r="I652" s="210">
        <v>561.23</v>
      </c>
      <c r="J652" s="210">
        <v>134.12</v>
      </c>
      <c r="K652" s="61" t="s">
        <v>1544</v>
      </c>
    </row>
    <row r="653" spans="1:11">
      <c r="A653" s="202">
        <v>650</v>
      </c>
      <c r="B653" s="203" t="s">
        <v>2173</v>
      </c>
      <c r="C653" s="61" t="s">
        <v>4469</v>
      </c>
      <c r="D653" s="61" t="s">
        <v>36</v>
      </c>
      <c r="E653" s="209">
        <v>2660000</v>
      </c>
      <c r="F653" s="205">
        <f t="shared" si="20"/>
        <v>2580200</v>
      </c>
      <c r="G653" s="206">
        <f t="shared" si="21"/>
        <v>2500400</v>
      </c>
      <c r="H653" s="210">
        <v>695.35</v>
      </c>
      <c r="I653" s="210">
        <v>561.23</v>
      </c>
      <c r="J653" s="210">
        <v>134.12</v>
      </c>
      <c r="K653" s="61" t="s">
        <v>1544</v>
      </c>
    </row>
    <row r="654" spans="1:11">
      <c r="A654" s="202">
        <v>651</v>
      </c>
      <c r="B654" s="203" t="s">
        <v>2174</v>
      </c>
      <c r="C654" s="61" t="s">
        <v>4469</v>
      </c>
      <c r="D654" s="61" t="s">
        <v>36</v>
      </c>
      <c r="E654" s="209">
        <v>2660000</v>
      </c>
      <c r="F654" s="205">
        <f t="shared" si="20"/>
        <v>2580200</v>
      </c>
      <c r="G654" s="206">
        <f t="shared" si="21"/>
        <v>2500400</v>
      </c>
      <c r="H654" s="210">
        <v>695.35</v>
      </c>
      <c r="I654" s="210">
        <v>561.23</v>
      </c>
      <c r="J654" s="210">
        <v>134.12</v>
      </c>
      <c r="K654" s="61" t="s">
        <v>1544</v>
      </c>
    </row>
    <row r="655" spans="1:11">
      <c r="A655" s="202">
        <v>652</v>
      </c>
      <c r="B655" s="203" t="s">
        <v>2175</v>
      </c>
      <c r="C655" s="61" t="s">
        <v>4469</v>
      </c>
      <c r="D655" s="61" t="s">
        <v>36</v>
      </c>
      <c r="E655" s="209">
        <v>2660000</v>
      </c>
      <c r="F655" s="205">
        <f t="shared" si="20"/>
        <v>2580200</v>
      </c>
      <c r="G655" s="206">
        <f t="shared" si="21"/>
        <v>2500400</v>
      </c>
      <c r="H655" s="210">
        <v>695.35</v>
      </c>
      <c r="I655" s="210">
        <v>561.23</v>
      </c>
      <c r="J655" s="210">
        <v>134.12</v>
      </c>
      <c r="K655" s="61" t="s">
        <v>1544</v>
      </c>
    </row>
    <row r="656" spans="1:11">
      <c r="A656" s="202">
        <v>653</v>
      </c>
      <c r="B656" s="203" t="s">
        <v>2176</v>
      </c>
      <c r="C656" s="61" t="s">
        <v>4469</v>
      </c>
      <c r="D656" s="61" t="s">
        <v>36</v>
      </c>
      <c r="E656" s="209">
        <v>2660000</v>
      </c>
      <c r="F656" s="205">
        <f t="shared" si="20"/>
        <v>2580200</v>
      </c>
      <c r="G656" s="206">
        <f t="shared" si="21"/>
        <v>2500400</v>
      </c>
      <c r="H656" s="210">
        <v>695.35</v>
      </c>
      <c r="I656" s="210">
        <v>561.23</v>
      </c>
      <c r="J656" s="210">
        <v>134.12</v>
      </c>
      <c r="K656" s="61" t="s">
        <v>1544</v>
      </c>
    </row>
    <row r="657" spans="1:11">
      <c r="A657" s="202">
        <v>654</v>
      </c>
      <c r="B657" s="203" t="s">
        <v>2177</v>
      </c>
      <c r="C657" s="61" t="s">
        <v>4469</v>
      </c>
      <c r="D657" s="61" t="s">
        <v>36</v>
      </c>
      <c r="E657" s="209">
        <v>2660000</v>
      </c>
      <c r="F657" s="205">
        <f t="shared" si="20"/>
        <v>2580200</v>
      </c>
      <c r="G657" s="206">
        <f t="shared" si="21"/>
        <v>2500400</v>
      </c>
      <c r="H657" s="210">
        <v>695.35</v>
      </c>
      <c r="I657" s="210">
        <v>561.23</v>
      </c>
      <c r="J657" s="210">
        <v>134.12</v>
      </c>
      <c r="K657" s="61" t="s">
        <v>1544</v>
      </c>
    </row>
    <row r="658" spans="1:11">
      <c r="A658" s="202">
        <v>655</v>
      </c>
      <c r="B658" s="203" t="s">
        <v>2178</v>
      </c>
      <c r="C658" s="61" t="s">
        <v>4469</v>
      </c>
      <c r="D658" s="61" t="s">
        <v>36</v>
      </c>
      <c r="E658" s="209">
        <v>2660000</v>
      </c>
      <c r="F658" s="205">
        <f t="shared" si="20"/>
        <v>2580200</v>
      </c>
      <c r="G658" s="206">
        <f t="shared" si="21"/>
        <v>2500400</v>
      </c>
      <c r="H658" s="210">
        <v>695.35</v>
      </c>
      <c r="I658" s="210">
        <v>561.23</v>
      </c>
      <c r="J658" s="210">
        <v>134.12</v>
      </c>
      <c r="K658" s="61" t="s">
        <v>1544</v>
      </c>
    </row>
    <row r="659" spans="1:11">
      <c r="A659" s="202">
        <v>656</v>
      </c>
      <c r="B659" s="203" t="s">
        <v>4584</v>
      </c>
      <c r="C659" s="61" t="s">
        <v>4468</v>
      </c>
      <c r="D659" s="61" t="s">
        <v>36</v>
      </c>
      <c r="E659" s="209">
        <v>2658000</v>
      </c>
      <c r="F659" s="205">
        <f t="shared" si="20"/>
        <v>2578260</v>
      </c>
      <c r="G659" s="206">
        <f t="shared" si="21"/>
        <v>2498520</v>
      </c>
      <c r="H659" s="210">
        <v>695.35</v>
      </c>
      <c r="I659" s="210">
        <v>561.23</v>
      </c>
      <c r="J659" s="210">
        <v>134.12</v>
      </c>
      <c r="K659" s="61" t="s">
        <v>1544</v>
      </c>
    </row>
    <row r="660" spans="1:11">
      <c r="A660" s="202">
        <v>657</v>
      </c>
      <c r="B660" s="203" t="s">
        <v>4585</v>
      </c>
      <c r="C660" s="61" t="s">
        <v>4468</v>
      </c>
      <c r="D660" s="61" t="s">
        <v>36</v>
      </c>
      <c r="E660" s="209">
        <v>2658000</v>
      </c>
      <c r="F660" s="205">
        <f t="shared" si="20"/>
        <v>2578260</v>
      </c>
      <c r="G660" s="206">
        <f t="shared" si="21"/>
        <v>2498520</v>
      </c>
      <c r="H660" s="210">
        <v>695.35</v>
      </c>
      <c r="I660" s="210">
        <v>561.23</v>
      </c>
      <c r="J660" s="210">
        <v>134.12</v>
      </c>
      <c r="K660" s="61" t="s">
        <v>1544</v>
      </c>
    </row>
    <row r="661" spans="1:11">
      <c r="A661" s="202">
        <v>658</v>
      </c>
      <c r="B661" s="203" t="s">
        <v>4586</v>
      </c>
      <c r="C661" s="61" t="s">
        <v>4468</v>
      </c>
      <c r="D661" s="61" t="s">
        <v>36</v>
      </c>
      <c r="E661" s="209">
        <v>2658000</v>
      </c>
      <c r="F661" s="205">
        <f t="shared" si="20"/>
        <v>2578260</v>
      </c>
      <c r="G661" s="206">
        <f t="shared" si="21"/>
        <v>2498520</v>
      </c>
      <c r="H661" s="210">
        <v>695.35</v>
      </c>
      <c r="I661" s="210">
        <v>561.23</v>
      </c>
      <c r="J661" s="210">
        <v>134.12</v>
      </c>
      <c r="K661" s="61" t="s">
        <v>1544</v>
      </c>
    </row>
    <row r="662" spans="1:11">
      <c r="A662" s="202">
        <v>659</v>
      </c>
      <c r="B662" s="203" t="s">
        <v>4587</v>
      </c>
      <c r="C662" s="61" t="s">
        <v>4468</v>
      </c>
      <c r="D662" s="61" t="s">
        <v>36</v>
      </c>
      <c r="E662" s="209">
        <v>2658000</v>
      </c>
      <c r="F662" s="205">
        <f t="shared" si="20"/>
        <v>2578260</v>
      </c>
      <c r="G662" s="206">
        <f t="shared" si="21"/>
        <v>2498520</v>
      </c>
      <c r="H662" s="210">
        <v>695.35</v>
      </c>
      <c r="I662" s="210">
        <v>561.23</v>
      </c>
      <c r="J662" s="210">
        <v>134.12</v>
      </c>
      <c r="K662" s="61" t="s">
        <v>1544</v>
      </c>
    </row>
    <row r="663" spans="1:11">
      <c r="A663" s="202">
        <v>660</v>
      </c>
      <c r="B663" s="203" t="s">
        <v>4588</v>
      </c>
      <c r="C663" s="61" t="s">
        <v>4468</v>
      </c>
      <c r="D663" s="61" t="s">
        <v>36</v>
      </c>
      <c r="E663" s="209">
        <v>2658000</v>
      </c>
      <c r="F663" s="205">
        <f t="shared" si="20"/>
        <v>2578260</v>
      </c>
      <c r="G663" s="206">
        <f t="shared" si="21"/>
        <v>2498520</v>
      </c>
      <c r="H663" s="210">
        <v>695.35</v>
      </c>
      <c r="I663" s="210">
        <v>561.23</v>
      </c>
      <c r="J663" s="210">
        <v>134.12</v>
      </c>
      <c r="K663" s="61" t="s">
        <v>1544</v>
      </c>
    </row>
    <row r="664" spans="1:11">
      <c r="A664" s="202">
        <v>661</v>
      </c>
      <c r="B664" s="203" t="s">
        <v>4589</v>
      </c>
      <c r="C664" s="61" t="s">
        <v>4468</v>
      </c>
      <c r="D664" s="61" t="s">
        <v>36</v>
      </c>
      <c r="E664" s="209">
        <v>2658000</v>
      </c>
      <c r="F664" s="205">
        <f t="shared" si="20"/>
        <v>2578260</v>
      </c>
      <c r="G664" s="206">
        <f t="shared" si="21"/>
        <v>2498520</v>
      </c>
      <c r="H664" s="210">
        <v>695.35</v>
      </c>
      <c r="I664" s="210">
        <v>561.23</v>
      </c>
      <c r="J664" s="210">
        <v>134.12</v>
      </c>
      <c r="K664" s="61" t="s">
        <v>1544</v>
      </c>
    </row>
    <row r="665" spans="1:11">
      <c r="A665" s="202">
        <v>662</v>
      </c>
      <c r="B665" s="203" t="s">
        <v>4590</v>
      </c>
      <c r="C665" s="61" t="s">
        <v>4468</v>
      </c>
      <c r="D665" s="61" t="s">
        <v>36</v>
      </c>
      <c r="E665" s="209">
        <v>2658000</v>
      </c>
      <c r="F665" s="205">
        <f t="shared" si="20"/>
        <v>2578260</v>
      </c>
      <c r="G665" s="206">
        <f t="shared" si="21"/>
        <v>2498520</v>
      </c>
      <c r="H665" s="210">
        <v>695.35</v>
      </c>
      <c r="I665" s="210">
        <v>561.23</v>
      </c>
      <c r="J665" s="210">
        <v>134.12</v>
      </c>
      <c r="K665" s="61" t="s">
        <v>1544</v>
      </c>
    </row>
    <row r="666" spans="1:11">
      <c r="A666" s="202">
        <v>663</v>
      </c>
      <c r="B666" s="203" t="s">
        <v>2179</v>
      </c>
      <c r="C666" s="61" t="s">
        <v>4467</v>
      </c>
      <c r="D666" s="61" t="s">
        <v>36</v>
      </c>
      <c r="E666" s="209">
        <v>2655000</v>
      </c>
      <c r="F666" s="205">
        <f t="shared" si="20"/>
        <v>2575350</v>
      </c>
      <c r="G666" s="206">
        <f t="shared" si="21"/>
        <v>2495700</v>
      </c>
      <c r="H666" s="210">
        <v>695.35</v>
      </c>
      <c r="I666" s="210">
        <v>561.23</v>
      </c>
      <c r="J666" s="210">
        <v>134.12</v>
      </c>
      <c r="K666" s="61" t="s">
        <v>1544</v>
      </c>
    </row>
    <row r="667" spans="1:11">
      <c r="A667" s="202">
        <v>664</v>
      </c>
      <c r="B667" s="203" t="s">
        <v>2180</v>
      </c>
      <c r="C667" s="61" t="s">
        <v>4467</v>
      </c>
      <c r="D667" s="61" t="s">
        <v>36</v>
      </c>
      <c r="E667" s="209">
        <v>2655000</v>
      </c>
      <c r="F667" s="205">
        <f t="shared" si="20"/>
        <v>2575350</v>
      </c>
      <c r="G667" s="206">
        <f t="shared" si="21"/>
        <v>2495700</v>
      </c>
      <c r="H667" s="210">
        <v>695.35</v>
      </c>
      <c r="I667" s="210">
        <v>561.23</v>
      </c>
      <c r="J667" s="210">
        <v>134.12</v>
      </c>
      <c r="K667" s="61" t="s">
        <v>1544</v>
      </c>
    </row>
    <row r="668" spans="1:11">
      <c r="A668" s="202">
        <v>665</v>
      </c>
      <c r="B668" s="203" t="s">
        <v>2181</v>
      </c>
      <c r="C668" s="61" t="s">
        <v>4467</v>
      </c>
      <c r="D668" s="61" t="s">
        <v>36</v>
      </c>
      <c r="E668" s="209">
        <v>2655000</v>
      </c>
      <c r="F668" s="205">
        <f t="shared" si="20"/>
        <v>2575350</v>
      </c>
      <c r="G668" s="206">
        <f t="shared" si="21"/>
        <v>2495700</v>
      </c>
      <c r="H668" s="210">
        <v>695.35</v>
      </c>
      <c r="I668" s="210">
        <v>561.23</v>
      </c>
      <c r="J668" s="210">
        <v>134.12</v>
      </c>
      <c r="K668" s="61" t="s">
        <v>1544</v>
      </c>
    </row>
    <row r="669" spans="1:11">
      <c r="A669" s="202">
        <v>666</v>
      </c>
      <c r="B669" s="203" t="s">
        <v>2182</v>
      </c>
      <c r="C669" s="61" t="s">
        <v>4467</v>
      </c>
      <c r="D669" s="61" t="s">
        <v>36</v>
      </c>
      <c r="E669" s="209">
        <v>2655000</v>
      </c>
      <c r="F669" s="205">
        <f t="shared" si="20"/>
        <v>2575350</v>
      </c>
      <c r="G669" s="206">
        <f t="shared" si="21"/>
        <v>2495700</v>
      </c>
      <c r="H669" s="210">
        <v>695.35</v>
      </c>
      <c r="I669" s="210">
        <v>561.23</v>
      </c>
      <c r="J669" s="210">
        <v>134.12</v>
      </c>
      <c r="K669" s="61" t="s">
        <v>1544</v>
      </c>
    </row>
    <row r="670" spans="1:11">
      <c r="A670" s="202">
        <v>667</v>
      </c>
      <c r="B670" s="203" t="s">
        <v>2183</v>
      </c>
      <c r="C670" s="61" t="s">
        <v>4467</v>
      </c>
      <c r="D670" s="61" t="s">
        <v>36</v>
      </c>
      <c r="E670" s="209">
        <v>2655000</v>
      </c>
      <c r="F670" s="205">
        <f t="shared" si="20"/>
        <v>2575350</v>
      </c>
      <c r="G670" s="206">
        <f t="shared" si="21"/>
        <v>2495700</v>
      </c>
      <c r="H670" s="210">
        <v>695.35</v>
      </c>
      <c r="I670" s="210">
        <v>561.23</v>
      </c>
      <c r="J670" s="210">
        <v>134.12</v>
      </c>
      <c r="K670" s="61" t="s">
        <v>1544</v>
      </c>
    </row>
    <row r="671" spans="1:11">
      <c r="A671" s="202">
        <v>668</v>
      </c>
      <c r="B671" s="203" t="s">
        <v>2184</v>
      </c>
      <c r="C671" s="61" t="s">
        <v>4467</v>
      </c>
      <c r="D671" s="61" t="s">
        <v>36</v>
      </c>
      <c r="E671" s="209">
        <v>2655000</v>
      </c>
      <c r="F671" s="205">
        <f t="shared" si="20"/>
        <v>2575350</v>
      </c>
      <c r="G671" s="206">
        <f t="shared" si="21"/>
        <v>2495700</v>
      </c>
      <c r="H671" s="210">
        <v>695.35</v>
      </c>
      <c r="I671" s="210">
        <v>561.23</v>
      </c>
      <c r="J671" s="210">
        <v>134.12</v>
      </c>
      <c r="K671" s="61" t="s">
        <v>1544</v>
      </c>
    </row>
    <row r="672" spans="1:11">
      <c r="A672" s="202">
        <v>669</v>
      </c>
      <c r="B672" s="203" t="s">
        <v>2185</v>
      </c>
      <c r="C672" s="61" t="s">
        <v>4467</v>
      </c>
      <c r="D672" s="61" t="s">
        <v>36</v>
      </c>
      <c r="E672" s="209">
        <v>2655000</v>
      </c>
      <c r="F672" s="205">
        <f t="shared" si="20"/>
        <v>2575350</v>
      </c>
      <c r="G672" s="206">
        <f t="shared" si="21"/>
        <v>2495700</v>
      </c>
      <c r="H672" s="210">
        <v>695.35</v>
      </c>
      <c r="I672" s="210">
        <v>561.23</v>
      </c>
      <c r="J672" s="210">
        <v>134.12</v>
      </c>
      <c r="K672" s="61" t="s">
        <v>1544</v>
      </c>
    </row>
    <row r="673" spans="1:11">
      <c r="A673" s="202">
        <v>670</v>
      </c>
      <c r="B673" s="203" t="s">
        <v>2186</v>
      </c>
      <c r="C673" s="61" t="s">
        <v>4467</v>
      </c>
      <c r="D673" s="61" t="s">
        <v>36</v>
      </c>
      <c r="E673" s="209">
        <v>2655000</v>
      </c>
      <c r="F673" s="205">
        <f t="shared" si="20"/>
        <v>2575350</v>
      </c>
      <c r="G673" s="206">
        <f t="shared" si="21"/>
        <v>2495700</v>
      </c>
      <c r="H673" s="210">
        <v>695.35</v>
      </c>
      <c r="I673" s="210">
        <v>561.23</v>
      </c>
      <c r="J673" s="210">
        <v>134.12</v>
      </c>
      <c r="K673" s="61" t="s">
        <v>1544</v>
      </c>
    </row>
    <row r="674" spans="1:11">
      <c r="A674" s="202">
        <v>671</v>
      </c>
      <c r="B674" s="203" t="s">
        <v>2187</v>
      </c>
      <c r="C674" s="61" t="s">
        <v>4465</v>
      </c>
      <c r="D674" s="61" t="s">
        <v>36</v>
      </c>
      <c r="E674" s="209">
        <v>2650000</v>
      </c>
      <c r="F674" s="205">
        <f t="shared" si="20"/>
        <v>2570500</v>
      </c>
      <c r="G674" s="206">
        <f t="shared" si="21"/>
        <v>2491000</v>
      </c>
      <c r="H674" s="210">
        <v>695.35</v>
      </c>
      <c r="I674" s="210">
        <v>561.23</v>
      </c>
      <c r="J674" s="210">
        <v>134.12</v>
      </c>
      <c r="K674" s="61" t="s">
        <v>1544</v>
      </c>
    </row>
    <row r="675" spans="1:11">
      <c r="A675" s="202">
        <v>672</v>
      </c>
      <c r="B675" s="203" t="s">
        <v>2188</v>
      </c>
      <c r="C675" s="61" t="s">
        <v>4465</v>
      </c>
      <c r="D675" s="61" t="s">
        <v>36</v>
      </c>
      <c r="E675" s="209">
        <v>2650000</v>
      </c>
      <c r="F675" s="205">
        <f t="shared" si="20"/>
        <v>2570500</v>
      </c>
      <c r="G675" s="206">
        <f t="shared" si="21"/>
        <v>2491000</v>
      </c>
      <c r="H675" s="210">
        <v>695.35</v>
      </c>
      <c r="I675" s="210">
        <v>561.23</v>
      </c>
      <c r="J675" s="210">
        <v>134.12</v>
      </c>
      <c r="K675" s="61" t="s">
        <v>1544</v>
      </c>
    </row>
    <row r="676" spans="1:11">
      <c r="A676" s="202">
        <v>673</v>
      </c>
      <c r="B676" s="203" t="s">
        <v>2189</v>
      </c>
      <c r="C676" s="61" t="s">
        <v>4465</v>
      </c>
      <c r="D676" s="61" t="s">
        <v>36</v>
      </c>
      <c r="E676" s="209">
        <v>2650000</v>
      </c>
      <c r="F676" s="205">
        <f t="shared" si="20"/>
        <v>2570500</v>
      </c>
      <c r="G676" s="206">
        <f t="shared" si="21"/>
        <v>2491000</v>
      </c>
      <c r="H676" s="210">
        <v>695.35</v>
      </c>
      <c r="I676" s="210">
        <v>561.23</v>
      </c>
      <c r="J676" s="210">
        <v>134.12</v>
      </c>
      <c r="K676" s="61" t="s">
        <v>1544</v>
      </c>
    </row>
    <row r="677" spans="1:11">
      <c r="A677" s="202">
        <v>674</v>
      </c>
      <c r="B677" s="203" t="s">
        <v>2190</v>
      </c>
      <c r="C677" s="61" t="s">
        <v>4465</v>
      </c>
      <c r="D677" s="61" t="s">
        <v>36</v>
      </c>
      <c r="E677" s="209">
        <v>2650000</v>
      </c>
      <c r="F677" s="205">
        <f t="shared" si="20"/>
        <v>2570500</v>
      </c>
      <c r="G677" s="206">
        <f t="shared" si="21"/>
        <v>2491000</v>
      </c>
      <c r="H677" s="210">
        <v>695.35</v>
      </c>
      <c r="I677" s="210">
        <v>561.23</v>
      </c>
      <c r="J677" s="210">
        <v>134.12</v>
      </c>
      <c r="K677" s="61" t="s">
        <v>1544</v>
      </c>
    </row>
    <row r="678" spans="1:11">
      <c r="A678" s="202">
        <v>675</v>
      </c>
      <c r="B678" s="203" t="s">
        <v>2191</v>
      </c>
      <c r="C678" s="61" t="s">
        <v>4465</v>
      </c>
      <c r="D678" s="61" t="s">
        <v>36</v>
      </c>
      <c r="E678" s="209">
        <v>2650000</v>
      </c>
      <c r="F678" s="205">
        <f t="shared" si="20"/>
        <v>2570500</v>
      </c>
      <c r="G678" s="206">
        <f t="shared" si="21"/>
        <v>2491000</v>
      </c>
      <c r="H678" s="210">
        <v>695.35</v>
      </c>
      <c r="I678" s="210">
        <v>561.23</v>
      </c>
      <c r="J678" s="210">
        <v>134.12</v>
      </c>
      <c r="K678" s="61" t="s">
        <v>1544</v>
      </c>
    </row>
    <row r="679" spans="1:11">
      <c r="A679" s="202">
        <v>676</v>
      </c>
      <c r="B679" s="203" t="s">
        <v>2192</v>
      </c>
      <c r="C679" s="61" t="s">
        <v>4465</v>
      </c>
      <c r="D679" s="61" t="s">
        <v>36</v>
      </c>
      <c r="E679" s="209">
        <v>2650000</v>
      </c>
      <c r="F679" s="205">
        <f t="shared" si="20"/>
        <v>2570500</v>
      </c>
      <c r="G679" s="206">
        <f t="shared" si="21"/>
        <v>2491000</v>
      </c>
      <c r="H679" s="210">
        <v>695.35</v>
      </c>
      <c r="I679" s="210">
        <v>561.23</v>
      </c>
      <c r="J679" s="210">
        <v>134.12</v>
      </c>
      <c r="K679" s="61" t="s">
        <v>1544</v>
      </c>
    </row>
    <row r="680" spans="1:11">
      <c r="A680" s="202">
        <v>677</v>
      </c>
      <c r="B680" s="203" t="s">
        <v>2193</v>
      </c>
      <c r="C680" s="61" t="s">
        <v>4465</v>
      </c>
      <c r="D680" s="61" t="s">
        <v>36</v>
      </c>
      <c r="E680" s="209">
        <v>2650000</v>
      </c>
      <c r="F680" s="205">
        <f t="shared" si="20"/>
        <v>2570500</v>
      </c>
      <c r="G680" s="206">
        <f t="shared" si="21"/>
        <v>2491000</v>
      </c>
      <c r="H680" s="210">
        <v>695.35</v>
      </c>
      <c r="I680" s="210">
        <v>561.23</v>
      </c>
      <c r="J680" s="210">
        <v>134.12</v>
      </c>
      <c r="K680" s="61" t="s">
        <v>1544</v>
      </c>
    </row>
    <row r="681" spans="1:11">
      <c r="A681" s="202">
        <v>678</v>
      </c>
      <c r="B681" s="203" t="s">
        <v>2194</v>
      </c>
      <c r="C681" s="61" t="s">
        <v>4464</v>
      </c>
      <c r="D681" s="61" t="s">
        <v>36</v>
      </c>
      <c r="E681" s="209">
        <v>2648000</v>
      </c>
      <c r="F681" s="205">
        <f t="shared" si="20"/>
        <v>2568560</v>
      </c>
      <c r="G681" s="206">
        <f t="shared" si="21"/>
        <v>2489120</v>
      </c>
      <c r="H681" s="210">
        <v>695.35</v>
      </c>
      <c r="I681" s="210">
        <v>561.23</v>
      </c>
      <c r="J681" s="210">
        <v>134.12</v>
      </c>
      <c r="K681" s="61" t="s">
        <v>1544</v>
      </c>
    </row>
    <row r="682" spans="1:11">
      <c r="A682" s="202">
        <v>679</v>
      </c>
      <c r="B682" s="203" t="s">
        <v>2195</v>
      </c>
      <c r="C682" s="61" t="s">
        <v>4464</v>
      </c>
      <c r="D682" s="61" t="s">
        <v>36</v>
      </c>
      <c r="E682" s="209">
        <v>2648000</v>
      </c>
      <c r="F682" s="205">
        <f t="shared" si="20"/>
        <v>2568560</v>
      </c>
      <c r="G682" s="206">
        <f t="shared" si="21"/>
        <v>2489120</v>
      </c>
      <c r="H682" s="210">
        <v>695.35</v>
      </c>
      <c r="I682" s="210">
        <v>561.23</v>
      </c>
      <c r="J682" s="210">
        <v>134.12</v>
      </c>
      <c r="K682" s="61" t="s">
        <v>1544</v>
      </c>
    </row>
    <row r="683" spans="1:11">
      <c r="A683" s="202">
        <v>680</v>
      </c>
      <c r="B683" s="203" t="s">
        <v>2196</v>
      </c>
      <c r="C683" s="61" t="s">
        <v>4464</v>
      </c>
      <c r="D683" s="61" t="s">
        <v>36</v>
      </c>
      <c r="E683" s="209">
        <v>2648000</v>
      </c>
      <c r="F683" s="205">
        <f t="shared" si="20"/>
        <v>2568560</v>
      </c>
      <c r="G683" s="206">
        <f t="shared" si="21"/>
        <v>2489120</v>
      </c>
      <c r="H683" s="210">
        <v>695.35</v>
      </c>
      <c r="I683" s="210">
        <v>561.23</v>
      </c>
      <c r="J683" s="210">
        <v>134.12</v>
      </c>
      <c r="K683" s="61" t="s">
        <v>1544</v>
      </c>
    </row>
    <row r="684" spans="1:11">
      <c r="A684" s="202">
        <v>681</v>
      </c>
      <c r="B684" s="203" t="s">
        <v>2197</v>
      </c>
      <c r="C684" s="61" t="s">
        <v>4464</v>
      </c>
      <c r="D684" s="61" t="s">
        <v>36</v>
      </c>
      <c r="E684" s="209">
        <v>2648000</v>
      </c>
      <c r="F684" s="205">
        <f t="shared" si="20"/>
        <v>2568560</v>
      </c>
      <c r="G684" s="206">
        <f t="shared" si="21"/>
        <v>2489120</v>
      </c>
      <c r="H684" s="210">
        <v>695.35</v>
      </c>
      <c r="I684" s="210">
        <v>561.23</v>
      </c>
      <c r="J684" s="210">
        <v>134.12</v>
      </c>
      <c r="K684" s="61" t="s">
        <v>1544</v>
      </c>
    </row>
    <row r="685" spans="1:11">
      <c r="A685" s="202">
        <v>682</v>
      </c>
      <c r="B685" s="203" t="s">
        <v>2198</v>
      </c>
      <c r="C685" s="61" t="s">
        <v>4464</v>
      </c>
      <c r="D685" s="61" t="s">
        <v>36</v>
      </c>
      <c r="E685" s="209">
        <v>2648000</v>
      </c>
      <c r="F685" s="205">
        <f t="shared" si="20"/>
        <v>2568560</v>
      </c>
      <c r="G685" s="206">
        <f t="shared" si="21"/>
        <v>2489120</v>
      </c>
      <c r="H685" s="210">
        <v>695.35</v>
      </c>
      <c r="I685" s="210">
        <v>561.23</v>
      </c>
      <c r="J685" s="210">
        <v>134.12</v>
      </c>
      <c r="K685" s="61" t="s">
        <v>1544</v>
      </c>
    </row>
    <row r="686" spans="1:11">
      <c r="A686" s="202">
        <v>683</v>
      </c>
      <c r="B686" s="203" t="s">
        <v>2199</v>
      </c>
      <c r="C686" s="61" t="s">
        <v>4464</v>
      </c>
      <c r="D686" s="61" t="s">
        <v>36</v>
      </c>
      <c r="E686" s="209">
        <v>2648000</v>
      </c>
      <c r="F686" s="205">
        <f t="shared" si="20"/>
        <v>2568560</v>
      </c>
      <c r="G686" s="206">
        <f t="shared" si="21"/>
        <v>2489120</v>
      </c>
      <c r="H686" s="210">
        <v>695.35</v>
      </c>
      <c r="I686" s="210">
        <v>561.23</v>
      </c>
      <c r="J686" s="210">
        <v>134.12</v>
      </c>
      <c r="K686" s="61" t="s">
        <v>1544</v>
      </c>
    </row>
    <row r="687" spans="1:11">
      <c r="A687" s="202">
        <v>684</v>
      </c>
      <c r="B687" s="203" t="s">
        <v>2200</v>
      </c>
      <c r="C687" s="61" t="s">
        <v>4463</v>
      </c>
      <c r="D687" s="61" t="s">
        <v>36</v>
      </c>
      <c r="E687" s="209">
        <v>2645000</v>
      </c>
      <c r="F687" s="205">
        <f t="shared" si="20"/>
        <v>2565650</v>
      </c>
      <c r="G687" s="206">
        <f t="shared" si="21"/>
        <v>2486300</v>
      </c>
      <c r="H687" s="210">
        <v>695.35</v>
      </c>
      <c r="I687" s="210">
        <v>561.23</v>
      </c>
      <c r="J687" s="210">
        <v>134.12</v>
      </c>
      <c r="K687" s="61" t="s">
        <v>1544</v>
      </c>
    </row>
    <row r="688" spans="1:11">
      <c r="A688" s="202">
        <v>685</v>
      </c>
      <c r="B688" s="203" t="s">
        <v>2201</v>
      </c>
      <c r="C688" s="61" t="s">
        <v>4463</v>
      </c>
      <c r="D688" s="61" t="s">
        <v>36</v>
      </c>
      <c r="E688" s="209">
        <v>2645000</v>
      </c>
      <c r="F688" s="205">
        <f t="shared" si="20"/>
        <v>2565650</v>
      </c>
      <c r="G688" s="206">
        <f t="shared" si="21"/>
        <v>2486300</v>
      </c>
      <c r="H688" s="210">
        <v>695.35</v>
      </c>
      <c r="I688" s="210">
        <v>561.23</v>
      </c>
      <c r="J688" s="210">
        <v>134.12</v>
      </c>
      <c r="K688" s="61" t="s">
        <v>1544</v>
      </c>
    </row>
    <row r="689" spans="1:11">
      <c r="A689" s="202">
        <v>686</v>
      </c>
      <c r="B689" s="203" t="s">
        <v>2202</v>
      </c>
      <c r="C689" s="61" t="s">
        <v>4463</v>
      </c>
      <c r="D689" s="61" t="s">
        <v>36</v>
      </c>
      <c r="E689" s="209">
        <v>2645000</v>
      </c>
      <c r="F689" s="205">
        <f t="shared" si="20"/>
        <v>2565650</v>
      </c>
      <c r="G689" s="206">
        <f t="shared" si="21"/>
        <v>2486300</v>
      </c>
      <c r="H689" s="210">
        <v>695.35</v>
      </c>
      <c r="I689" s="210">
        <v>561.23</v>
      </c>
      <c r="J689" s="210">
        <v>134.12</v>
      </c>
      <c r="K689" s="61" t="s">
        <v>1544</v>
      </c>
    </row>
    <row r="690" spans="1:11">
      <c r="A690" s="202">
        <v>687</v>
      </c>
      <c r="B690" s="203" t="s">
        <v>2203</v>
      </c>
      <c r="C690" s="61" t="s">
        <v>4463</v>
      </c>
      <c r="D690" s="61" t="s">
        <v>36</v>
      </c>
      <c r="E690" s="209">
        <v>2645000</v>
      </c>
      <c r="F690" s="205">
        <f t="shared" si="20"/>
        <v>2565650</v>
      </c>
      <c r="G690" s="206">
        <f t="shared" si="21"/>
        <v>2486300</v>
      </c>
      <c r="H690" s="210">
        <v>695.35</v>
      </c>
      <c r="I690" s="210">
        <v>561.23</v>
      </c>
      <c r="J690" s="210">
        <v>134.12</v>
      </c>
      <c r="K690" s="61" t="s">
        <v>1544</v>
      </c>
    </row>
    <row r="691" spans="1:11">
      <c r="A691" s="202">
        <v>688</v>
      </c>
      <c r="B691" s="203" t="s">
        <v>2204</v>
      </c>
      <c r="C691" s="61" t="s">
        <v>4463</v>
      </c>
      <c r="D691" s="61" t="s">
        <v>36</v>
      </c>
      <c r="E691" s="209">
        <v>2645000</v>
      </c>
      <c r="F691" s="205">
        <f t="shared" si="20"/>
        <v>2565650</v>
      </c>
      <c r="G691" s="206">
        <f t="shared" si="21"/>
        <v>2486300</v>
      </c>
      <c r="H691" s="210">
        <v>695.35</v>
      </c>
      <c r="I691" s="210">
        <v>561.23</v>
      </c>
      <c r="J691" s="210">
        <v>134.12</v>
      </c>
      <c r="K691" s="61" t="s">
        <v>1544</v>
      </c>
    </row>
    <row r="692" spans="1:11">
      <c r="A692" s="202">
        <v>689</v>
      </c>
      <c r="B692" s="203" t="s">
        <v>2205</v>
      </c>
      <c r="C692" s="61" t="s">
        <v>4463</v>
      </c>
      <c r="D692" s="61" t="s">
        <v>36</v>
      </c>
      <c r="E692" s="209">
        <v>2645000</v>
      </c>
      <c r="F692" s="205">
        <f t="shared" si="20"/>
        <v>2565650</v>
      </c>
      <c r="G692" s="206">
        <f t="shared" si="21"/>
        <v>2486300</v>
      </c>
      <c r="H692" s="210">
        <v>695.35</v>
      </c>
      <c r="I692" s="210">
        <v>561.23</v>
      </c>
      <c r="J692" s="210">
        <v>134.12</v>
      </c>
      <c r="K692" s="61" t="s">
        <v>1544</v>
      </c>
    </row>
    <row r="693" spans="1:11">
      <c r="A693" s="202">
        <v>690</v>
      </c>
      <c r="B693" s="203" t="s">
        <v>2206</v>
      </c>
      <c r="C693" s="61" t="s">
        <v>4495</v>
      </c>
      <c r="D693" s="61" t="s">
        <v>36</v>
      </c>
      <c r="E693" s="209">
        <v>2640000</v>
      </c>
      <c r="F693" s="205">
        <f t="shared" si="20"/>
        <v>2560800</v>
      </c>
      <c r="G693" s="206">
        <f t="shared" si="21"/>
        <v>2481600</v>
      </c>
      <c r="H693" s="210">
        <v>695.35</v>
      </c>
      <c r="I693" s="210">
        <v>561.23</v>
      </c>
      <c r="J693" s="210">
        <v>134.12</v>
      </c>
      <c r="K693" s="61" t="s">
        <v>1544</v>
      </c>
    </row>
    <row r="694" spans="1:11">
      <c r="A694" s="202">
        <v>691</v>
      </c>
      <c r="B694" s="203" t="s">
        <v>2207</v>
      </c>
      <c r="C694" s="61" t="s">
        <v>4495</v>
      </c>
      <c r="D694" s="61" t="s">
        <v>36</v>
      </c>
      <c r="E694" s="209">
        <v>2640000</v>
      </c>
      <c r="F694" s="205">
        <f t="shared" si="20"/>
        <v>2560800</v>
      </c>
      <c r="G694" s="206">
        <f t="shared" si="21"/>
        <v>2481600</v>
      </c>
      <c r="H694" s="210">
        <v>695.35</v>
      </c>
      <c r="I694" s="210">
        <v>561.23</v>
      </c>
      <c r="J694" s="210">
        <v>134.12</v>
      </c>
      <c r="K694" s="61" t="s">
        <v>1544</v>
      </c>
    </row>
    <row r="695" spans="1:11">
      <c r="A695" s="202">
        <v>692</v>
      </c>
      <c r="B695" s="203" t="s">
        <v>2208</v>
      </c>
      <c r="C695" s="61" t="s">
        <v>4495</v>
      </c>
      <c r="D695" s="61" t="s">
        <v>36</v>
      </c>
      <c r="E695" s="209">
        <v>2640000</v>
      </c>
      <c r="F695" s="205">
        <f t="shared" si="20"/>
        <v>2560800</v>
      </c>
      <c r="G695" s="206">
        <f t="shared" si="21"/>
        <v>2481600</v>
      </c>
      <c r="H695" s="210">
        <v>695.35</v>
      </c>
      <c r="I695" s="210">
        <v>561.23</v>
      </c>
      <c r="J695" s="210">
        <v>134.12</v>
      </c>
      <c r="K695" s="61" t="s">
        <v>1544</v>
      </c>
    </row>
    <row r="696" spans="1:11">
      <c r="A696" s="202">
        <v>693</v>
      </c>
      <c r="B696" s="203" t="s">
        <v>2209</v>
      </c>
      <c r="C696" s="61" t="s">
        <v>4495</v>
      </c>
      <c r="D696" s="61" t="s">
        <v>36</v>
      </c>
      <c r="E696" s="209">
        <v>2640000</v>
      </c>
      <c r="F696" s="205">
        <f t="shared" si="20"/>
        <v>2560800</v>
      </c>
      <c r="G696" s="206">
        <f t="shared" si="21"/>
        <v>2481600</v>
      </c>
      <c r="H696" s="210">
        <v>695.35</v>
      </c>
      <c r="I696" s="210">
        <v>561.23</v>
      </c>
      <c r="J696" s="210">
        <v>134.12</v>
      </c>
      <c r="K696" s="61" t="s">
        <v>1544</v>
      </c>
    </row>
    <row r="697" spans="1:11">
      <c r="A697" s="202">
        <v>694</v>
      </c>
      <c r="B697" s="203" t="s">
        <v>2210</v>
      </c>
      <c r="C697" s="61" t="s">
        <v>4495</v>
      </c>
      <c r="D697" s="61" t="s">
        <v>36</v>
      </c>
      <c r="E697" s="209">
        <v>2640000</v>
      </c>
      <c r="F697" s="205">
        <f t="shared" si="20"/>
        <v>2560800</v>
      </c>
      <c r="G697" s="206">
        <f t="shared" si="21"/>
        <v>2481600</v>
      </c>
      <c r="H697" s="210">
        <v>695.35</v>
      </c>
      <c r="I697" s="210">
        <v>561.23</v>
      </c>
      <c r="J697" s="210">
        <v>134.12</v>
      </c>
      <c r="K697" s="61" t="s">
        <v>1544</v>
      </c>
    </row>
    <row r="698" spans="1:11">
      <c r="A698" s="202">
        <v>695</v>
      </c>
      <c r="B698" s="203" t="s">
        <v>2211</v>
      </c>
      <c r="C698" s="61" t="s">
        <v>4495</v>
      </c>
      <c r="D698" s="61" t="s">
        <v>36</v>
      </c>
      <c r="E698" s="209">
        <v>2640000</v>
      </c>
      <c r="F698" s="205">
        <f t="shared" si="20"/>
        <v>2560800</v>
      </c>
      <c r="G698" s="206">
        <f t="shared" si="21"/>
        <v>2481600</v>
      </c>
      <c r="H698" s="210">
        <v>695.35</v>
      </c>
      <c r="I698" s="210">
        <v>561.23</v>
      </c>
      <c r="J698" s="210">
        <v>134.12</v>
      </c>
      <c r="K698" s="61" t="s">
        <v>1544</v>
      </c>
    </row>
    <row r="699" spans="1:11">
      <c r="A699" s="202">
        <v>696</v>
      </c>
      <c r="B699" s="203" t="s">
        <v>2212</v>
      </c>
      <c r="C699" s="61" t="s">
        <v>4495</v>
      </c>
      <c r="D699" s="61" t="s">
        <v>36</v>
      </c>
      <c r="E699" s="209">
        <v>2640000</v>
      </c>
      <c r="F699" s="205">
        <f t="shared" si="20"/>
        <v>2560800</v>
      </c>
      <c r="G699" s="206">
        <f t="shared" si="21"/>
        <v>2481600</v>
      </c>
      <c r="H699" s="210">
        <v>695.35</v>
      </c>
      <c r="I699" s="210">
        <v>561.23</v>
      </c>
      <c r="J699" s="210">
        <v>134.12</v>
      </c>
      <c r="K699" s="61" t="s">
        <v>1544</v>
      </c>
    </row>
    <row r="700" spans="1:11">
      <c r="A700" s="202">
        <v>697</v>
      </c>
      <c r="B700" s="203" t="s">
        <v>2213</v>
      </c>
      <c r="C700" s="61" t="s">
        <v>33</v>
      </c>
      <c r="D700" s="61" t="s">
        <v>36</v>
      </c>
      <c r="E700" s="209">
        <v>2635000</v>
      </c>
      <c r="F700" s="205">
        <f t="shared" si="20"/>
        <v>2555950</v>
      </c>
      <c r="G700" s="206">
        <f t="shared" si="21"/>
        <v>2476900</v>
      </c>
      <c r="H700" s="210">
        <v>695.35</v>
      </c>
      <c r="I700" s="210">
        <v>561.23</v>
      </c>
      <c r="J700" s="210">
        <v>134.12</v>
      </c>
      <c r="K700" s="61" t="s">
        <v>1544</v>
      </c>
    </row>
    <row r="701" spans="1:11">
      <c r="A701" s="202">
        <v>698</v>
      </c>
      <c r="B701" s="203" t="s">
        <v>2214</v>
      </c>
      <c r="C701" s="61" t="s">
        <v>33</v>
      </c>
      <c r="D701" s="61" t="s">
        <v>36</v>
      </c>
      <c r="E701" s="209">
        <v>2635000</v>
      </c>
      <c r="F701" s="205">
        <f t="shared" si="20"/>
        <v>2555950</v>
      </c>
      <c r="G701" s="206">
        <f t="shared" si="21"/>
        <v>2476900</v>
      </c>
      <c r="H701" s="210">
        <v>695.35</v>
      </c>
      <c r="I701" s="210">
        <v>561.23</v>
      </c>
      <c r="J701" s="210">
        <v>134.12</v>
      </c>
      <c r="K701" s="61" t="s">
        <v>1544</v>
      </c>
    </row>
    <row r="702" spans="1:11">
      <c r="A702" s="202">
        <v>699</v>
      </c>
      <c r="B702" s="203" t="s">
        <v>2215</v>
      </c>
      <c r="C702" s="61" t="s">
        <v>33</v>
      </c>
      <c r="D702" s="61" t="s">
        <v>36</v>
      </c>
      <c r="E702" s="209">
        <v>2635000</v>
      </c>
      <c r="F702" s="205">
        <f t="shared" si="20"/>
        <v>2555950</v>
      </c>
      <c r="G702" s="206">
        <f t="shared" si="21"/>
        <v>2476900</v>
      </c>
      <c r="H702" s="210">
        <v>695.35</v>
      </c>
      <c r="I702" s="210">
        <v>561.23</v>
      </c>
      <c r="J702" s="210">
        <v>134.12</v>
      </c>
      <c r="K702" s="61" t="s">
        <v>1544</v>
      </c>
    </row>
    <row r="703" spans="1:11">
      <c r="A703" s="202">
        <v>700</v>
      </c>
      <c r="B703" s="203" t="s">
        <v>2216</v>
      </c>
      <c r="C703" s="61" t="s">
        <v>33</v>
      </c>
      <c r="D703" s="61" t="s">
        <v>36</v>
      </c>
      <c r="E703" s="209">
        <v>2635000</v>
      </c>
      <c r="F703" s="205">
        <f t="shared" si="20"/>
        <v>2555950</v>
      </c>
      <c r="G703" s="206">
        <f t="shared" si="21"/>
        <v>2476900</v>
      </c>
      <c r="H703" s="210">
        <v>695.35</v>
      </c>
      <c r="I703" s="210">
        <v>561.23</v>
      </c>
      <c r="J703" s="210">
        <v>134.12</v>
      </c>
      <c r="K703" s="61" t="s">
        <v>1544</v>
      </c>
    </row>
    <row r="704" spans="1:11">
      <c r="A704" s="202">
        <v>701</v>
      </c>
      <c r="B704" s="203" t="s">
        <v>2217</v>
      </c>
      <c r="C704" s="61" t="s">
        <v>33</v>
      </c>
      <c r="D704" s="61" t="s">
        <v>36</v>
      </c>
      <c r="E704" s="209">
        <v>2635000</v>
      </c>
      <c r="F704" s="205">
        <f t="shared" si="20"/>
        <v>2555950</v>
      </c>
      <c r="G704" s="206">
        <f t="shared" si="21"/>
        <v>2476900</v>
      </c>
      <c r="H704" s="210">
        <v>695.35</v>
      </c>
      <c r="I704" s="210">
        <v>561.23</v>
      </c>
      <c r="J704" s="210">
        <v>134.12</v>
      </c>
      <c r="K704" s="61" t="s">
        <v>1544</v>
      </c>
    </row>
    <row r="705" spans="1:11">
      <c r="A705" s="202">
        <v>702</v>
      </c>
      <c r="B705" s="203" t="s">
        <v>2218</v>
      </c>
      <c r="C705" s="61" t="s">
        <v>33</v>
      </c>
      <c r="D705" s="61" t="s">
        <v>36</v>
      </c>
      <c r="E705" s="209">
        <v>2635000</v>
      </c>
      <c r="F705" s="205">
        <f t="shared" si="20"/>
        <v>2555950</v>
      </c>
      <c r="G705" s="206">
        <f t="shared" si="21"/>
        <v>2476900</v>
      </c>
      <c r="H705" s="210">
        <v>695.35</v>
      </c>
      <c r="I705" s="210">
        <v>561.23</v>
      </c>
      <c r="J705" s="210">
        <v>134.12</v>
      </c>
      <c r="K705" s="61" t="s">
        <v>1544</v>
      </c>
    </row>
    <row r="706" spans="1:11">
      <c r="A706" s="202">
        <v>703</v>
      </c>
      <c r="B706" s="203" t="s">
        <v>2219</v>
      </c>
      <c r="C706" s="61" t="s">
        <v>33</v>
      </c>
      <c r="D706" s="61" t="s">
        <v>36</v>
      </c>
      <c r="E706" s="209">
        <v>2635000</v>
      </c>
      <c r="F706" s="205">
        <f t="shared" ref="F706:F769" si="22">E706*0.97</f>
        <v>2555950</v>
      </c>
      <c r="G706" s="206">
        <f t="shared" ref="G706:G769" si="23">E706*0.94</f>
        <v>2476900</v>
      </c>
      <c r="H706" s="210">
        <v>695.35</v>
      </c>
      <c r="I706" s="210">
        <v>561.23</v>
      </c>
      <c r="J706" s="210">
        <v>134.12</v>
      </c>
      <c r="K706" s="61" t="s">
        <v>1544</v>
      </c>
    </row>
    <row r="707" spans="1:11">
      <c r="A707" s="202">
        <v>704</v>
      </c>
      <c r="B707" s="203" t="s">
        <v>2220</v>
      </c>
      <c r="C707" s="61" t="s">
        <v>33</v>
      </c>
      <c r="D707" s="61" t="s">
        <v>36</v>
      </c>
      <c r="E707" s="209">
        <v>2635000</v>
      </c>
      <c r="F707" s="205">
        <f t="shared" si="22"/>
        <v>2555950</v>
      </c>
      <c r="G707" s="206">
        <f t="shared" si="23"/>
        <v>2476900</v>
      </c>
      <c r="H707" s="210">
        <v>695.35</v>
      </c>
      <c r="I707" s="210">
        <v>561.23</v>
      </c>
      <c r="J707" s="210">
        <v>134.12</v>
      </c>
      <c r="K707" s="61" t="s">
        <v>1544</v>
      </c>
    </row>
    <row r="708" spans="1:11">
      <c r="A708" s="202">
        <v>705</v>
      </c>
      <c r="B708" s="203" t="s">
        <v>2221</v>
      </c>
      <c r="C708" s="61" t="s">
        <v>4461</v>
      </c>
      <c r="D708" s="61" t="s">
        <v>36</v>
      </c>
      <c r="E708" s="209">
        <v>2630000</v>
      </c>
      <c r="F708" s="205">
        <f t="shared" si="22"/>
        <v>2551100</v>
      </c>
      <c r="G708" s="206">
        <f t="shared" si="23"/>
        <v>2472200</v>
      </c>
      <c r="H708" s="210">
        <v>695.35</v>
      </c>
      <c r="I708" s="210">
        <v>561.23</v>
      </c>
      <c r="J708" s="210">
        <v>134.12</v>
      </c>
      <c r="K708" s="61" t="s">
        <v>1544</v>
      </c>
    </row>
    <row r="709" spans="1:11">
      <c r="A709" s="202">
        <v>706</v>
      </c>
      <c r="B709" s="203" t="s">
        <v>2222</v>
      </c>
      <c r="C709" s="61" t="s">
        <v>4461</v>
      </c>
      <c r="D709" s="61" t="s">
        <v>36</v>
      </c>
      <c r="E709" s="209">
        <v>2630000</v>
      </c>
      <c r="F709" s="205">
        <f t="shared" si="22"/>
        <v>2551100</v>
      </c>
      <c r="G709" s="206">
        <f t="shared" si="23"/>
        <v>2472200</v>
      </c>
      <c r="H709" s="210">
        <v>695.35</v>
      </c>
      <c r="I709" s="210">
        <v>561.23</v>
      </c>
      <c r="J709" s="210">
        <v>134.12</v>
      </c>
      <c r="K709" s="61" t="s">
        <v>1544</v>
      </c>
    </row>
    <row r="710" spans="1:11">
      <c r="A710" s="202">
        <v>707</v>
      </c>
      <c r="B710" s="203" t="s">
        <v>2223</v>
      </c>
      <c r="C710" s="61" t="s">
        <v>4461</v>
      </c>
      <c r="D710" s="61" t="s">
        <v>36</v>
      </c>
      <c r="E710" s="209">
        <v>2630000</v>
      </c>
      <c r="F710" s="205">
        <f t="shared" si="22"/>
        <v>2551100</v>
      </c>
      <c r="G710" s="206">
        <f t="shared" si="23"/>
        <v>2472200</v>
      </c>
      <c r="H710" s="210">
        <v>695.35</v>
      </c>
      <c r="I710" s="210">
        <v>561.23</v>
      </c>
      <c r="J710" s="210">
        <v>134.12</v>
      </c>
      <c r="K710" s="61" t="s">
        <v>1544</v>
      </c>
    </row>
    <row r="711" spans="1:11">
      <c r="A711" s="202">
        <v>708</v>
      </c>
      <c r="B711" s="203" t="s">
        <v>2224</v>
      </c>
      <c r="C711" s="61" t="s">
        <v>4461</v>
      </c>
      <c r="D711" s="61" t="s">
        <v>36</v>
      </c>
      <c r="E711" s="209">
        <v>2630000</v>
      </c>
      <c r="F711" s="205">
        <f t="shared" si="22"/>
        <v>2551100</v>
      </c>
      <c r="G711" s="206">
        <f t="shared" si="23"/>
        <v>2472200</v>
      </c>
      <c r="H711" s="210">
        <v>695.35</v>
      </c>
      <c r="I711" s="210">
        <v>561.23</v>
      </c>
      <c r="J711" s="210">
        <v>134.12</v>
      </c>
      <c r="K711" s="61" t="s">
        <v>1544</v>
      </c>
    </row>
    <row r="712" spans="1:11">
      <c r="A712" s="202">
        <v>709</v>
      </c>
      <c r="B712" s="203" t="s">
        <v>2225</v>
      </c>
      <c r="C712" s="61" t="s">
        <v>4461</v>
      </c>
      <c r="D712" s="61" t="s">
        <v>36</v>
      </c>
      <c r="E712" s="209">
        <v>2630000</v>
      </c>
      <c r="F712" s="205">
        <f t="shared" si="22"/>
        <v>2551100</v>
      </c>
      <c r="G712" s="206">
        <f t="shared" si="23"/>
        <v>2472200</v>
      </c>
      <c r="H712" s="210">
        <v>695.35</v>
      </c>
      <c r="I712" s="210">
        <v>561.23</v>
      </c>
      <c r="J712" s="210">
        <v>134.12</v>
      </c>
      <c r="K712" s="61" t="s">
        <v>1544</v>
      </c>
    </row>
    <row r="713" spans="1:11">
      <c r="A713" s="202">
        <v>710</v>
      </c>
      <c r="B713" s="203" t="s">
        <v>2226</v>
      </c>
      <c r="C713" s="61" t="s">
        <v>4461</v>
      </c>
      <c r="D713" s="61" t="s">
        <v>36</v>
      </c>
      <c r="E713" s="209">
        <v>2630000</v>
      </c>
      <c r="F713" s="205">
        <f t="shared" si="22"/>
        <v>2551100</v>
      </c>
      <c r="G713" s="206">
        <f t="shared" si="23"/>
        <v>2472200</v>
      </c>
      <c r="H713" s="210">
        <v>695.35</v>
      </c>
      <c r="I713" s="210">
        <v>561.23</v>
      </c>
      <c r="J713" s="210">
        <v>134.12</v>
      </c>
      <c r="K713" s="61" t="s">
        <v>1544</v>
      </c>
    </row>
    <row r="714" spans="1:11">
      <c r="A714" s="202">
        <v>711</v>
      </c>
      <c r="B714" s="203" t="s">
        <v>2227</v>
      </c>
      <c r="C714" s="61" t="s">
        <v>4461</v>
      </c>
      <c r="D714" s="61" t="s">
        <v>36</v>
      </c>
      <c r="E714" s="209">
        <v>2630000</v>
      </c>
      <c r="F714" s="205">
        <f t="shared" si="22"/>
        <v>2551100</v>
      </c>
      <c r="G714" s="206">
        <f t="shared" si="23"/>
        <v>2472200</v>
      </c>
      <c r="H714" s="210">
        <v>695.35</v>
      </c>
      <c r="I714" s="210">
        <v>561.23</v>
      </c>
      <c r="J714" s="210">
        <v>134.12</v>
      </c>
      <c r="K714" s="61" t="s">
        <v>1544</v>
      </c>
    </row>
    <row r="715" spans="1:11">
      <c r="A715" s="202">
        <v>712</v>
      </c>
      <c r="B715" s="203" t="s">
        <v>2228</v>
      </c>
      <c r="C715" s="61" t="s">
        <v>4461</v>
      </c>
      <c r="D715" s="61" t="s">
        <v>36</v>
      </c>
      <c r="E715" s="209">
        <v>2630000</v>
      </c>
      <c r="F715" s="205">
        <f t="shared" si="22"/>
        <v>2551100</v>
      </c>
      <c r="G715" s="206">
        <f t="shared" si="23"/>
        <v>2472200</v>
      </c>
      <c r="H715" s="210">
        <v>695.35</v>
      </c>
      <c r="I715" s="210">
        <v>561.23</v>
      </c>
      <c r="J715" s="210">
        <v>134.12</v>
      </c>
      <c r="K715" s="61" t="s">
        <v>1544</v>
      </c>
    </row>
    <row r="716" spans="1:11">
      <c r="A716" s="202">
        <v>713</v>
      </c>
      <c r="B716" s="203" t="s">
        <v>2229</v>
      </c>
      <c r="C716" s="61" t="s">
        <v>4461</v>
      </c>
      <c r="D716" s="61" t="s">
        <v>36</v>
      </c>
      <c r="E716" s="209">
        <v>2630000</v>
      </c>
      <c r="F716" s="205">
        <f t="shared" si="22"/>
        <v>2551100</v>
      </c>
      <c r="G716" s="206">
        <f t="shared" si="23"/>
        <v>2472200</v>
      </c>
      <c r="H716" s="210">
        <v>695.35</v>
      </c>
      <c r="I716" s="210">
        <v>561.23</v>
      </c>
      <c r="J716" s="210">
        <v>134.12</v>
      </c>
      <c r="K716" s="61" t="s">
        <v>1544</v>
      </c>
    </row>
    <row r="717" spans="1:11">
      <c r="A717" s="202">
        <v>714</v>
      </c>
      <c r="B717" s="203" t="s">
        <v>2230</v>
      </c>
      <c r="C717" s="61" t="s">
        <v>4460</v>
      </c>
      <c r="D717" s="61" t="s">
        <v>36</v>
      </c>
      <c r="E717" s="209">
        <v>2627000</v>
      </c>
      <c r="F717" s="205">
        <f t="shared" si="22"/>
        <v>2548190</v>
      </c>
      <c r="G717" s="206">
        <f t="shared" si="23"/>
        <v>2469380</v>
      </c>
      <c r="H717" s="210">
        <v>695.35</v>
      </c>
      <c r="I717" s="210">
        <v>561.23</v>
      </c>
      <c r="J717" s="210">
        <v>134.12</v>
      </c>
      <c r="K717" s="61" t="s">
        <v>1544</v>
      </c>
    </row>
    <row r="718" spans="1:11">
      <c r="A718" s="202">
        <v>715</v>
      </c>
      <c r="B718" s="203" t="s">
        <v>2231</v>
      </c>
      <c r="C718" s="61" t="s">
        <v>4460</v>
      </c>
      <c r="D718" s="61" t="s">
        <v>36</v>
      </c>
      <c r="E718" s="209">
        <v>2627000</v>
      </c>
      <c r="F718" s="205">
        <f t="shared" si="22"/>
        <v>2548190</v>
      </c>
      <c r="G718" s="206">
        <f t="shared" si="23"/>
        <v>2469380</v>
      </c>
      <c r="H718" s="210">
        <v>695.35</v>
      </c>
      <c r="I718" s="210">
        <v>561.23</v>
      </c>
      <c r="J718" s="210">
        <v>134.12</v>
      </c>
      <c r="K718" s="61" t="s">
        <v>1544</v>
      </c>
    </row>
    <row r="719" spans="1:11">
      <c r="A719" s="202">
        <v>716</v>
      </c>
      <c r="B719" s="203" t="s">
        <v>2232</v>
      </c>
      <c r="C719" s="61" t="s">
        <v>4460</v>
      </c>
      <c r="D719" s="61" t="s">
        <v>36</v>
      </c>
      <c r="E719" s="209">
        <v>2627000</v>
      </c>
      <c r="F719" s="205">
        <f t="shared" si="22"/>
        <v>2548190</v>
      </c>
      <c r="G719" s="206">
        <f t="shared" si="23"/>
        <v>2469380</v>
      </c>
      <c r="H719" s="210">
        <v>695.35</v>
      </c>
      <c r="I719" s="210">
        <v>561.23</v>
      </c>
      <c r="J719" s="210">
        <v>134.12</v>
      </c>
      <c r="K719" s="61" t="s">
        <v>1544</v>
      </c>
    </row>
    <row r="720" spans="1:11">
      <c r="A720" s="202">
        <v>717</v>
      </c>
      <c r="B720" s="203" t="s">
        <v>2233</v>
      </c>
      <c r="C720" s="61" t="s">
        <v>4460</v>
      </c>
      <c r="D720" s="61" t="s">
        <v>36</v>
      </c>
      <c r="E720" s="209">
        <v>2627000</v>
      </c>
      <c r="F720" s="205">
        <f t="shared" si="22"/>
        <v>2548190</v>
      </c>
      <c r="G720" s="206">
        <f t="shared" si="23"/>
        <v>2469380</v>
      </c>
      <c r="H720" s="210">
        <v>695.35</v>
      </c>
      <c r="I720" s="210">
        <v>561.23</v>
      </c>
      <c r="J720" s="210">
        <v>134.12</v>
      </c>
      <c r="K720" s="61" t="s">
        <v>1544</v>
      </c>
    </row>
    <row r="721" spans="1:11">
      <c r="A721" s="202">
        <v>718</v>
      </c>
      <c r="B721" s="203" t="s">
        <v>2234</v>
      </c>
      <c r="C721" s="61" t="s">
        <v>4460</v>
      </c>
      <c r="D721" s="61" t="s">
        <v>36</v>
      </c>
      <c r="E721" s="209">
        <v>2627000</v>
      </c>
      <c r="F721" s="205">
        <f t="shared" si="22"/>
        <v>2548190</v>
      </c>
      <c r="G721" s="206">
        <f t="shared" si="23"/>
        <v>2469380</v>
      </c>
      <c r="H721" s="210">
        <v>695.35</v>
      </c>
      <c r="I721" s="210">
        <v>561.23</v>
      </c>
      <c r="J721" s="210">
        <v>134.12</v>
      </c>
      <c r="K721" s="61" t="s">
        <v>1544</v>
      </c>
    </row>
    <row r="722" spans="1:11">
      <c r="A722" s="202">
        <v>719</v>
      </c>
      <c r="B722" s="203" t="s">
        <v>2235</v>
      </c>
      <c r="C722" s="61" t="s">
        <v>4460</v>
      </c>
      <c r="D722" s="61" t="s">
        <v>36</v>
      </c>
      <c r="E722" s="209">
        <v>2627000</v>
      </c>
      <c r="F722" s="205">
        <f t="shared" si="22"/>
        <v>2548190</v>
      </c>
      <c r="G722" s="206">
        <f t="shared" si="23"/>
        <v>2469380</v>
      </c>
      <c r="H722" s="210">
        <v>695.35</v>
      </c>
      <c r="I722" s="210">
        <v>561.23</v>
      </c>
      <c r="J722" s="210">
        <v>134.12</v>
      </c>
      <c r="K722" s="61" t="s">
        <v>1544</v>
      </c>
    </row>
    <row r="723" spans="1:11">
      <c r="A723" s="202">
        <v>720</v>
      </c>
      <c r="B723" s="203" t="s">
        <v>2236</v>
      </c>
      <c r="C723" s="61" t="s">
        <v>4460</v>
      </c>
      <c r="D723" s="61" t="s">
        <v>36</v>
      </c>
      <c r="E723" s="209">
        <v>2627000</v>
      </c>
      <c r="F723" s="205">
        <f t="shared" si="22"/>
        <v>2548190</v>
      </c>
      <c r="G723" s="206">
        <f t="shared" si="23"/>
        <v>2469380</v>
      </c>
      <c r="H723" s="210">
        <v>695.35</v>
      </c>
      <c r="I723" s="210">
        <v>561.23</v>
      </c>
      <c r="J723" s="210">
        <v>134.12</v>
      </c>
      <c r="K723" s="61" t="s">
        <v>1544</v>
      </c>
    </row>
    <row r="724" spans="1:11">
      <c r="A724" s="202">
        <v>721</v>
      </c>
      <c r="B724" s="203" t="s">
        <v>2237</v>
      </c>
      <c r="C724" s="61" t="s">
        <v>4460</v>
      </c>
      <c r="D724" s="61" t="s">
        <v>36</v>
      </c>
      <c r="E724" s="209">
        <v>2627000</v>
      </c>
      <c r="F724" s="205">
        <f t="shared" si="22"/>
        <v>2548190</v>
      </c>
      <c r="G724" s="206">
        <f t="shared" si="23"/>
        <v>2469380</v>
      </c>
      <c r="H724" s="210">
        <v>695.35</v>
      </c>
      <c r="I724" s="210">
        <v>561.23</v>
      </c>
      <c r="J724" s="210">
        <v>134.12</v>
      </c>
      <c r="K724" s="61" t="s">
        <v>1544</v>
      </c>
    </row>
    <row r="725" spans="1:11">
      <c r="A725" s="202">
        <v>722</v>
      </c>
      <c r="B725" s="203" t="s">
        <v>2238</v>
      </c>
      <c r="C725" s="61" t="s">
        <v>4460</v>
      </c>
      <c r="D725" s="61" t="s">
        <v>36</v>
      </c>
      <c r="E725" s="209">
        <v>2627000</v>
      </c>
      <c r="F725" s="205">
        <f t="shared" si="22"/>
        <v>2548190</v>
      </c>
      <c r="G725" s="206">
        <f t="shared" si="23"/>
        <v>2469380</v>
      </c>
      <c r="H725" s="210">
        <v>695.35</v>
      </c>
      <c r="I725" s="210">
        <v>561.23</v>
      </c>
      <c r="J725" s="210">
        <v>134.12</v>
      </c>
      <c r="K725" s="61" t="s">
        <v>1544</v>
      </c>
    </row>
    <row r="726" spans="1:11">
      <c r="A726" s="202">
        <v>723</v>
      </c>
      <c r="B726" s="203" t="s">
        <v>2239</v>
      </c>
      <c r="C726" s="61" t="s">
        <v>11</v>
      </c>
      <c r="D726" s="61" t="s">
        <v>36</v>
      </c>
      <c r="E726" s="209">
        <v>2625000</v>
      </c>
      <c r="F726" s="205">
        <f t="shared" si="22"/>
        <v>2546250</v>
      </c>
      <c r="G726" s="206">
        <f t="shared" si="23"/>
        <v>2467500</v>
      </c>
      <c r="H726" s="210">
        <v>695.35</v>
      </c>
      <c r="I726" s="210">
        <v>561.23</v>
      </c>
      <c r="J726" s="210">
        <v>134.12</v>
      </c>
      <c r="K726" s="61" t="s">
        <v>1544</v>
      </c>
    </row>
    <row r="727" spans="1:11">
      <c r="A727" s="202">
        <v>724</v>
      </c>
      <c r="B727" s="203" t="s">
        <v>2240</v>
      </c>
      <c r="C727" s="61" t="s">
        <v>11</v>
      </c>
      <c r="D727" s="61" t="s">
        <v>36</v>
      </c>
      <c r="E727" s="209">
        <v>2625000</v>
      </c>
      <c r="F727" s="205">
        <f t="shared" si="22"/>
        <v>2546250</v>
      </c>
      <c r="G727" s="206">
        <f t="shared" si="23"/>
        <v>2467500</v>
      </c>
      <c r="H727" s="210">
        <v>695.35</v>
      </c>
      <c r="I727" s="210">
        <v>561.23</v>
      </c>
      <c r="J727" s="210">
        <v>134.12</v>
      </c>
      <c r="K727" s="61" t="s">
        <v>1544</v>
      </c>
    </row>
    <row r="728" spans="1:11">
      <c r="A728" s="202">
        <v>725</v>
      </c>
      <c r="B728" s="203" t="s">
        <v>2241</v>
      </c>
      <c r="C728" s="61" t="s">
        <v>11</v>
      </c>
      <c r="D728" s="61" t="s">
        <v>36</v>
      </c>
      <c r="E728" s="209">
        <v>2625000</v>
      </c>
      <c r="F728" s="205">
        <f t="shared" si="22"/>
        <v>2546250</v>
      </c>
      <c r="G728" s="206">
        <f t="shared" si="23"/>
        <v>2467500</v>
      </c>
      <c r="H728" s="210">
        <v>695.35</v>
      </c>
      <c r="I728" s="210">
        <v>561.23</v>
      </c>
      <c r="J728" s="210">
        <v>134.12</v>
      </c>
      <c r="K728" s="61" t="s">
        <v>1544</v>
      </c>
    </row>
    <row r="729" spans="1:11">
      <c r="A729" s="202">
        <v>726</v>
      </c>
      <c r="B729" s="203" t="s">
        <v>2242</v>
      </c>
      <c r="C729" s="61" t="s">
        <v>11</v>
      </c>
      <c r="D729" s="61" t="s">
        <v>36</v>
      </c>
      <c r="E729" s="209">
        <v>2625000</v>
      </c>
      <c r="F729" s="205">
        <f t="shared" si="22"/>
        <v>2546250</v>
      </c>
      <c r="G729" s="206">
        <f t="shared" si="23"/>
        <v>2467500</v>
      </c>
      <c r="H729" s="210">
        <v>695.35</v>
      </c>
      <c r="I729" s="210">
        <v>561.23</v>
      </c>
      <c r="J729" s="210">
        <v>134.12</v>
      </c>
      <c r="K729" s="61" t="s">
        <v>1544</v>
      </c>
    </row>
    <row r="730" spans="1:11">
      <c r="A730" s="202">
        <v>727</v>
      </c>
      <c r="B730" s="203" t="s">
        <v>2243</v>
      </c>
      <c r="C730" s="61" t="s">
        <v>11</v>
      </c>
      <c r="D730" s="61" t="s">
        <v>36</v>
      </c>
      <c r="E730" s="209">
        <v>2625000</v>
      </c>
      <c r="F730" s="205">
        <f t="shared" si="22"/>
        <v>2546250</v>
      </c>
      <c r="G730" s="206">
        <f t="shared" si="23"/>
        <v>2467500</v>
      </c>
      <c r="H730" s="210">
        <v>695.35</v>
      </c>
      <c r="I730" s="210">
        <v>561.23</v>
      </c>
      <c r="J730" s="210">
        <v>134.12</v>
      </c>
      <c r="K730" s="61" t="s">
        <v>1544</v>
      </c>
    </row>
    <row r="731" spans="1:11">
      <c r="A731" s="202">
        <v>728</v>
      </c>
      <c r="B731" s="203" t="s">
        <v>2244</v>
      </c>
      <c r="C731" s="61" t="s">
        <v>11</v>
      </c>
      <c r="D731" s="61" t="s">
        <v>36</v>
      </c>
      <c r="E731" s="209">
        <v>2625000</v>
      </c>
      <c r="F731" s="205">
        <f t="shared" si="22"/>
        <v>2546250</v>
      </c>
      <c r="G731" s="206">
        <f t="shared" si="23"/>
        <v>2467500</v>
      </c>
      <c r="H731" s="210">
        <v>695.35</v>
      </c>
      <c r="I731" s="210">
        <v>561.23</v>
      </c>
      <c r="J731" s="210">
        <v>134.12</v>
      </c>
      <c r="K731" s="61" t="s">
        <v>1544</v>
      </c>
    </row>
    <row r="732" spans="1:11">
      <c r="A732" s="202">
        <v>729</v>
      </c>
      <c r="B732" s="203" t="s">
        <v>2245</v>
      </c>
      <c r="C732" s="61" t="s">
        <v>11</v>
      </c>
      <c r="D732" s="61" t="s">
        <v>36</v>
      </c>
      <c r="E732" s="209">
        <v>2625000</v>
      </c>
      <c r="F732" s="205">
        <f t="shared" si="22"/>
        <v>2546250</v>
      </c>
      <c r="G732" s="206">
        <f t="shared" si="23"/>
        <v>2467500</v>
      </c>
      <c r="H732" s="210">
        <v>695.35</v>
      </c>
      <c r="I732" s="210">
        <v>561.23</v>
      </c>
      <c r="J732" s="210">
        <v>134.12</v>
      </c>
      <c r="K732" s="61" t="s">
        <v>1544</v>
      </c>
    </row>
    <row r="733" spans="1:11">
      <c r="A733" s="202">
        <v>730</v>
      </c>
      <c r="B733" s="203" t="s">
        <v>2246</v>
      </c>
      <c r="C733" s="61" t="s">
        <v>11</v>
      </c>
      <c r="D733" s="61" t="s">
        <v>36</v>
      </c>
      <c r="E733" s="209">
        <v>2625000</v>
      </c>
      <c r="F733" s="205">
        <f t="shared" si="22"/>
        <v>2546250</v>
      </c>
      <c r="G733" s="206">
        <f t="shared" si="23"/>
        <v>2467500</v>
      </c>
      <c r="H733" s="210">
        <v>695.35</v>
      </c>
      <c r="I733" s="210">
        <v>561.23</v>
      </c>
      <c r="J733" s="210">
        <v>134.12</v>
      </c>
      <c r="K733" s="61" t="s">
        <v>1544</v>
      </c>
    </row>
    <row r="734" spans="1:11">
      <c r="A734" s="202">
        <v>731</v>
      </c>
      <c r="B734" s="203" t="s">
        <v>2247</v>
      </c>
      <c r="C734" s="61" t="s">
        <v>11</v>
      </c>
      <c r="D734" s="61" t="s">
        <v>36</v>
      </c>
      <c r="E734" s="209">
        <v>2625000</v>
      </c>
      <c r="F734" s="205">
        <f t="shared" si="22"/>
        <v>2546250</v>
      </c>
      <c r="G734" s="206">
        <f t="shared" si="23"/>
        <v>2467500</v>
      </c>
      <c r="H734" s="210">
        <v>695.35</v>
      </c>
      <c r="I734" s="210">
        <v>561.23</v>
      </c>
      <c r="J734" s="210">
        <v>134.12</v>
      </c>
      <c r="K734" s="61" t="s">
        <v>1544</v>
      </c>
    </row>
    <row r="735" spans="1:11">
      <c r="A735" s="202">
        <v>732</v>
      </c>
      <c r="B735" s="203" t="s">
        <v>2248</v>
      </c>
      <c r="C735" s="61" t="s">
        <v>11</v>
      </c>
      <c r="D735" s="61" t="s">
        <v>36</v>
      </c>
      <c r="E735" s="209">
        <v>2625000</v>
      </c>
      <c r="F735" s="205">
        <f t="shared" si="22"/>
        <v>2546250</v>
      </c>
      <c r="G735" s="206">
        <f t="shared" si="23"/>
        <v>2467500</v>
      </c>
      <c r="H735" s="210">
        <v>695.35</v>
      </c>
      <c r="I735" s="210">
        <v>561.23</v>
      </c>
      <c r="J735" s="210">
        <v>134.12</v>
      </c>
      <c r="K735" s="61" t="s">
        <v>1544</v>
      </c>
    </row>
    <row r="736" spans="1:11">
      <c r="A736" s="202">
        <v>733</v>
      </c>
      <c r="B736" s="203" t="s">
        <v>2249</v>
      </c>
      <c r="C736" s="61" t="s">
        <v>11</v>
      </c>
      <c r="D736" s="61" t="s">
        <v>36</v>
      </c>
      <c r="E736" s="209">
        <v>2625000</v>
      </c>
      <c r="F736" s="205">
        <f t="shared" si="22"/>
        <v>2546250</v>
      </c>
      <c r="G736" s="206">
        <f t="shared" si="23"/>
        <v>2467500</v>
      </c>
      <c r="H736" s="210">
        <v>695.35</v>
      </c>
      <c r="I736" s="210">
        <v>561.23</v>
      </c>
      <c r="J736" s="210">
        <v>134.12</v>
      </c>
      <c r="K736" s="61" t="s">
        <v>1544</v>
      </c>
    </row>
    <row r="737" spans="1:11">
      <c r="A737" s="202">
        <v>734</v>
      </c>
      <c r="B737" s="203" t="s">
        <v>2250</v>
      </c>
      <c r="C737" s="61" t="s">
        <v>11</v>
      </c>
      <c r="D737" s="61" t="s">
        <v>36</v>
      </c>
      <c r="E737" s="209">
        <v>2625000</v>
      </c>
      <c r="F737" s="205">
        <f t="shared" si="22"/>
        <v>2546250</v>
      </c>
      <c r="G737" s="206">
        <f t="shared" si="23"/>
        <v>2467500</v>
      </c>
      <c r="H737" s="210">
        <v>695.35</v>
      </c>
      <c r="I737" s="210">
        <v>561.23</v>
      </c>
      <c r="J737" s="210">
        <v>134.12</v>
      </c>
      <c r="K737" s="61" t="s">
        <v>1544</v>
      </c>
    </row>
    <row r="738" spans="1:11">
      <c r="A738" s="202">
        <v>735</v>
      </c>
      <c r="B738" s="203" t="s">
        <v>2251</v>
      </c>
      <c r="C738" s="61" t="s">
        <v>3</v>
      </c>
      <c r="D738" s="61" t="s">
        <v>36</v>
      </c>
      <c r="E738" s="209">
        <v>2609000</v>
      </c>
      <c r="F738" s="205">
        <f t="shared" si="22"/>
        <v>2530730</v>
      </c>
      <c r="G738" s="206">
        <f t="shared" si="23"/>
        <v>2452460</v>
      </c>
      <c r="H738" s="210">
        <v>728.82</v>
      </c>
      <c r="I738" s="210">
        <v>561.23</v>
      </c>
      <c r="J738" s="210">
        <v>167.59</v>
      </c>
      <c r="K738" s="61" t="s">
        <v>1544</v>
      </c>
    </row>
    <row r="739" spans="1:11">
      <c r="A739" s="202">
        <v>736</v>
      </c>
      <c r="B739" s="203" t="s">
        <v>2252</v>
      </c>
      <c r="C739" s="61" t="s">
        <v>3</v>
      </c>
      <c r="D739" s="61" t="s">
        <v>36</v>
      </c>
      <c r="E739" s="209">
        <v>2609000</v>
      </c>
      <c r="F739" s="205">
        <f t="shared" si="22"/>
        <v>2530730</v>
      </c>
      <c r="G739" s="206">
        <f t="shared" si="23"/>
        <v>2452460</v>
      </c>
      <c r="H739" s="210">
        <v>728.82</v>
      </c>
      <c r="I739" s="210">
        <v>561.23</v>
      </c>
      <c r="J739" s="210">
        <v>167.59</v>
      </c>
      <c r="K739" s="61" t="s">
        <v>1544</v>
      </c>
    </row>
    <row r="740" spans="1:11">
      <c r="A740" s="202">
        <v>737</v>
      </c>
      <c r="B740" s="203" t="s">
        <v>2253</v>
      </c>
      <c r="C740" s="61" t="s">
        <v>3</v>
      </c>
      <c r="D740" s="61" t="s">
        <v>36</v>
      </c>
      <c r="E740" s="209">
        <v>2609000</v>
      </c>
      <c r="F740" s="205">
        <f t="shared" si="22"/>
        <v>2530730</v>
      </c>
      <c r="G740" s="206">
        <f t="shared" si="23"/>
        <v>2452460</v>
      </c>
      <c r="H740" s="210">
        <v>728.82</v>
      </c>
      <c r="I740" s="210">
        <v>561.23</v>
      </c>
      <c r="J740" s="210">
        <v>167.59</v>
      </c>
      <c r="K740" s="61" t="s">
        <v>1544</v>
      </c>
    </row>
    <row r="741" spans="1:11">
      <c r="A741" s="202">
        <v>738</v>
      </c>
      <c r="B741" s="203" t="s">
        <v>2254</v>
      </c>
      <c r="C741" s="61" t="s">
        <v>3</v>
      </c>
      <c r="D741" s="61" t="s">
        <v>36</v>
      </c>
      <c r="E741" s="209">
        <v>2609000</v>
      </c>
      <c r="F741" s="205">
        <f t="shared" si="22"/>
        <v>2530730</v>
      </c>
      <c r="G741" s="206">
        <f t="shared" si="23"/>
        <v>2452460</v>
      </c>
      <c r="H741" s="210">
        <v>728.82</v>
      </c>
      <c r="I741" s="210">
        <v>561.23</v>
      </c>
      <c r="J741" s="210">
        <v>167.59</v>
      </c>
      <c r="K741" s="61" t="s">
        <v>1544</v>
      </c>
    </row>
    <row r="742" spans="1:11">
      <c r="A742" s="202">
        <v>739</v>
      </c>
      <c r="B742" s="203" t="s">
        <v>2255</v>
      </c>
      <c r="C742" s="61" t="s">
        <v>3</v>
      </c>
      <c r="D742" s="61" t="s">
        <v>36</v>
      </c>
      <c r="E742" s="209">
        <v>2609000</v>
      </c>
      <c r="F742" s="205">
        <f t="shared" si="22"/>
        <v>2530730</v>
      </c>
      <c r="G742" s="206">
        <f t="shared" si="23"/>
        <v>2452460</v>
      </c>
      <c r="H742" s="210">
        <v>728.82</v>
      </c>
      <c r="I742" s="210">
        <v>561.23</v>
      </c>
      <c r="J742" s="210">
        <v>167.59</v>
      </c>
      <c r="K742" s="61" t="s">
        <v>1544</v>
      </c>
    </row>
    <row r="743" spans="1:11">
      <c r="A743" s="202">
        <v>740</v>
      </c>
      <c r="B743" s="203" t="s">
        <v>2256</v>
      </c>
      <c r="C743" s="61" t="s">
        <v>3</v>
      </c>
      <c r="D743" s="61" t="s">
        <v>36</v>
      </c>
      <c r="E743" s="209">
        <v>2609000</v>
      </c>
      <c r="F743" s="205">
        <f t="shared" si="22"/>
        <v>2530730</v>
      </c>
      <c r="G743" s="206">
        <f t="shared" si="23"/>
        <v>2452460</v>
      </c>
      <c r="H743" s="210">
        <v>728.82</v>
      </c>
      <c r="I743" s="210">
        <v>561.23</v>
      </c>
      <c r="J743" s="210">
        <v>167.59</v>
      </c>
      <c r="K743" s="61" t="s">
        <v>1544</v>
      </c>
    </row>
    <row r="744" spans="1:11">
      <c r="A744" s="202">
        <v>741</v>
      </c>
      <c r="B744" s="203" t="s">
        <v>2257</v>
      </c>
      <c r="C744" s="61" t="s">
        <v>3</v>
      </c>
      <c r="D744" s="61" t="s">
        <v>36</v>
      </c>
      <c r="E744" s="209">
        <v>2609000</v>
      </c>
      <c r="F744" s="205">
        <f t="shared" si="22"/>
        <v>2530730</v>
      </c>
      <c r="G744" s="206">
        <f t="shared" si="23"/>
        <v>2452460</v>
      </c>
      <c r="H744" s="210">
        <v>728.82</v>
      </c>
      <c r="I744" s="210">
        <v>561.23</v>
      </c>
      <c r="J744" s="210">
        <v>167.59</v>
      </c>
      <c r="K744" s="61" t="s">
        <v>1544</v>
      </c>
    </row>
    <row r="745" spans="1:11">
      <c r="A745" s="202">
        <v>742</v>
      </c>
      <c r="B745" s="203" t="s">
        <v>2258</v>
      </c>
      <c r="C745" s="61" t="s">
        <v>3</v>
      </c>
      <c r="D745" s="61" t="s">
        <v>36</v>
      </c>
      <c r="E745" s="209">
        <v>2609000</v>
      </c>
      <c r="F745" s="205">
        <f t="shared" si="22"/>
        <v>2530730</v>
      </c>
      <c r="G745" s="206">
        <f t="shared" si="23"/>
        <v>2452460</v>
      </c>
      <c r="H745" s="210">
        <v>728.82</v>
      </c>
      <c r="I745" s="210">
        <v>561.23</v>
      </c>
      <c r="J745" s="210">
        <v>167.59</v>
      </c>
      <c r="K745" s="61" t="s">
        <v>1544</v>
      </c>
    </row>
    <row r="746" spans="1:11">
      <c r="A746" s="202">
        <v>743</v>
      </c>
      <c r="B746" s="203" t="s">
        <v>2259</v>
      </c>
      <c r="C746" s="61" t="s">
        <v>3</v>
      </c>
      <c r="D746" s="61" t="s">
        <v>36</v>
      </c>
      <c r="E746" s="209">
        <v>2609000</v>
      </c>
      <c r="F746" s="205">
        <f t="shared" si="22"/>
        <v>2530730</v>
      </c>
      <c r="G746" s="206">
        <f t="shared" si="23"/>
        <v>2452460</v>
      </c>
      <c r="H746" s="210">
        <v>728.82</v>
      </c>
      <c r="I746" s="210">
        <v>561.23</v>
      </c>
      <c r="J746" s="210">
        <v>167.59</v>
      </c>
      <c r="K746" s="61" t="s">
        <v>1544</v>
      </c>
    </row>
    <row r="747" spans="1:11">
      <c r="A747" s="202">
        <v>744</v>
      </c>
      <c r="B747" s="203" t="s">
        <v>2260</v>
      </c>
      <c r="C747" s="61" t="s">
        <v>5</v>
      </c>
      <c r="D747" s="61" t="s">
        <v>36</v>
      </c>
      <c r="E747" s="209">
        <v>2615000</v>
      </c>
      <c r="F747" s="205">
        <f t="shared" si="22"/>
        <v>2536550</v>
      </c>
      <c r="G747" s="206">
        <f t="shared" si="23"/>
        <v>2458100</v>
      </c>
      <c r="H747" s="210">
        <v>695.35</v>
      </c>
      <c r="I747" s="210">
        <v>561.23</v>
      </c>
      <c r="J747" s="210">
        <v>134.12</v>
      </c>
      <c r="K747" s="61" t="s">
        <v>1544</v>
      </c>
    </row>
    <row r="748" spans="1:11">
      <c r="A748" s="202">
        <v>745</v>
      </c>
      <c r="B748" s="203" t="s">
        <v>2261</v>
      </c>
      <c r="C748" s="61" t="s">
        <v>5</v>
      </c>
      <c r="D748" s="61" t="s">
        <v>36</v>
      </c>
      <c r="E748" s="209">
        <v>2615000</v>
      </c>
      <c r="F748" s="205">
        <f t="shared" si="22"/>
        <v>2536550</v>
      </c>
      <c r="G748" s="206">
        <f t="shared" si="23"/>
        <v>2458100</v>
      </c>
      <c r="H748" s="210">
        <v>695.35</v>
      </c>
      <c r="I748" s="210">
        <v>561.23</v>
      </c>
      <c r="J748" s="210">
        <v>134.12</v>
      </c>
      <c r="K748" s="61" t="s">
        <v>1544</v>
      </c>
    </row>
    <row r="749" spans="1:11">
      <c r="A749" s="202">
        <v>746</v>
      </c>
      <c r="B749" s="203" t="s">
        <v>2262</v>
      </c>
      <c r="C749" s="61" t="s">
        <v>5</v>
      </c>
      <c r="D749" s="61" t="s">
        <v>36</v>
      </c>
      <c r="E749" s="209">
        <v>2615000</v>
      </c>
      <c r="F749" s="205">
        <f t="shared" si="22"/>
        <v>2536550</v>
      </c>
      <c r="G749" s="206">
        <f t="shared" si="23"/>
        <v>2458100</v>
      </c>
      <c r="H749" s="210">
        <v>695.35</v>
      </c>
      <c r="I749" s="210">
        <v>561.23</v>
      </c>
      <c r="J749" s="210">
        <v>134.12</v>
      </c>
      <c r="K749" s="61" t="s">
        <v>1544</v>
      </c>
    </row>
    <row r="750" spans="1:11">
      <c r="A750" s="202">
        <v>747</v>
      </c>
      <c r="B750" s="203" t="s">
        <v>2263</v>
      </c>
      <c r="C750" s="61" t="s">
        <v>5</v>
      </c>
      <c r="D750" s="61" t="s">
        <v>36</v>
      </c>
      <c r="E750" s="209">
        <v>2615000</v>
      </c>
      <c r="F750" s="205">
        <f t="shared" si="22"/>
        <v>2536550</v>
      </c>
      <c r="G750" s="206">
        <f t="shared" si="23"/>
        <v>2458100</v>
      </c>
      <c r="H750" s="210">
        <v>695.35</v>
      </c>
      <c r="I750" s="210">
        <v>561.23</v>
      </c>
      <c r="J750" s="210">
        <v>134.12</v>
      </c>
      <c r="K750" s="61" t="s">
        <v>1544</v>
      </c>
    </row>
    <row r="751" spans="1:11">
      <c r="A751" s="202">
        <v>748</v>
      </c>
      <c r="B751" s="203" t="s">
        <v>2264</v>
      </c>
      <c r="C751" s="61" t="s">
        <v>5</v>
      </c>
      <c r="D751" s="61" t="s">
        <v>36</v>
      </c>
      <c r="E751" s="209">
        <v>2615000</v>
      </c>
      <c r="F751" s="205">
        <f t="shared" si="22"/>
        <v>2536550</v>
      </c>
      <c r="G751" s="206">
        <f t="shared" si="23"/>
        <v>2458100</v>
      </c>
      <c r="H751" s="210">
        <v>695.35</v>
      </c>
      <c r="I751" s="210">
        <v>561.23</v>
      </c>
      <c r="J751" s="210">
        <v>134.12</v>
      </c>
      <c r="K751" s="61" t="s">
        <v>1544</v>
      </c>
    </row>
    <row r="752" spans="1:11">
      <c r="A752" s="202">
        <v>749</v>
      </c>
      <c r="B752" s="203" t="s">
        <v>2265</v>
      </c>
      <c r="C752" s="61" t="s">
        <v>5</v>
      </c>
      <c r="D752" s="61" t="s">
        <v>36</v>
      </c>
      <c r="E752" s="209">
        <v>2615000</v>
      </c>
      <c r="F752" s="205">
        <f t="shared" si="22"/>
        <v>2536550</v>
      </c>
      <c r="G752" s="206">
        <f t="shared" si="23"/>
        <v>2458100</v>
      </c>
      <c r="H752" s="210">
        <v>695.35</v>
      </c>
      <c r="I752" s="210">
        <v>561.23</v>
      </c>
      <c r="J752" s="210">
        <v>134.12</v>
      </c>
      <c r="K752" s="61" t="s">
        <v>1544</v>
      </c>
    </row>
    <row r="753" spans="1:11">
      <c r="A753" s="202">
        <v>750</v>
      </c>
      <c r="B753" s="203" t="s">
        <v>2266</v>
      </c>
      <c r="C753" s="61" t="s">
        <v>5</v>
      </c>
      <c r="D753" s="61" t="s">
        <v>36</v>
      </c>
      <c r="E753" s="209">
        <v>2615000</v>
      </c>
      <c r="F753" s="205">
        <f t="shared" si="22"/>
        <v>2536550</v>
      </c>
      <c r="G753" s="206">
        <f t="shared" si="23"/>
        <v>2458100</v>
      </c>
      <c r="H753" s="210">
        <v>695.35</v>
      </c>
      <c r="I753" s="210">
        <v>561.23</v>
      </c>
      <c r="J753" s="210">
        <v>134.12</v>
      </c>
      <c r="K753" s="61" t="s">
        <v>1544</v>
      </c>
    </row>
    <row r="754" spans="1:11">
      <c r="A754" s="202">
        <v>751</v>
      </c>
      <c r="B754" s="203" t="s">
        <v>2267</v>
      </c>
      <c r="C754" s="61" t="s">
        <v>5</v>
      </c>
      <c r="D754" s="61" t="s">
        <v>36</v>
      </c>
      <c r="E754" s="209">
        <v>2615000</v>
      </c>
      <c r="F754" s="205">
        <f t="shared" si="22"/>
        <v>2536550</v>
      </c>
      <c r="G754" s="206">
        <f t="shared" si="23"/>
        <v>2458100</v>
      </c>
      <c r="H754" s="210">
        <v>695.35</v>
      </c>
      <c r="I754" s="210">
        <v>561.23</v>
      </c>
      <c r="J754" s="210">
        <v>134.12</v>
      </c>
      <c r="K754" s="61" t="s">
        <v>1544</v>
      </c>
    </row>
    <row r="755" spans="1:11">
      <c r="A755" s="202">
        <v>752</v>
      </c>
      <c r="B755" s="203" t="s">
        <v>2268</v>
      </c>
      <c r="C755" s="61" t="s">
        <v>5</v>
      </c>
      <c r="D755" s="61" t="s">
        <v>36</v>
      </c>
      <c r="E755" s="209">
        <v>2615000</v>
      </c>
      <c r="F755" s="205">
        <f t="shared" si="22"/>
        <v>2536550</v>
      </c>
      <c r="G755" s="206">
        <f t="shared" si="23"/>
        <v>2458100</v>
      </c>
      <c r="H755" s="210">
        <v>695.35</v>
      </c>
      <c r="I755" s="210">
        <v>561.23</v>
      </c>
      <c r="J755" s="210">
        <v>134.12</v>
      </c>
      <c r="K755" s="61" t="s">
        <v>1544</v>
      </c>
    </row>
    <row r="756" spans="1:11">
      <c r="A756" s="202">
        <v>753</v>
      </c>
      <c r="B756" s="203" t="s">
        <v>2269</v>
      </c>
      <c r="C756" s="61" t="s">
        <v>5</v>
      </c>
      <c r="D756" s="61" t="s">
        <v>36</v>
      </c>
      <c r="E756" s="209">
        <v>2615000</v>
      </c>
      <c r="F756" s="205">
        <f t="shared" si="22"/>
        <v>2536550</v>
      </c>
      <c r="G756" s="206">
        <f t="shared" si="23"/>
        <v>2458100</v>
      </c>
      <c r="H756" s="210">
        <v>695.35</v>
      </c>
      <c r="I756" s="210">
        <v>561.23</v>
      </c>
      <c r="J756" s="210">
        <v>134.12</v>
      </c>
      <c r="K756" s="61" t="s">
        <v>1544</v>
      </c>
    </row>
    <row r="757" spans="1:11">
      <c r="A757" s="202">
        <v>754</v>
      </c>
      <c r="B757" s="203" t="s">
        <v>2270</v>
      </c>
      <c r="C757" s="61" t="s">
        <v>5</v>
      </c>
      <c r="D757" s="61" t="s">
        <v>36</v>
      </c>
      <c r="E757" s="209">
        <v>2615000</v>
      </c>
      <c r="F757" s="205">
        <f t="shared" si="22"/>
        <v>2536550</v>
      </c>
      <c r="G757" s="206">
        <f t="shared" si="23"/>
        <v>2458100</v>
      </c>
      <c r="H757" s="210">
        <v>695.35</v>
      </c>
      <c r="I757" s="210">
        <v>561.23</v>
      </c>
      <c r="J757" s="210">
        <v>134.12</v>
      </c>
      <c r="K757" s="61" t="s">
        <v>1544</v>
      </c>
    </row>
    <row r="758" spans="1:11">
      <c r="A758" s="202">
        <v>755</v>
      </c>
      <c r="B758" s="203" t="s">
        <v>2271</v>
      </c>
      <c r="C758" s="61" t="s">
        <v>5</v>
      </c>
      <c r="D758" s="61" t="s">
        <v>36</v>
      </c>
      <c r="E758" s="209">
        <v>2615000</v>
      </c>
      <c r="F758" s="205">
        <f t="shared" si="22"/>
        <v>2536550</v>
      </c>
      <c r="G758" s="206">
        <f t="shared" si="23"/>
        <v>2458100</v>
      </c>
      <c r="H758" s="210">
        <v>695.35</v>
      </c>
      <c r="I758" s="210">
        <v>561.23</v>
      </c>
      <c r="J758" s="210">
        <v>134.12</v>
      </c>
      <c r="K758" s="61" t="s">
        <v>1544</v>
      </c>
    </row>
    <row r="759" spans="1:11">
      <c r="A759" s="202">
        <v>756</v>
      </c>
      <c r="B759" s="203" t="s">
        <v>2272</v>
      </c>
      <c r="C759" s="61" t="s">
        <v>5</v>
      </c>
      <c r="D759" s="61" t="s">
        <v>36</v>
      </c>
      <c r="E759" s="209">
        <v>2615000</v>
      </c>
      <c r="F759" s="205">
        <f t="shared" si="22"/>
        <v>2536550</v>
      </c>
      <c r="G759" s="206">
        <f t="shared" si="23"/>
        <v>2458100</v>
      </c>
      <c r="H759" s="210">
        <v>695.35</v>
      </c>
      <c r="I759" s="210">
        <v>561.23</v>
      </c>
      <c r="J759" s="210">
        <v>134.12</v>
      </c>
      <c r="K759" s="61" t="s">
        <v>1544</v>
      </c>
    </row>
    <row r="760" spans="1:11">
      <c r="A760" s="202">
        <v>757</v>
      </c>
      <c r="B760" s="203" t="s">
        <v>2273</v>
      </c>
      <c r="C760" s="61" t="s">
        <v>5</v>
      </c>
      <c r="D760" s="61" t="s">
        <v>36</v>
      </c>
      <c r="E760" s="209">
        <v>2615000</v>
      </c>
      <c r="F760" s="205">
        <f t="shared" si="22"/>
        <v>2536550</v>
      </c>
      <c r="G760" s="206">
        <f t="shared" si="23"/>
        <v>2458100</v>
      </c>
      <c r="H760" s="210">
        <v>695.35</v>
      </c>
      <c r="I760" s="210">
        <v>561.23</v>
      </c>
      <c r="J760" s="210">
        <v>134.12</v>
      </c>
      <c r="K760" s="61" t="s">
        <v>1544</v>
      </c>
    </row>
    <row r="761" spans="1:11">
      <c r="A761" s="202">
        <v>758</v>
      </c>
      <c r="B761" s="203" t="s">
        <v>2274</v>
      </c>
      <c r="C761" s="61" t="s">
        <v>4</v>
      </c>
      <c r="D761" s="61" t="s">
        <v>36</v>
      </c>
      <c r="E761" s="209">
        <v>2612000</v>
      </c>
      <c r="F761" s="205">
        <f t="shared" si="22"/>
        <v>2533640</v>
      </c>
      <c r="G761" s="206">
        <f t="shared" si="23"/>
        <v>2455280</v>
      </c>
      <c r="H761" s="210">
        <v>695.35</v>
      </c>
      <c r="I761" s="210">
        <v>561.23</v>
      </c>
      <c r="J761" s="210">
        <v>134.12</v>
      </c>
      <c r="K761" s="61" t="s">
        <v>1544</v>
      </c>
    </row>
    <row r="762" spans="1:11">
      <c r="A762" s="202">
        <v>759</v>
      </c>
      <c r="B762" s="203" t="s">
        <v>2275</v>
      </c>
      <c r="C762" s="61" t="s">
        <v>4</v>
      </c>
      <c r="D762" s="61" t="s">
        <v>36</v>
      </c>
      <c r="E762" s="209">
        <v>2612000</v>
      </c>
      <c r="F762" s="205">
        <f t="shared" si="22"/>
        <v>2533640</v>
      </c>
      <c r="G762" s="206">
        <f t="shared" si="23"/>
        <v>2455280</v>
      </c>
      <c r="H762" s="210">
        <v>695.35</v>
      </c>
      <c r="I762" s="210">
        <v>561.23</v>
      </c>
      <c r="J762" s="210">
        <v>134.12</v>
      </c>
      <c r="K762" s="61" t="s">
        <v>1544</v>
      </c>
    </row>
    <row r="763" spans="1:11">
      <c r="A763" s="202">
        <v>760</v>
      </c>
      <c r="B763" s="203" t="s">
        <v>2276</v>
      </c>
      <c r="C763" s="61" t="s">
        <v>4</v>
      </c>
      <c r="D763" s="61" t="s">
        <v>36</v>
      </c>
      <c r="E763" s="209">
        <v>2612000</v>
      </c>
      <c r="F763" s="205">
        <f t="shared" si="22"/>
        <v>2533640</v>
      </c>
      <c r="G763" s="206">
        <f t="shared" si="23"/>
        <v>2455280</v>
      </c>
      <c r="H763" s="210">
        <v>695.35</v>
      </c>
      <c r="I763" s="210">
        <v>561.23</v>
      </c>
      <c r="J763" s="210">
        <v>134.12</v>
      </c>
      <c r="K763" s="61" t="s">
        <v>1544</v>
      </c>
    </row>
    <row r="764" spans="1:11">
      <c r="A764" s="202">
        <v>761</v>
      </c>
      <c r="B764" s="203" t="s">
        <v>2277</v>
      </c>
      <c r="C764" s="61" t="s">
        <v>4</v>
      </c>
      <c r="D764" s="61" t="s">
        <v>36</v>
      </c>
      <c r="E764" s="209">
        <v>2612000</v>
      </c>
      <c r="F764" s="205">
        <f t="shared" si="22"/>
        <v>2533640</v>
      </c>
      <c r="G764" s="206">
        <f t="shared" si="23"/>
        <v>2455280</v>
      </c>
      <c r="H764" s="210">
        <v>695.35</v>
      </c>
      <c r="I764" s="210">
        <v>561.23</v>
      </c>
      <c r="J764" s="210">
        <v>134.12</v>
      </c>
      <c r="K764" s="61" t="s">
        <v>1544</v>
      </c>
    </row>
    <row r="765" spans="1:11">
      <c r="A765" s="202">
        <v>762</v>
      </c>
      <c r="B765" s="203" t="s">
        <v>2278</v>
      </c>
      <c r="C765" s="61" t="s">
        <v>4</v>
      </c>
      <c r="D765" s="61" t="s">
        <v>36</v>
      </c>
      <c r="E765" s="209">
        <v>2612000</v>
      </c>
      <c r="F765" s="205">
        <f t="shared" si="22"/>
        <v>2533640</v>
      </c>
      <c r="G765" s="206">
        <f t="shared" si="23"/>
        <v>2455280</v>
      </c>
      <c r="H765" s="210">
        <v>695.35</v>
      </c>
      <c r="I765" s="210">
        <v>561.23</v>
      </c>
      <c r="J765" s="210">
        <v>134.12</v>
      </c>
      <c r="K765" s="61" t="s">
        <v>1544</v>
      </c>
    </row>
    <row r="766" spans="1:11">
      <c r="A766" s="202">
        <v>763</v>
      </c>
      <c r="B766" s="203" t="s">
        <v>2279</v>
      </c>
      <c r="C766" s="61" t="s">
        <v>4</v>
      </c>
      <c r="D766" s="61" t="s">
        <v>36</v>
      </c>
      <c r="E766" s="209">
        <v>2612000</v>
      </c>
      <c r="F766" s="205">
        <f t="shared" si="22"/>
        <v>2533640</v>
      </c>
      <c r="G766" s="206">
        <f t="shared" si="23"/>
        <v>2455280</v>
      </c>
      <c r="H766" s="210">
        <v>695.35</v>
      </c>
      <c r="I766" s="210">
        <v>561.23</v>
      </c>
      <c r="J766" s="210">
        <v>134.12</v>
      </c>
      <c r="K766" s="61" t="s">
        <v>1544</v>
      </c>
    </row>
    <row r="767" spans="1:11">
      <c r="A767" s="202">
        <v>764</v>
      </c>
      <c r="B767" s="203" t="s">
        <v>2280</v>
      </c>
      <c r="C767" s="61" t="s">
        <v>4</v>
      </c>
      <c r="D767" s="61" t="s">
        <v>36</v>
      </c>
      <c r="E767" s="209">
        <v>2612000</v>
      </c>
      <c r="F767" s="205">
        <f t="shared" si="22"/>
        <v>2533640</v>
      </c>
      <c r="G767" s="206">
        <f t="shared" si="23"/>
        <v>2455280</v>
      </c>
      <c r="H767" s="210">
        <v>695.35</v>
      </c>
      <c r="I767" s="210">
        <v>561.23</v>
      </c>
      <c r="J767" s="210">
        <v>134.12</v>
      </c>
      <c r="K767" s="61" t="s">
        <v>1544</v>
      </c>
    </row>
    <row r="768" spans="1:11">
      <c r="A768" s="202">
        <v>765</v>
      </c>
      <c r="B768" s="203" t="s">
        <v>2281</v>
      </c>
      <c r="C768" s="61" t="s">
        <v>4</v>
      </c>
      <c r="D768" s="61" t="s">
        <v>36</v>
      </c>
      <c r="E768" s="209">
        <v>2612000</v>
      </c>
      <c r="F768" s="205">
        <f t="shared" si="22"/>
        <v>2533640</v>
      </c>
      <c r="G768" s="206">
        <f t="shared" si="23"/>
        <v>2455280</v>
      </c>
      <c r="H768" s="210">
        <v>695.35</v>
      </c>
      <c r="I768" s="210">
        <v>561.23</v>
      </c>
      <c r="J768" s="210">
        <v>134.12</v>
      </c>
      <c r="K768" s="61" t="s">
        <v>1544</v>
      </c>
    </row>
    <row r="769" spans="1:11">
      <c r="A769" s="202">
        <v>766</v>
      </c>
      <c r="B769" s="203" t="s">
        <v>2282</v>
      </c>
      <c r="C769" s="61" t="s">
        <v>4</v>
      </c>
      <c r="D769" s="61" t="s">
        <v>36</v>
      </c>
      <c r="E769" s="209">
        <v>2612000</v>
      </c>
      <c r="F769" s="205">
        <f t="shared" si="22"/>
        <v>2533640</v>
      </c>
      <c r="G769" s="206">
        <f t="shared" si="23"/>
        <v>2455280</v>
      </c>
      <c r="H769" s="210">
        <v>695.35</v>
      </c>
      <c r="I769" s="210">
        <v>561.23</v>
      </c>
      <c r="J769" s="210">
        <v>134.12</v>
      </c>
      <c r="K769" s="61" t="s">
        <v>1544</v>
      </c>
    </row>
    <row r="770" spans="1:11">
      <c r="A770" s="202">
        <v>767</v>
      </c>
      <c r="B770" s="203" t="s">
        <v>2283</v>
      </c>
      <c r="C770" s="61" t="s">
        <v>4</v>
      </c>
      <c r="D770" s="61" t="s">
        <v>36</v>
      </c>
      <c r="E770" s="209">
        <v>2612000</v>
      </c>
      <c r="F770" s="205">
        <f t="shared" ref="F770:F820" si="24">E770*0.97</f>
        <v>2533640</v>
      </c>
      <c r="G770" s="206">
        <f t="shared" ref="G770:G820" si="25">E770*0.94</f>
        <v>2455280</v>
      </c>
      <c r="H770" s="210">
        <v>695.35</v>
      </c>
      <c r="I770" s="210">
        <v>561.23</v>
      </c>
      <c r="J770" s="210">
        <v>134.12</v>
      </c>
      <c r="K770" s="61" t="s">
        <v>1544</v>
      </c>
    </row>
    <row r="771" spans="1:11">
      <c r="A771" s="202">
        <v>768</v>
      </c>
      <c r="B771" s="203" t="s">
        <v>2284</v>
      </c>
      <c r="C771" s="61" t="s">
        <v>4</v>
      </c>
      <c r="D771" s="61" t="s">
        <v>36</v>
      </c>
      <c r="E771" s="209">
        <v>2612000</v>
      </c>
      <c r="F771" s="205">
        <f t="shared" si="24"/>
        <v>2533640</v>
      </c>
      <c r="G771" s="206">
        <f t="shared" si="25"/>
        <v>2455280</v>
      </c>
      <c r="H771" s="210">
        <v>695.35</v>
      </c>
      <c r="I771" s="210">
        <v>561.23</v>
      </c>
      <c r="J771" s="210">
        <v>134.12</v>
      </c>
      <c r="K771" s="61" t="s">
        <v>1544</v>
      </c>
    </row>
    <row r="772" spans="1:11">
      <c r="A772" s="202">
        <v>769</v>
      </c>
      <c r="B772" s="203" t="s">
        <v>2285</v>
      </c>
      <c r="C772" s="61" t="s">
        <v>4</v>
      </c>
      <c r="D772" s="61" t="s">
        <v>36</v>
      </c>
      <c r="E772" s="209">
        <v>2612000</v>
      </c>
      <c r="F772" s="205">
        <f t="shared" si="24"/>
        <v>2533640</v>
      </c>
      <c r="G772" s="206">
        <f t="shared" si="25"/>
        <v>2455280</v>
      </c>
      <c r="H772" s="210">
        <v>695.35</v>
      </c>
      <c r="I772" s="210">
        <v>561.23</v>
      </c>
      <c r="J772" s="210">
        <v>134.12</v>
      </c>
      <c r="K772" s="61" t="s">
        <v>1544</v>
      </c>
    </row>
    <row r="773" spans="1:11">
      <c r="A773" s="202">
        <v>770</v>
      </c>
      <c r="B773" s="203" t="s">
        <v>2286</v>
      </c>
      <c r="C773" s="61" t="s">
        <v>4</v>
      </c>
      <c r="D773" s="61" t="s">
        <v>36</v>
      </c>
      <c r="E773" s="209">
        <v>2612000</v>
      </c>
      <c r="F773" s="205">
        <f t="shared" si="24"/>
        <v>2533640</v>
      </c>
      <c r="G773" s="206">
        <f t="shared" si="25"/>
        <v>2455280</v>
      </c>
      <c r="H773" s="210">
        <v>695.35</v>
      </c>
      <c r="I773" s="210">
        <v>561.23</v>
      </c>
      <c r="J773" s="210">
        <v>134.12</v>
      </c>
      <c r="K773" s="61" t="s">
        <v>1544</v>
      </c>
    </row>
    <row r="774" spans="1:11">
      <c r="A774" s="202">
        <v>771</v>
      </c>
      <c r="B774" s="203" t="s">
        <v>2287</v>
      </c>
      <c r="C774" s="61" t="s">
        <v>4</v>
      </c>
      <c r="D774" s="61" t="s">
        <v>36</v>
      </c>
      <c r="E774" s="209">
        <v>2612000</v>
      </c>
      <c r="F774" s="205">
        <f t="shared" si="24"/>
        <v>2533640</v>
      </c>
      <c r="G774" s="206">
        <f t="shared" si="25"/>
        <v>2455280</v>
      </c>
      <c r="H774" s="210">
        <v>695.35</v>
      </c>
      <c r="I774" s="210">
        <v>561.23</v>
      </c>
      <c r="J774" s="210">
        <v>134.12</v>
      </c>
      <c r="K774" s="61" t="s">
        <v>1544</v>
      </c>
    </row>
    <row r="775" spans="1:11">
      <c r="A775" s="202">
        <v>772</v>
      </c>
      <c r="B775" s="203" t="s">
        <v>2288</v>
      </c>
      <c r="C775" s="61" t="s">
        <v>4</v>
      </c>
      <c r="D775" s="61" t="s">
        <v>36</v>
      </c>
      <c r="E775" s="209">
        <v>2612000</v>
      </c>
      <c r="F775" s="205">
        <f t="shared" si="24"/>
        <v>2533640</v>
      </c>
      <c r="G775" s="206">
        <f t="shared" si="25"/>
        <v>2455280</v>
      </c>
      <c r="H775" s="210">
        <v>695.35</v>
      </c>
      <c r="I775" s="210">
        <v>561.23</v>
      </c>
      <c r="J775" s="210">
        <v>134.12</v>
      </c>
      <c r="K775" s="61" t="s">
        <v>1544</v>
      </c>
    </row>
    <row r="776" spans="1:11">
      <c r="A776" s="202">
        <v>773</v>
      </c>
      <c r="B776" s="203" t="s">
        <v>2289</v>
      </c>
      <c r="C776" s="61" t="s">
        <v>4458</v>
      </c>
      <c r="D776" s="61" t="s">
        <v>36</v>
      </c>
      <c r="E776" s="209">
        <v>2609000</v>
      </c>
      <c r="F776" s="205">
        <f t="shared" si="24"/>
        <v>2530730</v>
      </c>
      <c r="G776" s="206">
        <f t="shared" si="25"/>
        <v>2452460</v>
      </c>
      <c r="H776" s="210">
        <v>695.35</v>
      </c>
      <c r="I776" s="210">
        <v>561.23</v>
      </c>
      <c r="J776" s="210">
        <v>134.12</v>
      </c>
      <c r="K776" s="61" t="s">
        <v>1544</v>
      </c>
    </row>
    <row r="777" spans="1:11">
      <c r="A777" s="202">
        <v>774</v>
      </c>
      <c r="B777" s="203" t="s">
        <v>2290</v>
      </c>
      <c r="C777" s="61" t="s">
        <v>4458</v>
      </c>
      <c r="D777" s="61" t="s">
        <v>36</v>
      </c>
      <c r="E777" s="209">
        <v>2609000</v>
      </c>
      <c r="F777" s="205">
        <f t="shared" si="24"/>
        <v>2530730</v>
      </c>
      <c r="G777" s="206">
        <f t="shared" si="25"/>
        <v>2452460</v>
      </c>
      <c r="H777" s="210">
        <v>695.35</v>
      </c>
      <c r="I777" s="210">
        <v>561.23</v>
      </c>
      <c r="J777" s="210">
        <v>134.12</v>
      </c>
      <c r="K777" s="61" t="s">
        <v>1544</v>
      </c>
    </row>
    <row r="778" spans="1:11">
      <c r="A778" s="202">
        <v>775</v>
      </c>
      <c r="B778" s="203" t="s">
        <v>2291</v>
      </c>
      <c r="C778" s="61" t="s">
        <v>4458</v>
      </c>
      <c r="D778" s="61" t="s">
        <v>36</v>
      </c>
      <c r="E778" s="209">
        <v>2609000</v>
      </c>
      <c r="F778" s="205">
        <f t="shared" si="24"/>
        <v>2530730</v>
      </c>
      <c r="G778" s="206">
        <f t="shared" si="25"/>
        <v>2452460</v>
      </c>
      <c r="H778" s="210">
        <v>695.35</v>
      </c>
      <c r="I778" s="210">
        <v>561.23</v>
      </c>
      <c r="J778" s="210">
        <v>134.12</v>
      </c>
      <c r="K778" s="61" t="s">
        <v>1544</v>
      </c>
    </row>
    <row r="779" spans="1:11">
      <c r="A779" s="202">
        <v>776</v>
      </c>
      <c r="B779" s="203" t="s">
        <v>2292</v>
      </c>
      <c r="C779" s="61" t="s">
        <v>4458</v>
      </c>
      <c r="D779" s="61" t="s">
        <v>36</v>
      </c>
      <c r="E779" s="209">
        <v>2609000</v>
      </c>
      <c r="F779" s="205">
        <f t="shared" si="24"/>
        <v>2530730</v>
      </c>
      <c r="G779" s="206">
        <f t="shared" si="25"/>
        <v>2452460</v>
      </c>
      <c r="H779" s="210">
        <v>695.35</v>
      </c>
      <c r="I779" s="210">
        <v>561.23</v>
      </c>
      <c r="J779" s="210">
        <v>134.12</v>
      </c>
      <c r="K779" s="61" t="s">
        <v>1544</v>
      </c>
    </row>
    <row r="780" spans="1:11">
      <c r="A780" s="202">
        <v>777</v>
      </c>
      <c r="B780" s="203" t="s">
        <v>2293</v>
      </c>
      <c r="C780" s="61" t="s">
        <v>4458</v>
      </c>
      <c r="D780" s="61" t="s">
        <v>36</v>
      </c>
      <c r="E780" s="209">
        <v>2609000</v>
      </c>
      <c r="F780" s="205">
        <f t="shared" si="24"/>
        <v>2530730</v>
      </c>
      <c r="G780" s="206">
        <f t="shared" si="25"/>
        <v>2452460</v>
      </c>
      <c r="H780" s="210">
        <v>695.35</v>
      </c>
      <c r="I780" s="210">
        <v>561.23</v>
      </c>
      <c r="J780" s="210">
        <v>134.12</v>
      </c>
      <c r="K780" s="61" t="s">
        <v>1544</v>
      </c>
    </row>
    <row r="781" spans="1:11">
      <c r="A781" s="202">
        <v>778</v>
      </c>
      <c r="B781" s="203" t="s">
        <v>2294</v>
      </c>
      <c r="C781" s="61" t="s">
        <v>4458</v>
      </c>
      <c r="D781" s="61" t="s">
        <v>36</v>
      </c>
      <c r="E781" s="209">
        <v>2609000</v>
      </c>
      <c r="F781" s="205">
        <f t="shared" si="24"/>
        <v>2530730</v>
      </c>
      <c r="G781" s="206">
        <f t="shared" si="25"/>
        <v>2452460</v>
      </c>
      <c r="H781" s="210">
        <v>695.35</v>
      </c>
      <c r="I781" s="210">
        <v>561.23</v>
      </c>
      <c r="J781" s="210">
        <v>134.12</v>
      </c>
      <c r="K781" s="61" t="s">
        <v>1544</v>
      </c>
    </row>
    <row r="782" spans="1:11">
      <c r="A782" s="202">
        <v>779</v>
      </c>
      <c r="B782" s="203" t="s">
        <v>2295</v>
      </c>
      <c r="C782" s="61" t="s">
        <v>4458</v>
      </c>
      <c r="D782" s="61" t="s">
        <v>36</v>
      </c>
      <c r="E782" s="209">
        <v>2609000</v>
      </c>
      <c r="F782" s="205">
        <f t="shared" si="24"/>
        <v>2530730</v>
      </c>
      <c r="G782" s="206">
        <f t="shared" si="25"/>
        <v>2452460</v>
      </c>
      <c r="H782" s="210">
        <v>695.35</v>
      </c>
      <c r="I782" s="210">
        <v>561.23</v>
      </c>
      <c r="J782" s="210">
        <v>134.12</v>
      </c>
      <c r="K782" s="61" t="s">
        <v>1544</v>
      </c>
    </row>
    <row r="783" spans="1:11">
      <c r="A783" s="202">
        <v>780</v>
      </c>
      <c r="B783" s="203" t="s">
        <v>2296</v>
      </c>
      <c r="C783" s="61" t="s">
        <v>4458</v>
      </c>
      <c r="D783" s="61" t="s">
        <v>36</v>
      </c>
      <c r="E783" s="209">
        <v>2609000</v>
      </c>
      <c r="F783" s="205">
        <f t="shared" si="24"/>
        <v>2530730</v>
      </c>
      <c r="G783" s="206">
        <f t="shared" si="25"/>
        <v>2452460</v>
      </c>
      <c r="H783" s="210">
        <v>695.35</v>
      </c>
      <c r="I783" s="210">
        <v>561.23</v>
      </c>
      <c r="J783" s="210">
        <v>134.12</v>
      </c>
      <c r="K783" s="61" t="s">
        <v>1544</v>
      </c>
    </row>
    <row r="784" spans="1:11">
      <c r="A784" s="202">
        <v>781</v>
      </c>
      <c r="B784" s="203" t="s">
        <v>2297</v>
      </c>
      <c r="C784" s="61" t="s">
        <v>4458</v>
      </c>
      <c r="D784" s="61" t="s">
        <v>36</v>
      </c>
      <c r="E784" s="209">
        <v>2609000</v>
      </c>
      <c r="F784" s="205">
        <f t="shared" si="24"/>
        <v>2530730</v>
      </c>
      <c r="G784" s="206">
        <f t="shared" si="25"/>
        <v>2452460</v>
      </c>
      <c r="H784" s="210">
        <v>695.35</v>
      </c>
      <c r="I784" s="210">
        <v>561.23</v>
      </c>
      <c r="J784" s="210">
        <v>134.12</v>
      </c>
      <c r="K784" s="61" t="s">
        <v>1544</v>
      </c>
    </row>
    <row r="785" spans="1:11">
      <c r="A785" s="202">
        <v>782</v>
      </c>
      <c r="B785" s="203" t="s">
        <v>2298</v>
      </c>
      <c r="C785" s="61" t="s">
        <v>4458</v>
      </c>
      <c r="D785" s="61" t="s">
        <v>36</v>
      </c>
      <c r="E785" s="209">
        <v>2609000</v>
      </c>
      <c r="F785" s="205">
        <f t="shared" si="24"/>
        <v>2530730</v>
      </c>
      <c r="G785" s="206">
        <f t="shared" si="25"/>
        <v>2452460</v>
      </c>
      <c r="H785" s="210">
        <v>695.35</v>
      </c>
      <c r="I785" s="210">
        <v>561.23</v>
      </c>
      <c r="J785" s="210">
        <v>134.12</v>
      </c>
      <c r="K785" s="61" t="s">
        <v>1544</v>
      </c>
    </row>
    <row r="786" spans="1:11">
      <c r="A786" s="202">
        <v>783</v>
      </c>
      <c r="B786" s="203" t="s">
        <v>2299</v>
      </c>
      <c r="C786" s="61" t="s">
        <v>4458</v>
      </c>
      <c r="D786" s="61" t="s">
        <v>36</v>
      </c>
      <c r="E786" s="209">
        <v>2609000</v>
      </c>
      <c r="F786" s="205">
        <f t="shared" si="24"/>
        <v>2530730</v>
      </c>
      <c r="G786" s="206">
        <f t="shared" si="25"/>
        <v>2452460</v>
      </c>
      <c r="H786" s="210">
        <v>695.35</v>
      </c>
      <c r="I786" s="210">
        <v>561.23</v>
      </c>
      <c r="J786" s="210">
        <v>134.12</v>
      </c>
      <c r="K786" s="61" t="s">
        <v>1544</v>
      </c>
    </row>
    <row r="787" spans="1:11">
      <c r="A787" s="202">
        <v>784</v>
      </c>
      <c r="B787" s="203" t="s">
        <v>2300</v>
      </c>
      <c r="C787" s="61" t="s">
        <v>4458</v>
      </c>
      <c r="D787" s="61" t="s">
        <v>36</v>
      </c>
      <c r="E787" s="209">
        <v>2609000</v>
      </c>
      <c r="F787" s="205">
        <f t="shared" si="24"/>
        <v>2530730</v>
      </c>
      <c r="G787" s="206">
        <f t="shared" si="25"/>
        <v>2452460</v>
      </c>
      <c r="H787" s="210">
        <v>695.35</v>
      </c>
      <c r="I787" s="210">
        <v>561.23</v>
      </c>
      <c r="J787" s="210">
        <v>134.12</v>
      </c>
      <c r="K787" s="61" t="s">
        <v>1544</v>
      </c>
    </row>
    <row r="788" spans="1:11">
      <c r="A788" s="202">
        <v>785</v>
      </c>
      <c r="B788" s="203" t="s">
        <v>2301</v>
      </c>
      <c r="C788" s="61" t="s">
        <v>4458</v>
      </c>
      <c r="D788" s="61" t="s">
        <v>36</v>
      </c>
      <c r="E788" s="209">
        <v>2609000</v>
      </c>
      <c r="F788" s="205">
        <f t="shared" si="24"/>
        <v>2530730</v>
      </c>
      <c r="G788" s="206">
        <f t="shared" si="25"/>
        <v>2452460</v>
      </c>
      <c r="H788" s="210">
        <v>695.35</v>
      </c>
      <c r="I788" s="210">
        <v>561.23</v>
      </c>
      <c r="J788" s="210">
        <v>134.12</v>
      </c>
      <c r="K788" s="61" t="s">
        <v>1544</v>
      </c>
    </row>
    <row r="789" spans="1:11">
      <c r="A789" s="202">
        <v>786</v>
      </c>
      <c r="B789" s="203" t="s">
        <v>2302</v>
      </c>
      <c r="C789" s="61" t="s">
        <v>6</v>
      </c>
      <c r="D789" s="61" t="s">
        <v>36</v>
      </c>
      <c r="E789" s="209">
        <v>2607000</v>
      </c>
      <c r="F789" s="205">
        <f t="shared" si="24"/>
        <v>2528790</v>
      </c>
      <c r="G789" s="206">
        <f t="shared" si="25"/>
        <v>2450580</v>
      </c>
      <c r="H789" s="210">
        <v>695.35</v>
      </c>
      <c r="I789" s="210">
        <v>561.23</v>
      </c>
      <c r="J789" s="210">
        <v>134.12</v>
      </c>
      <c r="K789" s="61" t="s">
        <v>1544</v>
      </c>
    </row>
    <row r="790" spans="1:11">
      <c r="A790" s="202">
        <v>787</v>
      </c>
      <c r="B790" s="203" t="s">
        <v>2303</v>
      </c>
      <c r="C790" s="61" t="s">
        <v>6</v>
      </c>
      <c r="D790" s="61" t="s">
        <v>36</v>
      </c>
      <c r="E790" s="209">
        <v>2607000</v>
      </c>
      <c r="F790" s="205">
        <f t="shared" si="24"/>
        <v>2528790</v>
      </c>
      <c r="G790" s="206">
        <f t="shared" si="25"/>
        <v>2450580</v>
      </c>
      <c r="H790" s="210">
        <v>695.35</v>
      </c>
      <c r="I790" s="210">
        <v>561.23</v>
      </c>
      <c r="J790" s="210">
        <v>134.12</v>
      </c>
      <c r="K790" s="61" t="s">
        <v>1544</v>
      </c>
    </row>
    <row r="791" spans="1:11">
      <c r="A791" s="202">
        <v>788</v>
      </c>
      <c r="B791" s="203" t="s">
        <v>2304</v>
      </c>
      <c r="C791" s="61" t="s">
        <v>6</v>
      </c>
      <c r="D791" s="61" t="s">
        <v>36</v>
      </c>
      <c r="E791" s="209">
        <v>2607000</v>
      </c>
      <c r="F791" s="205">
        <f t="shared" si="24"/>
        <v>2528790</v>
      </c>
      <c r="G791" s="206">
        <f t="shared" si="25"/>
        <v>2450580</v>
      </c>
      <c r="H791" s="210">
        <v>695.35</v>
      </c>
      <c r="I791" s="210">
        <v>561.23</v>
      </c>
      <c r="J791" s="210">
        <v>134.12</v>
      </c>
      <c r="K791" s="61" t="s">
        <v>1544</v>
      </c>
    </row>
    <row r="792" spans="1:11">
      <c r="A792" s="202">
        <v>789</v>
      </c>
      <c r="B792" s="203" t="s">
        <v>2305</v>
      </c>
      <c r="C792" s="61" t="s">
        <v>6</v>
      </c>
      <c r="D792" s="61" t="s">
        <v>36</v>
      </c>
      <c r="E792" s="209">
        <v>2607000</v>
      </c>
      <c r="F792" s="205">
        <f t="shared" si="24"/>
        <v>2528790</v>
      </c>
      <c r="G792" s="206">
        <f t="shared" si="25"/>
        <v>2450580</v>
      </c>
      <c r="H792" s="210">
        <v>695.35</v>
      </c>
      <c r="I792" s="210">
        <v>561.23</v>
      </c>
      <c r="J792" s="210">
        <v>134.12</v>
      </c>
      <c r="K792" s="61" t="s">
        <v>1544</v>
      </c>
    </row>
    <row r="793" spans="1:11">
      <c r="A793" s="202">
        <v>790</v>
      </c>
      <c r="B793" s="203" t="s">
        <v>2306</v>
      </c>
      <c r="C793" s="61" t="s">
        <v>6</v>
      </c>
      <c r="D793" s="61" t="s">
        <v>36</v>
      </c>
      <c r="E793" s="209">
        <v>2607000</v>
      </c>
      <c r="F793" s="205">
        <f t="shared" si="24"/>
        <v>2528790</v>
      </c>
      <c r="G793" s="206">
        <f t="shared" si="25"/>
        <v>2450580</v>
      </c>
      <c r="H793" s="210">
        <v>695.35</v>
      </c>
      <c r="I793" s="210">
        <v>561.23</v>
      </c>
      <c r="J793" s="210">
        <v>134.12</v>
      </c>
      <c r="K793" s="61" t="s">
        <v>1544</v>
      </c>
    </row>
    <row r="794" spans="1:11">
      <c r="A794" s="202">
        <v>791</v>
      </c>
      <c r="B794" s="203" t="s">
        <v>2307</v>
      </c>
      <c r="C794" s="61" t="s">
        <v>6</v>
      </c>
      <c r="D794" s="61" t="s">
        <v>36</v>
      </c>
      <c r="E794" s="209">
        <v>2607000</v>
      </c>
      <c r="F794" s="205">
        <f t="shared" si="24"/>
        <v>2528790</v>
      </c>
      <c r="G794" s="206">
        <f t="shared" si="25"/>
        <v>2450580</v>
      </c>
      <c r="H794" s="210">
        <v>695.35</v>
      </c>
      <c r="I794" s="210">
        <v>561.23</v>
      </c>
      <c r="J794" s="210">
        <v>134.12</v>
      </c>
      <c r="K794" s="61" t="s">
        <v>1544</v>
      </c>
    </row>
    <row r="795" spans="1:11">
      <c r="A795" s="202">
        <v>792</v>
      </c>
      <c r="B795" s="203" t="s">
        <v>2308</v>
      </c>
      <c r="C795" s="61" t="s">
        <v>6</v>
      </c>
      <c r="D795" s="61" t="s">
        <v>36</v>
      </c>
      <c r="E795" s="209">
        <v>2607000</v>
      </c>
      <c r="F795" s="205">
        <f t="shared" si="24"/>
        <v>2528790</v>
      </c>
      <c r="G795" s="206">
        <f t="shared" si="25"/>
        <v>2450580</v>
      </c>
      <c r="H795" s="210">
        <v>695.35</v>
      </c>
      <c r="I795" s="210">
        <v>561.23</v>
      </c>
      <c r="J795" s="210">
        <v>134.12</v>
      </c>
      <c r="K795" s="61" t="s">
        <v>1544</v>
      </c>
    </row>
    <row r="796" spans="1:11">
      <c r="A796" s="202">
        <v>793</v>
      </c>
      <c r="B796" s="203" t="s">
        <v>2309</v>
      </c>
      <c r="C796" s="61" t="s">
        <v>6</v>
      </c>
      <c r="D796" s="61" t="s">
        <v>36</v>
      </c>
      <c r="E796" s="209">
        <v>2607000</v>
      </c>
      <c r="F796" s="205">
        <f t="shared" si="24"/>
        <v>2528790</v>
      </c>
      <c r="G796" s="206">
        <f t="shared" si="25"/>
        <v>2450580</v>
      </c>
      <c r="H796" s="210">
        <v>695.35</v>
      </c>
      <c r="I796" s="210">
        <v>561.23</v>
      </c>
      <c r="J796" s="210">
        <v>134.12</v>
      </c>
      <c r="K796" s="61" t="s">
        <v>1544</v>
      </c>
    </row>
    <row r="797" spans="1:11">
      <c r="A797" s="202">
        <v>794</v>
      </c>
      <c r="B797" s="203" t="s">
        <v>2310</v>
      </c>
      <c r="C797" s="61" t="s">
        <v>6</v>
      </c>
      <c r="D797" s="61" t="s">
        <v>36</v>
      </c>
      <c r="E797" s="209">
        <v>2607000</v>
      </c>
      <c r="F797" s="205">
        <f t="shared" si="24"/>
        <v>2528790</v>
      </c>
      <c r="G797" s="206">
        <f t="shared" si="25"/>
        <v>2450580</v>
      </c>
      <c r="H797" s="210">
        <v>695.35</v>
      </c>
      <c r="I797" s="210">
        <v>561.23</v>
      </c>
      <c r="J797" s="210">
        <v>134.12</v>
      </c>
      <c r="K797" s="61" t="s">
        <v>1544</v>
      </c>
    </row>
    <row r="798" spans="1:11">
      <c r="A798" s="202">
        <v>795</v>
      </c>
      <c r="B798" s="203" t="s">
        <v>2311</v>
      </c>
      <c r="C798" s="61" t="s">
        <v>6</v>
      </c>
      <c r="D798" s="61" t="s">
        <v>36</v>
      </c>
      <c r="E798" s="209">
        <v>2607000</v>
      </c>
      <c r="F798" s="205">
        <f t="shared" si="24"/>
        <v>2528790</v>
      </c>
      <c r="G798" s="206">
        <f t="shared" si="25"/>
        <v>2450580</v>
      </c>
      <c r="H798" s="210">
        <v>695.35</v>
      </c>
      <c r="I798" s="210">
        <v>561.23</v>
      </c>
      <c r="J798" s="210">
        <v>134.12</v>
      </c>
      <c r="K798" s="61" t="s">
        <v>1544</v>
      </c>
    </row>
    <row r="799" spans="1:11">
      <c r="A799" s="202">
        <v>796</v>
      </c>
      <c r="B799" s="203" t="s">
        <v>2312</v>
      </c>
      <c r="C799" s="61" t="s">
        <v>6</v>
      </c>
      <c r="D799" s="61" t="s">
        <v>36</v>
      </c>
      <c r="E799" s="209">
        <v>2607000</v>
      </c>
      <c r="F799" s="205">
        <f t="shared" si="24"/>
        <v>2528790</v>
      </c>
      <c r="G799" s="206">
        <f t="shared" si="25"/>
        <v>2450580</v>
      </c>
      <c r="H799" s="210">
        <v>695.35</v>
      </c>
      <c r="I799" s="210">
        <v>561.23</v>
      </c>
      <c r="J799" s="210">
        <v>134.12</v>
      </c>
      <c r="K799" s="61" t="s">
        <v>1544</v>
      </c>
    </row>
    <row r="800" spans="1:11">
      <c r="A800" s="202">
        <v>797</v>
      </c>
      <c r="B800" s="203" t="s">
        <v>2313</v>
      </c>
      <c r="C800" s="61" t="s">
        <v>6</v>
      </c>
      <c r="D800" s="61" t="s">
        <v>36</v>
      </c>
      <c r="E800" s="209">
        <v>2607000</v>
      </c>
      <c r="F800" s="205">
        <f t="shared" si="24"/>
        <v>2528790</v>
      </c>
      <c r="G800" s="206">
        <f t="shared" si="25"/>
        <v>2450580</v>
      </c>
      <c r="H800" s="210">
        <v>695.35</v>
      </c>
      <c r="I800" s="210">
        <v>561.23</v>
      </c>
      <c r="J800" s="210">
        <v>134.12</v>
      </c>
      <c r="K800" s="61" t="s">
        <v>1544</v>
      </c>
    </row>
    <row r="801" spans="1:11">
      <c r="A801" s="202">
        <v>798</v>
      </c>
      <c r="B801" s="203" t="s">
        <v>2314</v>
      </c>
      <c r="C801" s="61" t="s">
        <v>6</v>
      </c>
      <c r="D801" s="61" t="s">
        <v>36</v>
      </c>
      <c r="E801" s="209">
        <v>2607000</v>
      </c>
      <c r="F801" s="205">
        <f t="shared" si="24"/>
        <v>2528790</v>
      </c>
      <c r="G801" s="206">
        <f t="shared" si="25"/>
        <v>2450580</v>
      </c>
      <c r="H801" s="210">
        <v>695.35</v>
      </c>
      <c r="I801" s="210">
        <v>561.23</v>
      </c>
      <c r="J801" s="210">
        <v>134.12</v>
      </c>
      <c r="K801" s="61" t="s">
        <v>1544</v>
      </c>
    </row>
    <row r="802" spans="1:11">
      <c r="A802" s="202">
        <v>799</v>
      </c>
      <c r="B802" s="203" t="s">
        <v>2315</v>
      </c>
      <c r="C802" s="61" t="s">
        <v>6</v>
      </c>
      <c r="D802" s="61" t="s">
        <v>36</v>
      </c>
      <c r="E802" s="209">
        <v>2607000</v>
      </c>
      <c r="F802" s="205">
        <f t="shared" si="24"/>
        <v>2528790</v>
      </c>
      <c r="G802" s="206">
        <f t="shared" si="25"/>
        <v>2450580</v>
      </c>
      <c r="H802" s="210">
        <v>695.35</v>
      </c>
      <c r="I802" s="210">
        <v>561.23</v>
      </c>
      <c r="J802" s="210">
        <v>134.12</v>
      </c>
      <c r="K802" s="61" t="s">
        <v>1544</v>
      </c>
    </row>
    <row r="803" spans="1:11">
      <c r="A803" s="202">
        <v>800</v>
      </c>
      <c r="B803" s="203" t="s">
        <v>2316</v>
      </c>
      <c r="C803" s="61" t="s">
        <v>7</v>
      </c>
      <c r="D803" s="61" t="s">
        <v>36</v>
      </c>
      <c r="E803" s="209">
        <v>2604000</v>
      </c>
      <c r="F803" s="205">
        <f t="shared" si="24"/>
        <v>2525880</v>
      </c>
      <c r="G803" s="206">
        <f t="shared" si="25"/>
        <v>2447760</v>
      </c>
      <c r="H803" s="210">
        <v>695.35</v>
      </c>
      <c r="I803" s="210">
        <v>561.23</v>
      </c>
      <c r="J803" s="210">
        <v>134.12</v>
      </c>
      <c r="K803" s="61" t="s">
        <v>1544</v>
      </c>
    </row>
    <row r="804" spans="1:11">
      <c r="A804" s="202">
        <v>801</v>
      </c>
      <c r="B804" s="203" t="s">
        <v>2317</v>
      </c>
      <c r="C804" s="61" t="s">
        <v>7</v>
      </c>
      <c r="D804" s="61" t="s">
        <v>36</v>
      </c>
      <c r="E804" s="209">
        <v>2604000</v>
      </c>
      <c r="F804" s="205">
        <f t="shared" si="24"/>
        <v>2525880</v>
      </c>
      <c r="G804" s="206">
        <f t="shared" si="25"/>
        <v>2447760</v>
      </c>
      <c r="H804" s="210">
        <v>695.35</v>
      </c>
      <c r="I804" s="210">
        <v>561.23</v>
      </c>
      <c r="J804" s="210">
        <v>134.12</v>
      </c>
      <c r="K804" s="61" t="s">
        <v>1544</v>
      </c>
    </row>
    <row r="805" spans="1:11">
      <c r="A805" s="202">
        <v>802</v>
      </c>
      <c r="B805" s="203" t="s">
        <v>2318</v>
      </c>
      <c r="C805" s="61" t="s">
        <v>7</v>
      </c>
      <c r="D805" s="61" t="s">
        <v>36</v>
      </c>
      <c r="E805" s="209">
        <v>2604000</v>
      </c>
      <c r="F805" s="205">
        <f t="shared" si="24"/>
        <v>2525880</v>
      </c>
      <c r="G805" s="206">
        <f t="shared" si="25"/>
        <v>2447760</v>
      </c>
      <c r="H805" s="210">
        <v>695.35</v>
      </c>
      <c r="I805" s="210">
        <v>561.23</v>
      </c>
      <c r="J805" s="210">
        <v>134.12</v>
      </c>
      <c r="K805" s="61" t="s">
        <v>1544</v>
      </c>
    </row>
    <row r="806" spans="1:11">
      <c r="A806" s="202">
        <v>803</v>
      </c>
      <c r="B806" s="203" t="s">
        <v>2319</v>
      </c>
      <c r="C806" s="61" t="s">
        <v>7</v>
      </c>
      <c r="D806" s="61" t="s">
        <v>36</v>
      </c>
      <c r="E806" s="209">
        <v>2604000</v>
      </c>
      <c r="F806" s="205">
        <f t="shared" si="24"/>
        <v>2525880</v>
      </c>
      <c r="G806" s="206">
        <f t="shared" si="25"/>
        <v>2447760</v>
      </c>
      <c r="H806" s="210">
        <v>695.35</v>
      </c>
      <c r="I806" s="210">
        <v>561.23</v>
      </c>
      <c r="J806" s="210">
        <v>134.12</v>
      </c>
      <c r="K806" s="61" t="s">
        <v>1544</v>
      </c>
    </row>
    <row r="807" spans="1:11">
      <c r="A807" s="202">
        <v>804</v>
      </c>
      <c r="B807" s="203" t="s">
        <v>2320</v>
      </c>
      <c r="C807" s="61" t="s">
        <v>7</v>
      </c>
      <c r="D807" s="61" t="s">
        <v>36</v>
      </c>
      <c r="E807" s="209">
        <v>2604000</v>
      </c>
      <c r="F807" s="205">
        <f t="shared" si="24"/>
        <v>2525880</v>
      </c>
      <c r="G807" s="206">
        <f t="shared" si="25"/>
        <v>2447760</v>
      </c>
      <c r="H807" s="210">
        <v>695.35</v>
      </c>
      <c r="I807" s="210">
        <v>561.23</v>
      </c>
      <c r="J807" s="210">
        <v>134.12</v>
      </c>
      <c r="K807" s="61" t="s">
        <v>1544</v>
      </c>
    </row>
    <row r="808" spans="1:11">
      <c r="A808" s="202">
        <v>805</v>
      </c>
      <c r="B808" s="203" t="s">
        <v>2321</v>
      </c>
      <c r="C808" s="61" t="s">
        <v>7</v>
      </c>
      <c r="D808" s="61" t="s">
        <v>36</v>
      </c>
      <c r="E808" s="209">
        <v>2604000</v>
      </c>
      <c r="F808" s="205">
        <f t="shared" si="24"/>
        <v>2525880</v>
      </c>
      <c r="G808" s="206">
        <f t="shared" si="25"/>
        <v>2447760</v>
      </c>
      <c r="H808" s="210">
        <v>695.35</v>
      </c>
      <c r="I808" s="210">
        <v>561.23</v>
      </c>
      <c r="J808" s="210">
        <v>134.12</v>
      </c>
      <c r="K808" s="61" t="s">
        <v>1544</v>
      </c>
    </row>
    <row r="809" spans="1:11">
      <c r="A809" s="202">
        <v>806</v>
      </c>
      <c r="B809" s="203" t="s">
        <v>2322</v>
      </c>
      <c r="C809" s="61" t="s">
        <v>7</v>
      </c>
      <c r="D809" s="61" t="s">
        <v>36</v>
      </c>
      <c r="E809" s="209">
        <v>2604000</v>
      </c>
      <c r="F809" s="205">
        <f t="shared" si="24"/>
        <v>2525880</v>
      </c>
      <c r="G809" s="206">
        <f t="shared" si="25"/>
        <v>2447760</v>
      </c>
      <c r="H809" s="210">
        <v>695.35</v>
      </c>
      <c r="I809" s="210">
        <v>561.23</v>
      </c>
      <c r="J809" s="210">
        <v>134.12</v>
      </c>
      <c r="K809" s="61" t="s">
        <v>1544</v>
      </c>
    </row>
    <row r="810" spans="1:11">
      <c r="A810" s="202">
        <v>807</v>
      </c>
      <c r="B810" s="203" t="s">
        <v>2323</v>
      </c>
      <c r="C810" s="61" t="s">
        <v>7</v>
      </c>
      <c r="D810" s="61" t="s">
        <v>36</v>
      </c>
      <c r="E810" s="209">
        <v>2604000</v>
      </c>
      <c r="F810" s="205">
        <f t="shared" si="24"/>
        <v>2525880</v>
      </c>
      <c r="G810" s="206">
        <f t="shared" si="25"/>
        <v>2447760</v>
      </c>
      <c r="H810" s="210">
        <v>695.35</v>
      </c>
      <c r="I810" s="210">
        <v>561.23</v>
      </c>
      <c r="J810" s="210">
        <v>134.12</v>
      </c>
      <c r="K810" s="61" t="s">
        <v>1544</v>
      </c>
    </row>
    <row r="811" spans="1:11">
      <c r="A811" s="202">
        <v>808</v>
      </c>
      <c r="B811" s="203" t="s">
        <v>2324</v>
      </c>
      <c r="C811" s="61" t="s">
        <v>7</v>
      </c>
      <c r="D811" s="61" t="s">
        <v>36</v>
      </c>
      <c r="E811" s="209">
        <v>2604000</v>
      </c>
      <c r="F811" s="205">
        <f t="shared" si="24"/>
        <v>2525880</v>
      </c>
      <c r="G811" s="206">
        <f t="shared" si="25"/>
        <v>2447760</v>
      </c>
      <c r="H811" s="210">
        <v>695.35</v>
      </c>
      <c r="I811" s="210">
        <v>561.23</v>
      </c>
      <c r="J811" s="210">
        <v>134.12</v>
      </c>
      <c r="K811" s="61" t="s">
        <v>1544</v>
      </c>
    </row>
    <row r="812" spans="1:11">
      <c r="A812" s="202">
        <v>809</v>
      </c>
      <c r="B812" s="203" t="s">
        <v>2325</v>
      </c>
      <c r="C812" s="61" t="s">
        <v>7</v>
      </c>
      <c r="D812" s="61" t="s">
        <v>36</v>
      </c>
      <c r="E812" s="209">
        <v>2604000</v>
      </c>
      <c r="F812" s="205">
        <f t="shared" si="24"/>
        <v>2525880</v>
      </c>
      <c r="G812" s="206">
        <f t="shared" si="25"/>
        <v>2447760</v>
      </c>
      <c r="H812" s="210">
        <v>695.35</v>
      </c>
      <c r="I812" s="210">
        <v>561.23</v>
      </c>
      <c r="J812" s="210">
        <v>134.12</v>
      </c>
      <c r="K812" s="61" t="s">
        <v>1544</v>
      </c>
    </row>
    <row r="813" spans="1:11">
      <c r="A813" s="202">
        <v>810</v>
      </c>
      <c r="B813" s="203" t="s">
        <v>2326</v>
      </c>
      <c r="C813" s="61" t="s">
        <v>7</v>
      </c>
      <c r="D813" s="61" t="s">
        <v>36</v>
      </c>
      <c r="E813" s="209">
        <v>2604000</v>
      </c>
      <c r="F813" s="205">
        <f t="shared" si="24"/>
        <v>2525880</v>
      </c>
      <c r="G813" s="206">
        <f t="shared" si="25"/>
        <v>2447760</v>
      </c>
      <c r="H813" s="210">
        <v>695.35</v>
      </c>
      <c r="I813" s="210">
        <v>561.23</v>
      </c>
      <c r="J813" s="210">
        <v>134.12</v>
      </c>
      <c r="K813" s="61" t="s">
        <v>1544</v>
      </c>
    </row>
    <row r="814" spans="1:11">
      <c r="A814" s="202">
        <v>811</v>
      </c>
      <c r="B814" s="203" t="s">
        <v>2327</v>
      </c>
      <c r="C814" s="61" t="s">
        <v>7</v>
      </c>
      <c r="D814" s="61" t="s">
        <v>36</v>
      </c>
      <c r="E814" s="209">
        <v>2604000</v>
      </c>
      <c r="F814" s="205">
        <f t="shared" si="24"/>
        <v>2525880</v>
      </c>
      <c r="G814" s="206">
        <f t="shared" si="25"/>
        <v>2447760</v>
      </c>
      <c r="H814" s="210">
        <v>695.35</v>
      </c>
      <c r="I814" s="210">
        <v>561.23</v>
      </c>
      <c r="J814" s="210">
        <v>134.12</v>
      </c>
      <c r="K814" s="61" t="s">
        <v>1544</v>
      </c>
    </row>
    <row r="815" spans="1:11">
      <c r="A815" s="202">
        <v>812</v>
      </c>
      <c r="B815" s="203" t="s">
        <v>2328</v>
      </c>
      <c r="C815" s="61" t="s">
        <v>7</v>
      </c>
      <c r="D815" s="61" t="s">
        <v>36</v>
      </c>
      <c r="E815" s="209">
        <v>2604000</v>
      </c>
      <c r="F815" s="205">
        <f t="shared" si="24"/>
        <v>2525880</v>
      </c>
      <c r="G815" s="206">
        <f t="shared" si="25"/>
        <v>2447760</v>
      </c>
      <c r="H815" s="210">
        <v>695.35</v>
      </c>
      <c r="I815" s="210">
        <v>561.23</v>
      </c>
      <c r="J815" s="210">
        <v>134.12</v>
      </c>
      <c r="K815" s="61" t="s">
        <v>1544</v>
      </c>
    </row>
    <row r="816" spans="1:11">
      <c r="A816" s="202">
        <v>813</v>
      </c>
      <c r="B816" s="203" t="s">
        <v>2329</v>
      </c>
      <c r="C816" s="61" t="s">
        <v>7</v>
      </c>
      <c r="D816" s="61" t="s">
        <v>36</v>
      </c>
      <c r="E816" s="209">
        <v>2604000</v>
      </c>
      <c r="F816" s="205">
        <f t="shared" si="24"/>
        <v>2525880</v>
      </c>
      <c r="G816" s="206">
        <f t="shared" si="25"/>
        <v>2447760</v>
      </c>
      <c r="H816" s="210">
        <v>695.35</v>
      </c>
      <c r="I816" s="210">
        <v>561.23</v>
      </c>
      <c r="J816" s="210">
        <v>134.12</v>
      </c>
      <c r="K816" s="61" t="s">
        <v>1544</v>
      </c>
    </row>
    <row r="817" spans="1:11">
      <c r="A817" s="202">
        <v>814</v>
      </c>
      <c r="B817" s="203" t="s">
        <v>2330</v>
      </c>
      <c r="C817" s="61" t="s">
        <v>8</v>
      </c>
      <c r="D817" s="61" t="s">
        <v>36</v>
      </c>
      <c r="E817" s="209">
        <v>2602000</v>
      </c>
      <c r="F817" s="205">
        <f t="shared" si="24"/>
        <v>2523940</v>
      </c>
      <c r="G817" s="206">
        <f t="shared" si="25"/>
        <v>2445880</v>
      </c>
      <c r="H817" s="210">
        <v>695.35</v>
      </c>
      <c r="I817" s="210">
        <v>561.23</v>
      </c>
      <c r="J817" s="210">
        <v>134.12</v>
      </c>
      <c r="K817" s="61" t="s">
        <v>1544</v>
      </c>
    </row>
    <row r="818" spans="1:11">
      <c r="A818" s="202">
        <v>815</v>
      </c>
      <c r="B818" s="203" t="s">
        <v>2331</v>
      </c>
      <c r="C818" s="61" t="s">
        <v>8</v>
      </c>
      <c r="D818" s="61" t="s">
        <v>36</v>
      </c>
      <c r="E818" s="209">
        <v>2602000</v>
      </c>
      <c r="F818" s="205">
        <f t="shared" si="24"/>
        <v>2523940</v>
      </c>
      <c r="G818" s="206">
        <f t="shared" si="25"/>
        <v>2445880</v>
      </c>
      <c r="H818" s="210">
        <v>695.35</v>
      </c>
      <c r="I818" s="210">
        <v>561.23</v>
      </c>
      <c r="J818" s="210">
        <v>134.12</v>
      </c>
      <c r="K818" s="61" t="s">
        <v>1544</v>
      </c>
    </row>
    <row r="819" spans="1:11">
      <c r="A819" s="202">
        <v>816</v>
      </c>
      <c r="B819" s="203" t="s">
        <v>2332</v>
      </c>
      <c r="C819" s="61" t="s">
        <v>8</v>
      </c>
      <c r="D819" s="61" t="s">
        <v>36</v>
      </c>
      <c r="E819" s="209">
        <v>2602000</v>
      </c>
      <c r="F819" s="205">
        <f t="shared" si="24"/>
        <v>2523940</v>
      </c>
      <c r="G819" s="206">
        <f t="shared" si="25"/>
        <v>2445880</v>
      </c>
      <c r="H819" s="210">
        <v>695.35</v>
      </c>
      <c r="I819" s="210">
        <v>561.23</v>
      </c>
      <c r="J819" s="210">
        <v>134.12</v>
      </c>
      <c r="K819" s="61" t="s">
        <v>1544</v>
      </c>
    </row>
    <row r="820" spans="1:11">
      <c r="A820" s="202">
        <v>817</v>
      </c>
      <c r="B820" s="203" t="s">
        <v>2333</v>
      </c>
      <c r="C820" s="61" t="s">
        <v>8</v>
      </c>
      <c r="D820" s="61" t="s">
        <v>36</v>
      </c>
      <c r="E820" s="209">
        <v>2602000</v>
      </c>
      <c r="F820" s="205">
        <f t="shared" si="24"/>
        <v>2523940</v>
      </c>
      <c r="G820" s="206">
        <f t="shared" si="25"/>
        <v>2445880</v>
      </c>
      <c r="H820" s="210">
        <v>695.35</v>
      </c>
      <c r="I820" s="210">
        <v>561.23</v>
      </c>
      <c r="J820" s="210">
        <v>134.12</v>
      </c>
      <c r="K820" s="61" t="s">
        <v>1544</v>
      </c>
    </row>
    <row r="821" spans="1:11">
      <c r="A821" s="202">
        <v>818</v>
      </c>
      <c r="B821" s="203" t="s">
        <v>2334</v>
      </c>
      <c r="C821" s="61" t="s">
        <v>8</v>
      </c>
      <c r="D821" s="61" t="s">
        <v>36</v>
      </c>
      <c r="E821" s="209">
        <v>2602000</v>
      </c>
      <c r="F821" s="205">
        <f t="shared" ref="F821:F822" si="26">E821*0.97</f>
        <v>2523940</v>
      </c>
      <c r="G821" s="206">
        <f t="shared" ref="G821:G822" si="27">E821*0.94</f>
        <v>2445880</v>
      </c>
      <c r="H821" s="210">
        <v>695.35</v>
      </c>
      <c r="I821" s="210">
        <v>561.23</v>
      </c>
      <c r="J821" s="210">
        <v>134.12</v>
      </c>
      <c r="K821" s="61" t="s">
        <v>1544</v>
      </c>
    </row>
    <row r="822" spans="1:11">
      <c r="A822" s="202">
        <v>819</v>
      </c>
      <c r="B822" s="203" t="s">
        <v>2335</v>
      </c>
      <c r="C822" s="61" t="s">
        <v>8</v>
      </c>
      <c r="D822" s="61" t="s">
        <v>36</v>
      </c>
      <c r="E822" s="209">
        <v>2602000</v>
      </c>
      <c r="F822" s="205">
        <f t="shared" si="26"/>
        <v>2523940</v>
      </c>
      <c r="G822" s="206">
        <f t="shared" si="27"/>
        <v>2445880</v>
      </c>
      <c r="H822" s="210">
        <v>695.35</v>
      </c>
      <c r="I822" s="210">
        <v>561.23</v>
      </c>
      <c r="J822" s="210">
        <v>134.12</v>
      </c>
      <c r="K822" s="61" t="s">
        <v>1544</v>
      </c>
    </row>
    <row r="823" spans="1:11">
      <c r="A823" s="202">
        <v>820</v>
      </c>
      <c r="B823" s="203" t="s">
        <v>2336</v>
      </c>
      <c r="C823" s="61" t="s">
        <v>8</v>
      </c>
      <c r="D823" s="61" t="s">
        <v>36</v>
      </c>
      <c r="E823" s="209">
        <v>2602000</v>
      </c>
      <c r="F823" s="205">
        <f t="shared" ref="F823:F839" si="28">E823*0.97</f>
        <v>2523940</v>
      </c>
      <c r="G823" s="206">
        <f t="shared" ref="G823:G839" si="29">E823*0.94</f>
        <v>2445880</v>
      </c>
      <c r="H823" s="210">
        <v>695.35</v>
      </c>
      <c r="I823" s="210">
        <v>561.23</v>
      </c>
      <c r="J823" s="210">
        <v>134.12</v>
      </c>
      <c r="K823" s="61" t="s">
        <v>1544</v>
      </c>
    </row>
    <row r="824" spans="1:11">
      <c r="A824" s="202">
        <v>821</v>
      </c>
      <c r="B824" s="203" t="s">
        <v>2337</v>
      </c>
      <c r="C824" s="61" t="s">
        <v>8</v>
      </c>
      <c r="D824" s="61" t="s">
        <v>36</v>
      </c>
      <c r="E824" s="209">
        <v>2602000</v>
      </c>
      <c r="F824" s="205">
        <f t="shared" si="28"/>
        <v>2523940</v>
      </c>
      <c r="G824" s="206">
        <f t="shared" si="29"/>
        <v>2445880</v>
      </c>
      <c r="H824" s="210">
        <v>695.35</v>
      </c>
      <c r="I824" s="210">
        <v>561.23</v>
      </c>
      <c r="J824" s="210">
        <v>134.12</v>
      </c>
      <c r="K824" s="61" t="s">
        <v>1544</v>
      </c>
    </row>
    <row r="825" spans="1:11">
      <c r="A825" s="202">
        <v>822</v>
      </c>
      <c r="B825" s="203" t="s">
        <v>2338</v>
      </c>
      <c r="C825" s="61" t="s">
        <v>8</v>
      </c>
      <c r="D825" s="61" t="s">
        <v>36</v>
      </c>
      <c r="E825" s="209">
        <v>2602000</v>
      </c>
      <c r="F825" s="205">
        <f t="shared" si="28"/>
        <v>2523940</v>
      </c>
      <c r="G825" s="206">
        <f t="shared" si="29"/>
        <v>2445880</v>
      </c>
      <c r="H825" s="210">
        <v>695.35</v>
      </c>
      <c r="I825" s="210">
        <v>561.23</v>
      </c>
      <c r="J825" s="210">
        <v>134.12</v>
      </c>
      <c r="K825" s="61" t="s">
        <v>1544</v>
      </c>
    </row>
    <row r="826" spans="1:11">
      <c r="A826" s="202">
        <v>823</v>
      </c>
      <c r="B826" s="203" t="s">
        <v>2339</v>
      </c>
      <c r="C826" s="61" t="s">
        <v>8</v>
      </c>
      <c r="D826" s="61" t="s">
        <v>36</v>
      </c>
      <c r="E826" s="209">
        <v>2602000</v>
      </c>
      <c r="F826" s="205">
        <f t="shared" si="28"/>
        <v>2523940</v>
      </c>
      <c r="G826" s="206">
        <f t="shared" si="29"/>
        <v>2445880</v>
      </c>
      <c r="H826" s="210">
        <v>695.35</v>
      </c>
      <c r="I826" s="210">
        <v>561.23</v>
      </c>
      <c r="J826" s="210">
        <v>134.12</v>
      </c>
      <c r="K826" s="61" t="s">
        <v>1544</v>
      </c>
    </row>
    <row r="827" spans="1:11">
      <c r="A827" s="202">
        <v>824</v>
      </c>
      <c r="B827" s="203" t="s">
        <v>2340</v>
      </c>
      <c r="C827" s="61" t="s">
        <v>8</v>
      </c>
      <c r="D827" s="61" t="s">
        <v>36</v>
      </c>
      <c r="E827" s="209">
        <v>2602000</v>
      </c>
      <c r="F827" s="205">
        <f t="shared" si="28"/>
        <v>2523940</v>
      </c>
      <c r="G827" s="206">
        <f t="shared" si="29"/>
        <v>2445880</v>
      </c>
      <c r="H827" s="210">
        <v>695.35</v>
      </c>
      <c r="I827" s="210">
        <v>561.23</v>
      </c>
      <c r="J827" s="210">
        <v>134.12</v>
      </c>
      <c r="K827" s="61" t="s">
        <v>1544</v>
      </c>
    </row>
    <row r="828" spans="1:11">
      <c r="A828" s="202">
        <v>825</v>
      </c>
      <c r="B828" s="203" t="s">
        <v>2341</v>
      </c>
      <c r="C828" s="61" t="s">
        <v>8</v>
      </c>
      <c r="D828" s="61" t="s">
        <v>36</v>
      </c>
      <c r="E828" s="209">
        <v>2602000</v>
      </c>
      <c r="F828" s="205">
        <f t="shared" si="28"/>
        <v>2523940</v>
      </c>
      <c r="G828" s="206">
        <f t="shared" si="29"/>
        <v>2445880</v>
      </c>
      <c r="H828" s="210">
        <v>695.35</v>
      </c>
      <c r="I828" s="210">
        <v>561.23</v>
      </c>
      <c r="J828" s="210">
        <v>134.12</v>
      </c>
      <c r="K828" s="61" t="s">
        <v>1544</v>
      </c>
    </row>
    <row r="829" spans="1:11">
      <c r="A829" s="202">
        <v>826</v>
      </c>
      <c r="B829" s="203" t="s">
        <v>2342</v>
      </c>
      <c r="C829" s="61" t="s">
        <v>8</v>
      </c>
      <c r="D829" s="61" t="s">
        <v>36</v>
      </c>
      <c r="E829" s="209">
        <v>2602000</v>
      </c>
      <c r="F829" s="205">
        <f t="shared" si="28"/>
        <v>2523940</v>
      </c>
      <c r="G829" s="206">
        <f t="shared" si="29"/>
        <v>2445880</v>
      </c>
      <c r="H829" s="210">
        <v>695.35</v>
      </c>
      <c r="I829" s="210">
        <v>561.23</v>
      </c>
      <c r="J829" s="210">
        <v>134.12</v>
      </c>
      <c r="K829" s="61" t="s">
        <v>1544</v>
      </c>
    </row>
    <row r="830" spans="1:11">
      <c r="A830" s="202">
        <v>827</v>
      </c>
      <c r="B830" s="203" t="s">
        <v>2343</v>
      </c>
      <c r="C830" s="61" t="s">
        <v>8</v>
      </c>
      <c r="D830" s="61" t="s">
        <v>36</v>
      </c>
      <c r="E830" s="209">
        <v>2602000</v>
      </c>
      <c r="F830" s="205">
        <f t="shared" si="28"/>
        <v>2523940</v>
      </c>
      <c r="G830" s="206">
        <f t="shared" si="29"/>
        <v>2445880</v>
      </c>
      <c r="H830" s="210">
        <v>695.35</v>
      </c>
      <c r="I830" s="210">
        <v>561.23</v>
      </c>
      <c r="J830" s="210">
        <v>134.12</v>
      </c>
      <c r="K830" s="61" t="s">
        <v>1544</v>
      </c>
    </row>
    <row r="831" spans="1:11">
      <c r="A831" s="202">
        <v>828</v>
      </c>
      <c r="B831" s="203" t="s">
        <v>2344</v>
      </c>
      <c r="C831" s="61" t="s">
        <v>10</v>
      </c>
      <c r="D831" s="61" t="s">
        <v>36</v>
      </c>
      <c r="E831" s="209">
        <v>2600000</v>
      </c>
      <c r="F831" s="205">
        <f t="shared" si="28"/>
        <v>2522000</v>
      </c>
      <c r="G831" s="206">
        <f t="shared" si="29"/>
        <v>2444000</v>
      </c>
      <c r="H831" s="210">
        <v>695.35</v>
      </c>
      <c r="I831" s="210">
        <v>561.23</v>
      </c>
      <c r="J831" s="210">
        <v>134.12</v>
      </c>
      <c r="K831" s="61" t="s">
        <v>1544</v>
      </c>
    </row>
    <row r="832" spans="1:11">
      <c r="A832" s="202">
        <v>829</v>
      </c>
      <c r="B832" s="203" t="s">
        <v>2345</v>
      </c>
      <c r="C832" s="61" t="s">
        <v>10</v>
      </c>
      <c r="D832" s="61" t="s">
        <v>36</v>
      </c>
      <c r="E832" s="209">
        <v>2600000</v>
      </c>
      <c r="F832" s="205">
        <f t="shared" si="28"/>
        <v>2522000</v>
      </c>
      <c r="G832" s="206">
        <f t="shared" si="29"/>
        <v>2444000</v>
      </c>
      <c r="H832" s="210">
        <v>695.35</v>
      </c>
      <c r="I832" s="210">
        <v>561.23</v>
      </c>
      <c r="J832" s="210">
        <v>134.12</v>
      </c>
      <c r="K832" s="61" t="s">
        <v>1544</v>
      </c>
    </row>
    <row r="833" spans="1:11">
      <c r="A833" s="202">
        <v>830</v>
      </c>
      <c r="B833" s="203" t="s">
        <v>2346</v>
      </c>
      <c r="C833" s="61" t="s">
        <v>10</v>
      </c>
      <c r="D833" s="61" t="s">
        <v>36</v>
      </c>
      <c r="E833" s="209">
        <v>2600000</v>
      </c>
      <c r="F833" s="205">
        <f t="shared" si="28"/>
        <v>2522000</v>
      </c>
      <c r="G833" s="206">
        <f t="shared" si="29"/>
        <v>2444000</v>
      </c>
      <c r="H833" s="210">
        <v>695.35</v>
      </c>
      <c r="I833" s="210">
        <v>561.23</v>
      </c>
      <c r="J833" s="210">
        <v>134.12</v>
      </c>
      <c r="K833" s="61" t="s">
        <v>1544</v>
      </c>
    </row>
    <row r="834" spans="1:11">
      <c r="A834" s="202">
        <v>831</v>
      </c>
      <c r="B834" s="203" t="s">
        <v>2347</v>
      </c>
      <c r="C834" s="61" t="s">
        <v>10</v>
      </c>
      <c r="D834" s="61" t="s">
        <v>36</v>
      </c>
      <c r="E834" s="209">
        <v>2600000</v>
      </c>
      <c r="F834" s="205">
        <f t="shared" si="28"/>
        <v>2522000</v>
      </c>
      <c r="G834" s="206">
        <f t="shared" si="29"/>
        <v>2444000</v>
      </c>
      <c r="H834" s="210">
        <v>695.35</v>
      </c>
      <c r="I834" s="210">
        <v>561.23</v>
      </c>
      <c r="J834" s="210">
        <v>134.12</v>
      </c>
      <c r="K834" s="61" t="s">
        <v>1544</v>
      </c>
    </row>
    <row r="835" spans="1:11">
      <c r="A835" s="202">
        <v>832</v>
      </c>
      <c r="B835" s="203" t="s">
        <v>2348</v>
      </c>
      <c r="C835" s="61" t="s">
        <v>10</v>
      </c>
      <c r="D835" s="61" t="s">
        <v>36</v>
      </c>
      <c r="E835" s="209">
        <v>2600000</v>
      </c>
      <c r="F835" s="205">
        <f t="shared" si="28"/>
        <v>2522000</v>
      </c>
      <c r="G835" s="206">
        <f t="shared" si="29"/>
        <v>2444000</v>
      </c>
      <c r="H835" s="210">
        <v>695.35</v>
      </c>
      <c r="I835" s="210">
        <v>561.23</v>
      </c>
      <c r="J835" s="210">
        <v>134.12</v>
      </c>
      <c r="K835" s="61" t="s">
        <v>1544</v>
      </c>
    </row>
    <row r="836" spans="1:11">
      <c r="A836" s="202">
        <v>833</v>
      </c>
      <c r="B836" s="203" t="s">
        <v>2349</v>
      </c>
      <c r="C836" s="61" t="s">
        <v>10</v>
      </c>
      <c r="D836" s="61" t="s">
        <v>36</v>
      </c>
      <c r="E836" s="209">
        <v>2600000</v>
      </c>
      <c r="F836" s="205">
        <f t="shared" si="28"/>
        <v>2522000</v>
      </c>
      <c r="G836" s="206">
        <f t="shared" si="29"/>
        <v>2444000</v>
      </c>
      <c r="H836" s="210">
        <v>695.35</v>
      </c>
      <c r="I836" s="210">
        <v>561.23</v>
      </c>
      <c r="J836" s="210">
        <v>134.12</v>
      </c>
      <c r="K836" s="61" t="s">
        <v>1544</v>
      </c>
    </row>
    <row r="837" spans="1:11">
      <c r="A837" s="202">
        <v>834</v>
      </c>
      <c r="B837" s="203" t="s">
        <v>2350</v>
      </c>
      <c r="C837" s="61" t="s">
        <v>10</v>
      </c>
      <c r="D837" s="61" t="s">
        <v>36</v>
      </c>
      <c r="E837" s="209">
        <v>2600000</v>
      </c>
      <c r="F837" s="205">
        <f t="shared" si="28"/>
        <v>2522000</v>
      </c>
      <c r="G837" s="206">
        <f t="shared" si="29"/>
        <v>2444000</v>
      </c>
      <c r="H837" s="210">
        <v>695.35</v>
      </c>
      <c r="I837" s="210">
        <v>561.23</v>
      </c>
      <c r="J837" s="210">
        <v>134.12</v>
      </c>
      <c r="K837" s="61" t="s">
        <v>1544</v>
      </c>
    </row>
    <row r="838" spans="1:11">
      <c r="A838" s="202">
        <v>835</v>
      </c>
      <c r="B838" s="203" t="s">
        <v>2351</v>
      </c>
      <c r="C838" s="61" t="s">
        <v>10</v>
      </c>
      <c r="D838" s="61" t="s">
        <v>36</v>
      </c>
      <c r="E838" s="209">
        <v>2600000</v>
      </c>
      <c r="F838" s="205">
        <f t="shared" si="28"/>
        <v>2522000</v>
      </c>
      <c r="G838" s="206">
        <f t="shared" si="29"/>
        <v>2444000</v>
      </c>
      <c r="H838" s="210">
        <v>695.35</v>
      </c>
      <c r="I838" s="210">
        <v>561.23</v>
      </c>
      <c r="J838" s="210">
        <v>134.12</v>
      </c>
      <c r="K838" s="61" t="s">
        <v>1544</v>
      </c>
    </row>
    <row r="839" spans="1:11">
      <c r="A839" s="202">
        <v>836</v>
      </c>
      <c r="B839" s="203" t="s">
        <v>2352</v>
      </c>
      <c r="C839" s="61" t="s">
        <v>10</v>
      </c>
      <c r="D839" s="61" t="s">
        <v>36</v>
      </c>
      <c r="E839" s="209">
        <v>2600000</v>
      </c>
      <c r="F839" s="205">
        <f t="shared" si="28"/>
        <v>2522000</v>
      </c>
      <c r="G839" s="206">
        <f t="shared" si="29"/>
        <v>2444000</v>
      </c>
      <c r="H839" s="210">
        <v>695.35</v>
      </c>
      <c r="I839" s="210">
        <v>561.23</v>
      </c>
      <c r="J839" s="210">
        <v>134.12</v>
      </c>
      <c r="K839" s="61" t="s">
        <v>1544</v>
      </c>
    </row>
  </sheetData>
  <mergeCells count="2">
    <mergeCell ref="A1:K1"/>
    <mergeCell ref="A2:K2"/>
  </mergeCells>
  <conditionalFormatting sqref="B1:B1048576">
    <cfRule type="duplicateValues" dxfId="10898" priority="1"/>
  </conditionalFormatting>
  <conditionalFormatting sqref="B1:B840">
    <cfRule type="duplicateValues" dxfId="10897" priority="252090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6EC1-39CD-4B48-8E33-10F49A591273}">
  <dimension ref="A1:K13"/>
  <sheetViews>
    <sheetView zoomScaleNormal="90" workbookViewId="0">
      <selection sqref="A1:K1"/>
    </sheetView>
  </sheetViews>
  <sheetFormatPr defaultColWidth="9.33203125" defaultRowHeight="14.4"/>
  <cols>
    <col min="1" max="1" width="4.44140625" style="90" bestFit="1" customWidth="1"/>
    <col min="2" max="2" width="12.6640625" style="121" customWidth="1"/>
    <col min="3" max="3" width="6.33203125" style="90" customWidth="1"/>
    <col min="4" max="4" width="23.5546875" style="90" customWidth="1"/>
    <col min="5" max="5" width="14.21875" style="90" customWidth="1"/>
    <col min="6" max="6" width="11.5546875" style="90" customWidth="1"/>
    <col min="7" max="7" width="13.109375" style="90" customWidth="1"/>
    <col min="8" max="8" width="10.21875" style="123" bestFit="1" customWidth="1"/>
    <col min="9" max="9" width="9.44140625" style="123" bestFit="1" customWidth="1"/>
    <col min="10" max="10" width="13.109375" style="123" bestFit="1" customWidth="1"/>
    <col min="11" max="11" width="48.44140625" style="90" bestFit="1" customWidth="1"/>
    <col min="12" max="16384" width="9.33203125" style="90"/>
  </cols>
  <sheetData>
    <row r="1" spans="1:11" ht="25.8">
      <c r="A1" s="268" t="s">
        <v>238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</row>
    <row r="2" spans="1:11" ht="18">
      <c r="A2" s="344" t="s">
        <v>343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</row>
    <row r="3" spans="1:11" s="127" customFormat="1" ht="15.6">
      <c r="A3" s="124" t="s">
        <v>22</v>
      </c>
      <c r="B3" s="124" t="s">
        <v>13</v>
      </c>
      <c r="C3" s="124" t="s">
        <v>26</v>
      </c>
      <c r="D3" s="124" t="s">
        <v>14</v>
      </c>
      <c r="E3" s="125" t="s">
        <v>28</v>
      </c>
      <c r="F3" s="125" t="s">
        <v>29</v>
      </c>
      <c r="G3" s="125" t="s">
        <v>31</v>
      </c>
      <c r="H3" s="126" t="s">
        <v>16</v>
      </c>
      <c r="I3" s="126" t="s">
        <v>672</v>
      </c>
      <c r="J3" s="126" t="s">
        <v>58</v>
      </c>
      <c r="K3" s="124" t="s">
        <v>19</v>
      </c>
    </row>
    <row r="4" spans="1:11" s="121" customFormat="1" ht="13.8">
      <c r="A4" s="128">
        <v>1</v>
      </c>
      <c r="B4" s="122" t="s">
        <v>762</v>
      </c>
      <c r="C4" s="129" t="s">
        <v>178</v>
      </c>
      <c r="D4" s="122" t="s">
        <v>761</v>
      </c>
      <c r="E4" s="130">
        <v>13469999</v>
      </c>
      <c r="F4" s="131">
        <f>E4*0.97</f>
        <v>13065899.029999999</v>
      </c>
      <c r="G4" s="132">
        <f t="shared" ref="G4:G11" si="0">E4*0.94</f>
        <v>12661799.059999999</v>
      </c>
      <c r="H4" s="133">
        <v>2197.34</v>
      </c>
      <c r="I4" s="133">
        <v>1465.4</v>
      </c>
      <c r="J4" s="133">
        <v>731.95</v>
      </c>
      <c r="K4" s="129" t="s">
        <v>771</v>
      </c>
    </row>
    <row r="5" spans="1:11">
      <c r="A5" s="128">
        <v>2</v>
      </c>
      <c r="B5" s="122" t="s">
        <v>4591</v>
      </c>
      <c r="C5" s="129" t="s">
        <v>4501</v>
      </c>
      <c r="D5" s="122" t="s">
        <v>761</v>
      </c>
      <c r="E5" s="130">
        <v>13459999</v>
      </c>
      <c r="F5" s="131">
        <f t="shared" ref="F5:F11" si="1">E5*0.97</f>
        <v>13056199.029999999</v>
      </c>
      <c r="G5" s="132">
        <f t="shared" si="0"/>
        <v>12652399.059999999</v>
      </c>
      <c r="H5" s="133">
        <v>2197.34</v>
      </c>
      <c r="I5" s="133">
        <v>1465.4</v>
      </c>
      <c r="J5" s="133">
        <v>731.95</v>
      </c>
      <c r="K5" s="129" t="s">
        <v>771</v>
      </c>
    </row>
    <row r="6" spans="1:11">
      <c r="A6" s="128">
        <v>3</v>
      </c>
      <c r="B6" s="122" t="s">
        <v>763</v>
      </c>
      <c r="C6" s="129" t="s">
        <v>179</v>
      </c>
      <c r="D6" s="122" t="s">
        <v>761</v>
      </c>
      <c r="E6" s="130">
        <v>13449999</v>
      </c>
      <c r="F6" s="131">
        <f t="shared" si="1"/>
        <v>13046499.029999999</v>
      </c>
      <c r="G6" s="132">
        <f t="shared" si="0"/>
        <v>12642999.059999999</v>
      </c>
      <c r="H6" s="133">
        <v>2197.34</v>
      </c>
      <c r="I6" s="133">
        <v>1465.4</v>
      </c>
      <c r="J6" s="133">
        <v>731.95</v>
      </c>
      <c r="K6" s="129" t="s">
        <v>771</v>
      </c>
    </row>
    <row r="7" spans="1:11">
      <c r="A7" s="128">
        <v>4</v>
      </c>
      <c r="B7" s="122" t="s">
        <v>764</v>
      </c>
      <c r="C7" s="129" t="s">
        <v>218</v>
      </c>
      <c r="D7" s="122" t="s">
        <v>761</v>
      </c>
      <c r="E7" s="130">
        <v>13434999</v>
      </c>
      <c r="F7" s="131">
        <f t="shared" si="1"/>
        <v>13031949.029999999</v>
      </c>
      <c r="G7" s="132">
        <f t="shared" si="0"/>
        <v>12628899.059999999</v>
      </c>
      <c r="H7" s="133">
        <v>2197.34</v>
      </c>
      <c r="I7" s="133">
        <v>1465.4</v>
      </c>
      <c r="J7" s="133">
        <v>731.95</v>
      </c>
      <c r="K7" s="129" t="s">
        <v>771</v>
      </c>
    </row>
    <row r="8" spans="1:11">
      <c r="A8" s="128">
        <v>5</v>
      </c>
      <c r="B8" s="122" t="s">
        <v>765</v>
      </c>
      <c r="C8" s="129" t="s">
        <v>766</v>
      </c>
      <c r="D8" s="122" t="s">
        <v>761</v>
      </c>
      <c r="E8" s="130">
        <v>13424999</v>
      </c>
      <c r="F8" s="131">
        <f t="shared" si="1"/>
        <v>13022249.029999999</v>
      </c>
      <c r="G8" s="132">
        <f t="shared" si="0"/>
        <v>12619499.059999999</v>
      </c>
      <c r="H8" s="133">
        <v>2197.34</v>
      </c>
      <c r="I8" s="133">
        <v>1465.4</v>
      </c>
      <c r="J8" s="133">
        <v>731.95</v>
      </c>
      <c r="K8" s="129" t="s">
        <v>771</v>
      </c>
    </row>
    <row r="9" spans="1:11">
      <c r="A9" s="128">
        <v>6</v>
      </c>
      <c r="B9" s="122" t="s">
        <v>4879</v>
      </c>
      <c r="C9" s="129" t="s">
        <v>220</v>
      </c>
      <c r="D9" s="122" t="s">
        <v>24</v>
      </c>
      <c r="E9" s="130">
        <v>6414999</v>
      </c>
      <c r="F9" s="131">
        <f t="shared" si="1"/>
        <v>6222549.0300000003</v>
      </c>
      <c r="G9" s="132">
        <f t="shared" si="0"/>
        <v>6030099.0599999996</v>
      </c>
      <c r="H9" s="133">
        <v>1249.8</v>
      </c>
      <c r="I9" s="133">
        <v>830.76</v>
      </c>
      <c r="J9" s="133">
        <v>419.04</v>
      </c>
      <c r="K9" s="129" t="s">
        <v>4880</v>
      </c>
    </row>
    <row r="10" spans="1:11">
      <c r="A10" s="128">
        <v>7</v>
      </c>
      <c r="B10" s="122" t="s">
        <v>767</v>
      </c>
      <c r="C10" s="129" t="s">
        <v>220</v>
      </c>
      <c r="D10" s="122" t="s">
        <v>761</v>
      </c>
      <c r="E10" s="130">
        <v>13414999</v>
      </c>
      <c r="F10" s="131">
        <f t="shared" si="1"/>
        <v>13012549.029999999</v>
      </c>
      <c r="G10" s="132">
        <f t="shared" si="0"/>
        <v>12610099.059999999</v>
      </c>
      <c r="H10" s="133">
        <v>2197.34</v>
      </c>
      <c r="I10" s="133">
        <v>1465.4</v>
      </c>
      <c r="J10" s="133">
        <v>731.95</v>
      </c>
      <c r="K10" s="129" t="s">
        <v>771</v>
      </c>
    </row>
    <row r="11" spans="1:11">
      <c r="A11" s="128">
        <v>8</v>
      </c>
      <c r="B11" s="122" t="s">
        <v>768</v>
      </c>
      <c r="C11" s="129" t="s">
        <v>180</v>
      </c>
      <c r="D11" s="122" t="s">
        <v>761</v>
      </c>
      <c r="E11" s="130">
        <v>13404999</v>
      </c>
      <c r="F11" s="131">
        <f t="shared" si="1"/>
        <v>13002849.029999999</v>
      </c>
      <c r="G11" s="132">
        <f t="shared" si="0"/>
        <v>12600699.059999999</v>
      </c>
      <c r="H11" s="133">
        <v>2197.34</v>
      </c>
      <c r="I11" s="133">
        <v>1465.4</v>
      </c>
      <c r="J11" s="133">
        <v>731.95</v>
      </c>
      <c r="K11" s="129" t="s">
        <v>771</v>
      </c>
    </row>
    <row r="12" spans="1:11">
      <c r="A12" s="128">
        <v>9</v>
      </c>
      <c r="B12" s="122" t="s">
        <v>769</v>
      </c>
      <c r="C12" s="129" t="s">
        <v>182</v>
      </c>
      <c r="D12" s="122" t="s">
        <v>761</v>
      </c>
      <c r="E12" s="130">
        <v>13394999</v>
      </c>
      <c r="F12" s="131">
        <f t="shared" ref="F12" si="2">E12*0.97</f>
        <v>12993149.029999999</v>
      </c>
      <c r="G12" s="132">
        <f t="shared" ref="G12" si="3">E12*0.94</f>
        <v>12591299.059999999</v>
      </c>
      <c r="H12" s="133">
        <v>2197.34</v>
      </c>
      <c r="I12" s="133">
        <v>1465.4</v>
      </c>
      <c r="J12" s="133">
        <v>731.95</v>
      </c>
      <c r="K12" s="129" t="s">
        <v>771</v>
      </c>
    </row>
    <row r="13" spans="1:11">
      <c r="A13" s="128">
        <v>10</v>
      </c>
      <c r="B13" s="122" t="s">
        <v>770</v>
      </c>
      <c r="C13" s="92" t="s">
        <v>181</v>
      </c>
      <c r="D13" s="122" t="s">
        <v>761</v>
      </c>
      <c r="E13" s="93">
        <v>13394999</v>
      </c>
      <c r="F13" s="131">
        <f t="shared" ref="F13" si="4">E13*0.97</f>
        <v>12993149.029999999</v>
      </c>
      <c r="G13" s="132">
        <f t="shared" ref="G13" si="5">E13*0.94</f>
        <v>12591299.059999999</v>
      </c>
      <c r="H13" s="252">
        <v>2196.48</v>
      </c>
      <c r="I13" s="252">
        <v>1464.54</v>
      </c>
      <c r="J13" s="252">
        <v>731.95</v>
      </c>
      <c r="K13" s="251" t="s">
        <v>771</v>
      </c>
    </row>
  </sheetData>
  <mergeCells count="2">
    <mergeCell ref="A1:K1"/>
    <mergeCell ref="A2:K2"/>
  </mergeCells>
  <conditionalFormatting sqref="B1:B3">
    <cfRule type="duplicateValues" dxfId="10896" priority="80401"/>
    <cfRule type="duplicateValues" dxfId="10895" priority="186938"/>
    <cfRule type="duplicateValues" dxfId="10894" priority="186939"/>
    <cfRule type="duplicateValues" dxfId="10893" priority="186940"/>
    <cfRule type="duplicateValues" dxfId="10892" priority="186941"/>
    <cfRule type="duplicateValues" dxfId="10891" priority="186942"/>
    <cfRule type="duplicateValues" dxfId="10890" priority="186943"/>
    <cfRule type="duplicateValues" dxfId="10889" priority="186944"/>
    <cfRule type="duplicateValues" dxfId="10888" priority="186945"/>
    <cfRule type="duplicateValues" dxfId="10887" priority="186946"/>
    <cfRule type="duplicateValues" dxfId="10886" priority="186947"/>
    <cfRule type="duplicateValues" dxfId="10885" priority="186948"/>
    <cfRule type="duplicateValues" dxfId="10884" priority="186949"/>
    <cfRule type="duplicateValues" dxfId="10883" priority="186950"/>
    <cfRule type="duplicateValues" dxfId="10882" priority="186951"/>
    <cfRule type="duplicateValues" dxfId="10881" priority="186952"/>
    <cfRule type="duplicateValues" dxfId="10880" priority="186953"/>
    <cfRule type="duplicateValues" dxfId="10879" priority="186954"/>
    <cfRule type="duplicateValues" dxfId="10878" priority="186955"/>
    <cfRule type="duplicateValues" dxfId="10877" priority="186956"/>
    <cfRule type="duplicateValues" dxfId="10876" priority="186957"/>
    <cfRule type="duplicateValues" dxfId="10875" priority="186958"/>
    <cfRule type="duplicateValues" dxfId="10874" priority="186959"/>
    <cfRule type="duplicateValues" dxfId="10873" priority="186960"/>
    <cfRule type="duplicateValues" dxfId="10872" priority="186961"/>
    <cfRule type="duplicateValues" dxfId="10871" priority="186962"/>
    <cfRule type="duplicateValues" dxfId="10870" priority="186963"/>
    <cfRule type="duplicateValues" dxfId="10869" priority="186964"/>
    <cfRule type="duplicateValues" dxfId="10868" priority="186965"/>
    <cfRule type="duplicateValues" dxfId="10867" priority="186966"/>
    <cfRule type="duplicateValues" dxfId="10866" priority="186967"/>
    <cfRule type="duplicateValues" dxfId="10865" priority="186968"/>
    <cfRule type="duplicateValues" dxfId="10864" priority="186969"/>
    <cfRule type="duplicateValues" dxfId="10863" priority="186970"/>
    <cfRule type="duplicateValues" dxfId="10862" priority="186971"/>
    <cfRule type="duplicateValues" dxfId="10861" priority="186972"/>
    <cfRule type="duplicateValues" dxfId="10860" priority="186973"/>
    <cfRule type="duplicateValues" dxfId="10859" priority="186974"/>
    <cfRule type="duplicateValues" dxfId="10858" priority="186975"/>
    <cfRule type="duplicateValues" dxfId="10857" priority="186976"/>
    <cfRule type="duplicateValues" dxfId="10856" priority="186977"/>
    <cfRule type="duplicateValues" dxfId="10855" priority="186978"/>
    <cfRule type="duplicateValues" dxfId="10854" priority="186979"/>
  </conditionalFormatting>
  <conditionalFormatting sqref="B1:B1048576">
    <cfRule type="duplicateValues" dxfId="10853" priority="1"/>
  </conditionalFormatting>
  <conditionalFormatting sqref="B1:B13">
    <cfRule type="duplicateValues" dxfId="10852" priority="252091"/>
    <cfRule type="duplicateValues" dxfId="10851" priority="252092"/>
    <cfRule type="duplicateValues" dxfId="10850" priority="252093"/>
  </conditionalFormatting>
  <conditionalFormatting sqref="B1:B1048576">
    <cfRule type="duplicateValues" dxfId="10849" priority="252094"/>
    <cfRule type="duplicateValues" dxfId="10848" priority="252095"/>
  </conditionalFormatting>
  <conditionalFormatting sqref="B2:B13">
    <cfRule type="duplicateValues" dxfId="10847" priority="252100"/>
    <cfRule type="duplicateValues" dxfId="10846" priority="252101"/>
    <cfRule type="duplicateValues" dxfId="10845" priority="252102"/>
    <cfRule type="duplicateValues" dxfId="10844" priority="252103"/>
    <cfRule type="duplicateValues" dxfId="10843" priority="252104"/>
    <cfRule type="duplicateValues" dxfId="10842" priority="252105"/>
    <cfRule type="duplicateValues" dxfId="10841" priority="252106"/>
    <cfRule type="duplicateValues" dxfId="10840" priority="252107"/>
    <cfRule type="duplicateValues" dxfId="10839" priority="252108"/>
    <cfRule type="duplicateValues" dxfId="10838" priority="252109"/>
    <cfRule type="duplicateValues" dxfId="10837" priority="252110"/>
    <cfRule type="duplicateValues" dxfId="10836" priority="252111"/>
    <cfRule type="duplicateValues" dxfId="10835" priority="252112"/>
    <cfRule type="duplicateValues" dxfId="10834" priority="252113"/>
    <cfRule type="duplicateValues" dxfId="10833" priority="252114"/>
    <cfRule type="duplicateValues" dxfId="10832" priority="252115"/>
    <cfRule type="duplicateValues" dxfId="10831" priority="252116"/>
    <cfRule type="duplicateValues" dxfId="10830" priority="252117"/>
    <cfRule type="duplicateValues" dxfId="10829" priority="252118"/>
    <cfRule type="duplicateValues" dxfId="10828" priority="252119"/>
    <cfRule type="duplicateValues" dxfId="10827" priority="252120"/>
    <cfRule type="duplicateValues" dxfId="10826" priority="252121"/>
    <cfRule type="duplicateValues" dxfId="10825" priority="252122"/>
    <cfRule type="duplicateValues" dxfId="10824" priority="252123"/>
    <cfRule type="duplicateValues" dxfId="10823" priority="252124"/>
    <cfRule type="duplicateValues" dxfId="10822" priority="252125"/>
  </conditionalFormatting>
  <conditionalFormatting sqref="B4:B13">
    <cfRule type="duplicateValues" dxfId="10821" priority="252126"/>
    <cfRule type="duplicateValues" dxfId="10820" priority="252127"/>
    <cfRule type="duplicateValues" dxfId="10819" priority="252128"/>
    <cfRule type="duplicateValues" dxfId="10818" priority="252129"/>
    <cfRule type="duplicateValues" dxfId="10817" priority="252130"/>
    <cfRule type="duplicateValues" dxfId="10816" priority="252131"/>
    <cfRule type="duplicateValues" dxfId="10815" priority="252132"/>
    <cfRule type="duplicateValues" dxfId="10814" priority="252133"/>
    <cfRule type="duplicateValues" dxfId="10813" priority="252134"/>
    <cfRule type="duplicateValues" dxfId="10812" priority="252135"/>
    <cfRule type="duplicateValues" dxfId="10811" priority="252136"/>
    <cfRule type="duplicateValues" dxfId="10810" priority="252137"/>
    <cfRule type="duplicateValues" dxfId="10809" priority="252138"/>
    <cfRule type="duplicateValues" dxfId="10808" priority="252139"/>
    <cfRule type="duplicateValues" dxfId="10807" priority="252140"/>
    <cfRule type="duplicateValues" dxfId="10806" priority="252141"/>
    <cfRule type="duplicateValues" dxfId="10805" priority="252142"/>
    <cfRule type="duplicateValues" dxfId="10804" priority="252143"/>
    <cfRule type="duplicateValues" dxfId="10803" priority="252144"/>
    <cfRule type="duplicateValues" dxfId="10802" priority="252145"/>
    <cfRule type="duplicateValues" dxfId="10801" priority="252146"/>
    <cfRule type="duplicateValues" dxfId="10800" priority="252147"/>
    <cfRule type="duplicateValues" dxfId="10799" priority="252148"/>
    <cfRule type="duplicateValues" dxfId="10798" priority="252149"/>
    <cfRule type="duplicateValues" dxfId="10797" priority="252150"/>
    <cfRule type="duplicateValues" dxfId="10796" priority="252151"/>
    <cfRule type="duplicateValues" dxfId="10795" priority="252152"/>
    <cfRule type="duplicateValues" dxfId="10794" priority="252153"/>
    <cfRule type="duplicateValues" dxfId="10793" priority="252154"/>
    <cfRule type="duplicateValues" dxfId="10792" priority="252155"/>
    <cfRule type="duplicateValues" dxfId="10791" priority="252156"/>
    <cfRule type="duplicateValues" dxfId="10790" priority="252157"/>
    <cfRule type="duplicateValues" dxfId="10789" priority="252158"/>
    <cfRule type="duplicateValues" dxfId="10788" priority="252159"/>
    <cfRule type="duplicateValues" dxfId="10787" priority="252160"/>
    <cfRule type="duplicateValues" dxfId="10786" priority="252161"/>
    <cfRule type="duplicateValues" dxfId="10785" priority="252162"/>
    <cfRule type="duplicateValues" dxfId="10784" priority="252163"/>
    <cfRule type="duplicateValues" dxfId="10783" priority="252164"/>
    <cfRule type="duplicateValues" dxfId="10782" priority="252165"/>
    <cfRule type="duplicateValues" dxfId="10781" priority="252166"/>
    <cfRule type="duplicateValues" dxfId="10780" priority="252167"/>
    <cfRule type="duplicateValues" dxfId="10779" priority="252168"/>
    <cfRule type="duplicateValues" dxfId="10778" priority="252169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1C0F-FD8A-479C-86C5-0CBF3EDF74F7}">
  <dimension ref="A1:K45"/>
  <sheetViews>
    <sheetView zoomScaleNormal="100" workbookViewId="0">
      <selection sqref="A1:K1"/>
    </sheetView>
  </sheetViews>
  <sheetFormatPr defaultColWidth="8.6640625" defaultRowHeight="14.4"/>
  <cols>
    <col min="1" max="1" width="3.88671875" style="6" bestFit="1" customWidth="1"/>
    <col min="2" max="2" width="11.44140625" style="6" customWidth="1"/>
    <col min="3" max="3" width="5.88671875" style="6" customWidth="1"/>
    <col min="4" max="4" width="12.33203125" style="6" customWidth="1"/>
    <col min="5" max="5" width="14.6640625" style="89" customWidth="1"/>
    <col min="6" max="6" width="13.88671875" style="89" customWidth="1"/>
    <col min="7" max="7" width="14.88671875" style="89" customWidth="1"/>
    <col min="8" max="8" width="11.109375" style="6" customWidth="1"/>
    <col min="9" max="9" width="10.5546875" style="6" customWidth="1"/>
    <col min="10" max="10" width="12.109375" style="6" customWidth="1"/>
    <col min="11" max="11" width="68.109375" style="6" customWidth="1"/>
    <col min="12" max="16384" width="8.6640625" style="6"/>
  </cols>
  <sheetData>
    <row r="1" spans="1:11" ht="25.8">
      <c r="A1" s="345" t="s">
        <v>111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</row>
    <row r="2" spans="1:11" ht="15.6">
      <c r="A2" s="346" t="s">
        <v>4254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</row>
    <row r="3" spans="1:11">
      <c r="A3" s="51" t="s">
        <v>22</v>
      </c>
      <c r="B3" s="51" t="s">
        <v>13</v>
      </c>
      <c r="C3" s="51" t="s">
        <v>26</v>
      </c>
      <c r="D3" s="51" t="s">
        <v>14</v>
      </c>
      <c r="E3" s="83" t="s">
        <v>20</v>
      </c>
      <c r="F3" s="83" t="s">
        <v>21</v>
      </c>
      <c r="G3" s="83" t="s">
        <v>109</v>
      </c>
      <c r="H3" s="51" t="s">
        <v>16</v>
      </c>
      <c r="I3" s="51" t="s">
        <v>17</v>
      </c>
      <c r="J3" s="51" t="s">
        <v>18</v>
      </c>
      <c r="K3" s="51" t="s">
        <v>19</v>
      </c>
    </row>
    <row r="4" spans="1:11">
      <c r="A4" s="4">
        <v>1</v>
      </c>
      <c r="B4" s="97" t="s">
        <v>108</v>
      </c>
      <c r="C4" s="4" t="s">
        <v>4458</v>
      </c>
      <c r="D4" s="4" t="s">
        <v>36</v>
      </c>
      <c r="E4" s="134">
        <v>2204000</v>
      </c>
      <c r="F4" s="135">
        <f t="shared" ref="F4:F18" si="0">E4*0.97</f>
        <v>2137880</v>
      </c>
      <c r="G4" s="136">
        <f t="shared" ref="G4:G18" si="1">E4*0.94</f>
        <v>2071759.9999999998</v>
      </c>
      <c r="H4" s="4">
        <v>994.47</v>
      </c>
      <c r="I4" s="4">
        <v>656.38</v>
      </c>
      <c r="J4" s="4">
        <v>338.09</v>
      </c>
      <c r="K4" s="4" t="s">
        <v>65</v>
      </c>
    </row>
    <row r="5" spans="1:11">
      <c r="A5" s="4">
        <v>2</v>
      </c>
      <c r="B5" s="97" t="s">
        <v>700</v>
      </c>
      <c r="C5" s="4" t="s">
        <v>4458</v>
      </c>
      <c r="D5" s="4" t="s">
        <v>36</v>
      </c>
      <c r="E5" s="134">
        <v>2235000</v>
      </c>
      <c r="F5" s="135">
        <f t="shared" si="0"/>
        <v>2167950</v>
      </c>
      <c r="G5" s="136">
        <f t="shared" si="1"/>
        <v>2100900</v>
      </c>
      <c r="H5" s="4">
        <v>993.29</v>
      </c>
      <c r="I5" s="4">
        <v>655.20000000000005</v>
      </c>
      <c r="J5" s="4">
        <v>338.09</v>
      </c>
      <c r="K5" s="4" t="s">
        <v>67</v>
      </c>
    </row>
    <row r="6" spans="1:11">
      <c r="A6" s="4">
        <v>3</v>
      </c>
      <c r="B6" s="97" t="s">
        <v>107</v>
      </c>
      <c r="C6" s="4" t="s">
        <v>7</v>
      </c>
      <c r="D6" s="4" t="s">
        <v>36</v>
      </c>
      <c r="E6" s="134">
        <v>2194000</v>
      </c>
      <c r="F6" s="135">
        <f t="shared" si="0"/>
        <v>2128180</v>
      </c>
      <c r="G6" s="136">
        <f t="shared" si="1"/>
        <v>2062359.9999999998</v>
      </c>
      <c r="H6" s="4">
        <v>994.47</v>
      </c>
      <c r="I6" s="4">
        <v>656.38</v>
      </c>
      <c r="J6" s="4">
        <v>338.09</v>
      </c>
      <c r="K6" s="4" t="s">
        <v>65</v>
      </c>
    </row>
    <row r="7" spans="1:11">
      <c r="A7" s="4">
        <v>4</v>
      </c>
      <c r="B7" s="97" t="s">
        <v>106</v>
      </c>
      <c r="C7" s="4" t="s">
        <v>7</v>
      </c>
      <c r="D7" s="4" t="s">
        <v>36</v>
      </c>
      <c r="E7" s="134">
        <v>2225000</v>
      </c>
      <c r="F7" s="135">
        <f t="shared" si="0"/>
        <v>2158250</v>
      </c>
      <c r="G7" s="136">
        <f t="shared" si="1"/>
        <v>2091499.9999999998</v>
      </c>
      <c r="H7" s="4">
        <v>993.29</v>
      </c>
      <c r="I7" s="4">
        <v>655.20000000000005</v>
      </c>
      <c r="J7" s="4">
        <v>338.09</v>
      </c>
      <c r="K7" s="4" t="s">
        <v>67</v>
      </c>
    </row>
    <row r="8" spans="1:11">
      <c r="A8" s="4">
        <v>5</v>
      </c>
      <c r="B8" s="97" t="s">
        <v>105</v>
      </c>
      <c r="C8" s="4" t="s">
        <v>8</v>
      </c>
      <c r="D8" s="4" t="s">
        <v>36</v>
      </c>
      <c r="E8" s="134">
        <v>2199000</v>
      </c>
      <c r="F8" s="135">
        <f t="shared" si="0"/>
        <v>2133030</v>
      </c>
      <c r="G8" s="136">
        <f t="shared" si="1"/>
        <v>2067059.9999999998</v>
      </c>
      <c r="H8" s="4">
        <v>993.29</v>
      </c>
      <c r="I8" s="4">
        <v>654.23</v>
      </c>
      <c r="J8" s="4">
        <v>339.06</v>
      </c>
      <c r="K8" s="4" t="s">
        <v>75</v>
      </c>
    </row>
    <row r="9" spans="1:11">
      <c r="A9" s="4">
        <v>6</v>
      </c>
      <c r="B9" s="97" t="s">
        <v>104</v>
      </c>
      <c r="C9" s="4" t="s">
        <v>8</v>
      </c>
      <c r="D9" s="4" t="s">
        <v>36</v>
      </c>
      <c r="E9" s="134">
        <v>2209000</v>
      </c>
      <c r="F9" s="135">
        <f t="shared" si="0"/>
        <v>2142730</v>
      </c>
      <c r="G9" s="136">
        <f t="shared" si="1"/>
        <v>2076459.9999999998</v>
      </c>
      <c r="H9" s="4">
        <v>993.29</v>
      </c>
      <c r="I9" s="4">
        <v>654.23</v>
      </c>
      <c r="J9" s="4">
        <v>339.06</v>
      </c>
      <c r="K9" s="4" t="s">
        <v>68</v>
      </c>
    </row>
    <row r="10" spans="1:11">
      <c r="A10" s="4">
        <v>7</v>
      </c>
      <c r="B10" s="97" t="s">
        <v>103</v>
      </c>
      <c r="C10" s="4" t="s">
        <v>8</v>
      </c>
      <c r="D10" s="4" t="s">
        <v>36</v>
      </c>
      <c r="E10" s="134">
        <v>1882000</v>
      </c>
      <c r="F10" s="135">
        <f t="shared" si="0"/>
        <v>1825540</v>
      </c>
      <c r="G10" s="136">
        <f t="shared" si="1"/>
        <v>1769080</v>
      </c>
      <c r="H10" s="4">
        <v>834.95</v>
      </c>
      <c r="I10" s="4">
        <v>583.4</v>
      </c>
      <c r="J10" s="4">
        <v>251.55</v>
      </c>
      <c r="K10" s="4" t="s">
        <v>65</v>
      </c>
    </row>
    <row r="11" spans="1:11">
      <c r="A11" s="4">
        <v>8</v>
      </c>
      <c r="B11" s="97" t="s">
        <v>102</v>
      </c>
      <c r="C11" s="4" t="s">
        <v>8</v>
      </c>
      <c r="D11" s="4" t="s">
        <v>36</v>
      </c>
      <c r="E11" s="134">
        <v>1882000</v>
      </c>
      <c r="F11" s="135">
        <f t="shared" si="0"/>
        <v>1825540</v>
      </c>
      <c r="G11" s="136">
        <f t="shared" si="1"/>
        <v>1769080</v>
      </c>
      <c r="H11" s="4">
        <v>834.95</v>
      </c>
      <c r="I11" s="4">
        <v>583.4</v>
      </c>
      <c r="J11" s="4">
        <v>251.55</v>
      </c>
      <c r="K11" s="4" t="s">
        <v>65</v>
      </c>
    </row>
    <row r="12" spans="1:11">
      <c r="A12" s="4">
        <v>9</v>
      </c>
      <c r="B12" s="97" t="s">
        <v>101</v>
      </c>
      <c r="C12" s="4" t="s">
        <v>8</v>
      </c>
      <c r="D12" s="4" t="s">
        <v>36</v>
      </c>
      <c r="E12" s="134">
        <v>2189000</v>
      </c>
      <c r="F12" s="135">
        <f t="shared" si="0"/>
        <v>2123330</v>
      </c>
      <c r="G12" s="136">
        <f t="shared" si="1"/>
        <v>2057659.9999999998</v>
      </c>
      <c r="H12" s="4">
        <v>994.41</v>
      </c>
      <c r="I12" s="4">
        <v>655.41</v>
      </c>
      <c r="J12" s="4">
        <v>339</v>
      </c>
      <c r="K12" s="4" t="s">
        <v>65</v>
      </c>
    </row>
    <row r="13" spans="1:11">
      <c r="A13" s="4">
        <v>10</v>
      </c>
      <c r="B13" s="97" t="s">
        <v>100</v>
      </c>
      <c r="C13" s="4" t="s">
        <v>8</v>
      </c>
      <c r="D13" s="4" t="s">
        <v>36</v>
      </c>
      <c r="E13" s="134">
        <v>2220000</v>
      </c>
      <c r="F13" s="135">
        <f t="shared" si="0"/>
        <v>2153400</v>
      </c>
      <c r="G13" s="136">
        <f t="shared" si="1"/>
        <v>2086799.9999999998</v>
      </c>
      <c r="H13" s="4">
        <v>992.32</v>
      </c>
      <c r="I13" s="4">
        <v>654.23</v>
      </c>
      <c r="J13" s="4">
        <v>338.09</v>
      </c>
      <c r="K13" s="4" t="s">
        <v>67</v>
      </c>
    </row>
    <row r="14" spans="1:11">
      <c r="A14" s="4">
        <v>11</v>
      </c>
      <c r="B14" s="97" t="s">
        <v>99</v>
      </c>
      <c r="C14" s="4" t="s">
        <v>10</v>
      </c>
      <c r="D14" s="4" t="s">
        <v>36</v>
      </c>
      <c r="E14" s="134">
        <v>1909000</v>
      </c>
      <c r="F14" s="135">
        <f t="shared" si="0"/>
        <v>1851730</v>
      </c>
      <c r="G14" s="136">
        <f t="shared" si="1"/>
        <v>1794460</v>
      </c>
      <c r="H14" s="4">
        <v>834.96</v>
      </c>
      <c r="I14" s="4">
        <v>583.62</v>
      </c>
      <c r="J14" s="4">
        <v>251.34</v>
      </c>
      <c r="K14" s="4" t="s">
        <v>70</v>
      </c>
    </row>
    <row r="15" spans="1:11">
      <c r="A15" s="4">
        <v>12</v>
      </c>
      <c r="B15" s="97" t="s">
        <v>98</v>
      </c>
      <c r="C15" s="4" t="s">
        <v>3</v>
      </c>
      <c r="D15" s="4" t="s">
        <v>36</v>
      </c>
      <c r="E15" s="134">
        <v>2204000</v>
      </c>
      <c r="F15" s="135">
        <f t="shared" si="0"/>
        <v>2137880</v>
      </c>
      <c r="G15" s="136">
        <f t="shared" si="1"/>
        <v>2071759.9999999998</v>
      </c>
      <c r="H15" s="4">
        <v>992.32</v>
      </c>
      <c r="I15" s="4">
        <v>654.23</v>
      </c>
      <c r="J15" s="4">
        <v>338.09</v>
      </c>
      <c r="K15" s="4" t="s">
        <v>67</v>
      </c>
    </row>
    <row r="16" spans="1:11">
      <c r="A16" s="4">
        <v>13</v>
      </c>
      <c r="B16" s="97" t="s">
        <v>97</v>
      </c>
      <c r="C16" s="4" t="s">
        <v>3</v>
      </c>
      <c r="D16" s="4" t="s">
        <v>36</v>
      </c>
      <c r="E16" s="134">
        <v>1904000</v>
      </c>
      <c r="F16" s="135">
        <f t="shared" si="0"/>
        <v>1846880</v>
      </c>
      <c r="G16" s="136">
        <f t="shared" si="1"/>
        <v>1789760</v>
      </c>
      <c r="H16" s="4">
        <v>834.96</v>
      </c>
      <c r="I16" s="4">
        <v>583.62</v>
      </c>
      <c r="J16" s="4">
        <v>251.34</v>
      </c>
      <c r="K16" s="4" t="s">
        <v>70</v>
      </c>
    </row>
    <row r="17" spans="1:11">
      <c r="A17" s="4">
        <v>14</v>
      </c>
      <c r="B17" s="97" t="s">
        <v>96</v>
      </c>
      <c r="C17" s="4" t="s">
        <v>4459</v>
      </c>
      <c r="D17" s="4" t="s">
        <v>36</v>
      </c>
      <c r="E17" s="134">
        <v>2220000</v>
      </c>
      <c r="F17" s="135">
        <f t="shared" si="0"/>
        <v>2153400</v>
      </c>
      <c r="G17" s="136">
        <f t="shared" si="1"/>
        <v>2086799.9999999998</v>
      </c>
      <c r="H17" s="4">
        <v>994.47</v>
      </c>
      <c r="I17" s="4">
        <v>656.38</v>
      </c>
      <c r="J17" s="4">
        <v>338.09</v>
      </c>
      <c r="K17" s="4" t="s">
        <v>65</v>
      </c>
    </row>
    <row r="18" spans="1:11">
      <c r="A18" s="4">
        <v>15</v>
      </c>
      <c r="B18" s="97" t="s">
        <v>95</v>
      </c>
      <c r="C18" s="4" t="s">
        <v>6</v>
      </c>
      <c r="D18" s="4" t="s">
        <v>36</v>
      </c>
      <c r="E18" s="134">
        <v>1891000</v>
      </c>
      <c r="F18" s="135">
        <f t="shared" si="0"/>
        <v>1834270</v>
      </c>
      <c r="G18" s="136">
        <f t="shared" si="1"/>
        <v>1777540</v>
      </c>
      <c r="H18" s="4">
        <v>835.4</v>
      </c>
      <c r="I18" s="4">
        <v>583.4</v>
      </c>
      <c r="J18" s="4">
        <v>252</v>
      </c>
      <c r="K18" s="4" t="s">
        <v>65</v>
      </c>
    </row>
    <row r="19" spans="1:11">
      <c r="A19" s="4">
        <v>16</v>
      </c>
      <c r="B19" s="97" t="s">
        <v>94</v>
      </c>
      <c r="C19" s="4" t="s">
        <v>6</v>
      </c>
      <c r="D19" s="4" t="s">
        <v>36</v>
      </c>
      <c r="E19" s="134">
        <v>1891000</v>
      </c>
      <c r="F19" s="135">
        <f t="shared" ref="F19:F20" si="2">E19*0.97</f>
        <v>1834270</v>
      </c>
      <c r="G19" s="136">
        <f t="shared" ref="G19:G20" si="3">E19*0.94</f>
        <v>1777540</v>
      </c>
      <c r="H19" s="4">
        <v>835.4</v>
      </c>
      <c r="I19" s="4">
        <v>583.4</v>
      </c>
      <c r="J19" s="4">
        <v>252</v>
      </c>
      <c r="K19" s="4" t="s">
        <v>65</v>
      </c>
    </row>
    <row r="20" spans="1:11" ht="12.75" customHeight="1">
      <c r="A20" s="4">
        <v>17</v>
      </c>
      <c r="B20" s="97" t="s">
        <v>93</v>
      </c>
      <c r="C20" s="4" t="s">
        <v>6</v>
      </c>
      <c r="D20" s="4" t="s">
        <v>36</v>
      </c>
      <c r="E20" s="134">
        <v>2199000</v>
      </c>
      <c r="F20" s="135">
        <f t="shared" si="2"/>
        <v>2133030</v>
      </c>
      <c r="G20" s="136">
        <f t="shared" si="3"/>
        <v>2067059.9999999998</v>
      </c>
      <c r="H20" s="4">
        <v>994.47</v>
      </c>
      <c r="I20" s="4">
        <v>656.38</v>
      </c>
      <c r="J20" s="4">
        <v>338.09</v>
      </c>
      <c r="K20" s="4" t="s">
        <v>65</v>
      </c>
    </row>
    <row r="21" spans="1:11" ht="12.75" customHeight="1">
      <c r="A21" s="4">
        <v>18</v>
      </c>
      <c r="B21" s="97" t="s">
        <v>92</v>
      </c>
      <c r="C21" s="4" t="s">
        <v>6</v>
      </c>
      <c r="D21" s="4" t="s">
        <v>36</v>
      </c>
      <c r="E21" s="134">
        <v>2230000</v>
      </c>
      <c r="F21" s="135">
        <f t="shared" ref="F21:F45" si="4">E21*0.97</f>
        <v>2163100</v>
      </c>
      <c r="G21" s="136">
        <f t="shared" ref="G21:G45" si="5">E21*0.94</f>
        <v>2096199.9999999998</v>
      </c>
      <c r="H21" s="4">
        <v>993.29</v>
      </c>
      <c r="I21" s="4">
        <v>655.20000000000005</v>
      </c>
      <c r="J21" s="4">
        <v>338.09</v>
      </c>
      <c r="K21" s="4" t="s">
        <v>67</v>
      </c>
    </row>
    <row r="22" spans="1:11" ht="12.75" customHeight="1">
      <c r="A22" s="4">
        <v>19</v>
      </c>
      <c r="B22" s="97" t="s">
        <v>91</v>
      </c>
      <c r="C22" s="4" t="s">
        <v>7</v>
      </c>
      <c r="D22" s="4" t="s">
        <v>36</v>
      </c>
      <c r="E22" s="134">
        <v>1886000</v>
      </c>
      <c r="F22" s="135">
        <f t="shared" si="4"/>
        <v>1829420</v>
      </c>
      <c r="G22" s="136">
        <f t="shared" si="5"/>
        <v>1772840</v>
      </c>
      <c r="H22" s="4">
        <v>835.4</v>
      </c>
      <c r="I22" s="4">
        <v>583.4</v>
      </c>
      <c r="J22" s="4">
        <v>252</v>
      </c>
      <c r="K22" s="4" t="s">
        <v>65</v>
      </c>
    </row>
    <row r="23" spans="1:11" ht="12.75" customHeight="1">
      <c r="A23" s="4">
        <v>20</v>
      </c>
      <c r="B23" s="97" t="s">
        <v>90</v>
      </c>
      <c r="C23" s="4" t="s">
        <v>10</v>
      </c>
      <c r="D23" s="4" t="s">
        <v>36</v>
      </c>
      <c r="E23" s="134">
        <v>2188000</v>
      </c>
      <c r="F23" s="135">
        <f t="shared" si="4"/>
        <v>2122360</v>
      </c>
      <c r="G23" s="136">
        <f t="shared" si="5"/>
        <v>2056719.9999999998</v>
      </c>
      <c r="H23" s="4">
        <v>993.29</v>
      </c>
      <c r="I23" s="4">
        <v>654.23</v>
      </c>
      <c r="J23" s="4">
        <v>339.06</v>
      </c>
      <c r="K23" s="4" t="s">
        <v>75</v>
      </c>
    </row>
    <row r="24" spans="1:11" ht="12.75" customHeight="1">
      <c r="A24" s="4">
        <v>21</v>
      </c>
      <c r="B24" s="97" t="s">
        <v>89</v>
      </c>
      <c r="C24" s="4" t="s">
        <v>10</v>
      </c>
      <c r="D24" s="4" t="s">
        <v>36</v>
      </c>
      <c r="E24" s="134">
        <v>2199000</v>
      </c>
      <c r="F24" s="135">
        <f t="shared" si="4"/>
        <v>2133030</v>
      </c>
      <c r="G24" s="136">
        <f t="shared" si="5"/>
        <v>2067059.9999999998</v>
      </c>
      <c r="H24" s="4">
        <v>993.29</v>
      </c>
      <c r="I24" s="4">
        <v>654.23</v>
      </c>
      <c r="J24" s="4">
        <v>339.06</v>
      </c>
      <c r="K24" s="4" t="s">
        <v>68</v>
      </c>
    </row>
    <row r="25" spans="1:11" ht="12.75" customHeight="1">
      <c r="A25" s="4">
        <v>22</v>
      </c>
      <c r="B25" s="97" t="s">
        <v>88</v>
      </c>
      <c r="C25" s="4" t="s">
        <v>10</v>
      </c>
      <c r="D25" s="4" t="s">
        <v>36</v>
      </c>
      <c r="E25" s="134">
        <v>2178000</v>
      </c>
      <c r="F25" s="135">
        <f t="shared" si="4"/>
        <v>2112660</v>
      </c>
      <c r="G25" s="136">
        <f t="shared" si="5"/>
        <v>2047320</v>
      </c>
      <c r="H25" s="4">
        <v>994.41</v>
      </c>
      <c r="I25" s="4">
        <v>655.41</v>
      </c>
      <c r="J25" s="4">
        <v>339</v>
      </c>
      <c r="K25" s="4" t="s">
        <v>65</v>
      </c>
    </row>
    <row r="26" spans="1:11" ht="12.75" customHeight="1">
      <c r="A26" s="4">
        <v>23</v>
      </c>
      <c r="B26" s="97" t="s">
        <v>87</v>
      </c>
      <c r="C26" s="4" t="s">
        <v>10</v>
      </c>
      <c r="D26" s="4" t="s">
        <v>36</v>
      </c>
      <c r="E26" s="134">
        <v>2209000</v>
      </c>
      <c r="F26" s="135">
        <f t="shared" si="4"/>
        <v>2142730</v>
      </c>
      <c r="G26" s="136">
        <f t="shared" si="5"/>
        <v>2076459.9999999998</v>
      </c>
      <c r="H26" s="4">
        <v>992.32</v>
      </c>
      <c r="I26" s="4">
        <v>654.23</v>
      </c>
      <c r="J26" s="4">
        <v>338.09</v>
      </c>
      <c r="K26" s="4" t="s">
        <v>67</v>
      </c>
    </row>
    <row r="27" spans="1:11" ht="12.75" customHeight="1">
      <c r="A27" s="4">
        <v>24</v>
      </c>
      <c r="B27" s="97" t="s">
        <v>86</v>
      </c>
      <c r="C27" s="4" t="s">
        <v>10</v>
      </c>
      <c r="D27" s="4" t="s">
        <v>36</v>
      </c>
      <c r="E27" s="134">
        <v>1909000</v>
      </c>
      <c r="F27" s="135">
        <f t="shared" si="4"/>
        <v>1851730</v>
      </c>
      <c r="G27" s="136">
        <f t="shared" si="5"/>
        <v>1794460</v>
      </c>
      <c r="H27" s="4">
        <v>834.96</v>
      </c>
      <c r="I27" s="4">
        <v>583.62</v>
      </c>
      <c r="J27" s="4">
        <v>251.34</v>
      </c>
      <c r="K27" s="4" t="s">
        <v>70</v>
      </c>
    </row>
    <row r="28" spans="1:11" ht="12.75" customHeight="1">
      <c r="A28" s="4">
        <v>25</v>
      </c>
      <c r="B28" s="97" t="s">
        <v>85</v>
      </c>
      <c r="C28" s="4" t="s">
        <v>5</v>
      </c>
      <c r="D28" s="4" t="s">
        <v>36</v>
      </c>
      <c r="E28" s="134">
        <v>1904000</v>
      </c>
      <c r="F28" s="135">
        <f t="shared" si="4"/>
        <v>1846880</v>
      </c>
      <c r="G28" s="136">
        <f t="shared" si="5"/>
        <v>1789760</v>
      </c>
      <c r="H28" s="4">
        <v>835.4</v>
      </c>
      <c r="I28" s="4">
        <v>583.4</v>
      </c>
      <c r="J28" s="4">
        <v>252</v>
      </c>
      <c r="K28" s="4" t="s">
        <v>65</v>
      </c>
    </row>
    <row r="29" spans="1:11" ht="12.75" customHeight="1">
      <c r="A29" s="4">
        <v>26</v>
      </c>
      <c r="B29" s="97" t="s">
        <v>84</v>
      </c>
      <c r="C29" s="4" t="s">
        <v>9</v>
      </c>
      <c r="D29" s="4" t="s">
        <v>36</v>
      </c>
      <c r="E29" s="134">
        <v>1913000</v>
      </c>
      <c r="F29" s="135">
        <f t="shared" si="4"/>
        <v>1855610</v>
      </c>
      <c r="G29" s="136">
        <f t="shared" si="5"/>
        <v>1798220</v>
      </c>
      <c r="H29" s="4">
        <v>834.96</v>
      </c>
      <c r="I29" s="4">
        <v>583.62</v>
      </c>
      <c r="J29" s="4">
        <v>251.34</v>
      </c>
      <c r="K29" s="4" t="s">
        <v>70</v>
      </c>
    </row>
    <row r="30" spans="1:11" ht="12.75" customHeight="1">
      <c r="A30" s="4">
        <v>27</v>
      </c>
      <c r="B30" s="97" t="s">
        <v>83</v>
      </c>
      <c r="C30" s="4" t="s">
        <v>9</v>
      </c>
      <c r="D30" s="4" t="s">
        <v>36</v>
      </c>
      <c r="E30" s="134">
        <v>2193000</v>
      </c>
      <c r="F30" s="135">
        <f t="shared" si="4"/>
        <v>2127210</v>
      </c>
      <c r="G30" s="136">
        <f t="shared" si="5"/>
        <v>2061419.9999999998</v>
      </c>
      <c r="H30" s="4">
        <v>993.29</v>
      </c>
      <c r="I30" s="4">
        <v>654.23</v>
      </c>
      <c r="J30" s="4">
        <v>339.06</v>
      </c>
      <c r="K30" s="4" t="s">
        <v>75</v>
      </c>
    </row>
    <row r="31" spans="1:11" ht="12.75" customHeight="1">
      <c r="A31" s="4">
        <v>28</v>
      </c>
      <c r="B31" s="97" t="s">
        <v>82</v>
      </c>
      <c r="C31" s="4" t="s">
        <v>9</v>
      </c>
      <c r="D31" s="4" t="s">
        <v>36</v>
      </c>
      <c r="E31" s="134">
        <v>2204000</v>
      </c>
      <c r="F31" s="135">
        <f t="shared" si="4"/>
        <v>2137880</v>
      </c>
      <c r="G31" s="136">
        <f t="shared" si="5"/>
        <v>2071759.9999999998</v>
      </c>
      <c r="H31" s="4">
        <v>993.29</v>
      </c>
      <c r="I31" s="4">
        <v>654.23</v>
      </c>
      <c r="J31" s="4">
        <v>339.06</v>
      </c>
      <c r="K31" s="4" t="s">
        <v>68</v>
      </c>
    </row>
    <row r="32" spans="1:11" ht="12.75" customHeight="1">
      <c r="A32" s="4">
        <v>29</v>
      </c>
      <c r="B32" s="97" t="s">
        <v>81</v>
      </c>
      <c r="C32" s="4" t="s">
        <v>9</v>
      </c>
      <c r="D32" s="4" t="s">
        <v>36</v>
      </c>
      <c r="E32" s="134">
        <v>1877000</v>
      </c>
      <c r="F32" s="135">
        <f t="shared" si="4"/>
        <v>1820690</v>
      </c>
      <c r="G32" s="136">
        <f t="shared" si="5"/>
        <v>1764380</v>
      </c>
      <c r="H32" s="4">
        <v>834.95</v>
      </c>
      <c r="I32" s="4">
        <v>583.4</v>
      </c>
      <c r="J32" s="4">
        <v>251.55</v>
      </c>
      <c r="K32" s="4" t="s">
        <v>65</v>
      </c>
    </row>
    <row r="33" spans="1:11" ht="12.75" customHeight="1">
      <c r="A33" s="4">
        <v>30</v>
      </c>
      <c r="B33" s="97" t="s">
        <v>80</v>
      </c>
      <c r="C33" s="4" t="s">
        <v>9</v>
      </c>
      <c r="D33" s="4" t="s">
        <v>36</v>
      </c>
      <c r="E33" s="134">
        <v>1877000</v>
      </c>
      <c r="F33" s="135">
        <f t="shared" si="4"/>
        <v>1820690</v>
      </c>
      <c r="G33" s="136">
        <f t="shared" si="5"/>
        <v>1764380</v>
      </c>
      <c r="H33" s="4">
        <v>834.95</v>
      </c>
      <c r="I33" s="4">
        <v>583.4</v>
      </c>
      <c r="J33" s="4">
        <v>251.55</v>
      </c>
      <c r="K33" s="4" t="s">
        <v>65</v>
      </c>
    </row>
    <row r="34" spans="1:11" ht="12.75" customHeight="1">
      <c r="A34" s="4">
        <v>31</v>
      </c>
      <c r="B34" s="97" t="s">
        <v>79</v>
      </c>
      <c r="C34" s="4" t="s">
        <v>9</v>
      </c>
      <c r="D34" s="4" t="s">
        <v>36</v>
      </c>
      <c r="E34" s="134">
        <v>2183000</v>
      </c>
      <c r="F34" s="135">
        <f t="shared" si="4"/>
        <v>2117510</v>
      </c>
      <c r="G34" s="136">
        <f t="shared" si="5"/>
        <v>2052020</v>
      </c>
      <c r="H34" s="4">
        <v>994.41</v>
      </c>
      <c r="I34" s="4">
        <v>655.41</v>
      </c>
      <c r="J34" s="4">
        <v>339</v>
      </c>
      <c r="K34" s="4" t="s">
        <v>65</v>
      </c>
    </row>
    <row r="35" spans="1:11" ht="12.75" customHeight="1">
      <c r="A35" s="4">
        <v>32</v>
      </c>
      <c r="B35" s="97" t="s">
        <v>78</v>
      </c>
      <c r="C35" s="4" t="s">
        <v>9</v>
      </c>
      <c r="D35" s="4" t="s">
        <v>36</v>
      </c>
      <c r="E35" s="134">
        <v>2214000</v>
      </c>
      <c r="F35" s="135">
        <f t="shared" si="4"/>
        <v>2147580</v>
      </c>
      <c r="G35" s="136">
        <f t="shared" si="5"/>
        <v>2081159.9999999998</v>
      </c>
      <c r="H35" s="4">
        <v>992.32</v>
      </c>
      <c r="I35" s="4">
        <v>654.23</v>
      </c>
      <c r="J35" s="4">
        <v>338.09</v>
      </c>
      <c r="K35" s="4" t="s">
        <v>67</v>
      </c>
    </row>
    <row r="36" spans="1:11" ht="12.75" customHeight="1">
      <c r="A36" s="4">
        <v>33</v>
      </c>
      <c r="B36" s="97" t="s">
        <v>77</v>
      </c>
      <c r="C36" s="4" t="s">
        <v>3</v>
      </c>
      <c r="D36" s="4" t="s">
        <v>36</v>
      </c>
      <c r="E36" s="134">
        <v>1904000</v>
      </c>
      <c r="F36" s="135">
        <f t="shared" si="4"/>
        <v>1846880</v>
      </c>
      <c r="G36" s="136">
        <f t="shared" si="5"/>
        <v>1789760</v>
      </c>
      <c r="H36" s="4">
        <v>834.96</v>
      </c>
      <c r="I36" s="4">
        <v>583.62</v>
      </c>
      <c r="J36" s="4">
        <v>251.34</v>
      </c>
      <c r="K36" s="4" t="s">
        <v>70</v>
      </c>
    </row>
    <row r="37" spans="1:11" ht="12.75" customHeight="1">
      <c r="A37" s="4">
        <v>34</v>
      </c>
      <c r="B37" s="97" t="s">
        <v>76</v>
      </c>
      <c r="C37" s="4" t="s">
        <v>3</v>
      </c>
      <c r="D37" s="4" t="s">
        <v>36</v>
      </c>
      <c r="E37" s="134">
        <v>2183000</v>
      </c>
      <c r="F37" s="135">
        <f t="shared" si="4"/>
        <v>2117510</v>
      </c>
      <c r="G37" s="136">
        <f t="shared" si="5"/>
        <v>2052020</v>
      </c>
      <c r="H37" s="4">
        <v>993.29</v>
      </c>
      <c r="I37" s="4">
        <v>654.23</v>
      </c>
      <c r="J37" s="4">
        <v>339.06</v>
      </c>
      <c r="K37" s="4" t="s">
        <v>75</v>
      </c>
    </row>
    <row r="38" spans="1:11" ht="12.75" customHeight="1">
      <c r="A38" s="4">
        <v>35</v>
      </c>
      <c r="B38" s="97" t="s">
        <v>74</v>
      </c>
      <c r="C38" s="4" t="s">
        <v>5</v>
      </c>
      <c r="D38" s="4" t="s">
        <v>36</v>
      </c>
      <c r="E38" s="134">
        <v>2214000</v>
      </c>
      <c r="F38" s="135">
        <f t="shared" si="4"/>
        <v>2147580</v>
      </c>
      <c r="G38" s="136">
        <f t="shared" si="5"/>
        <v>2081159.9999999998</v>
      </c>
      <c r="H38" s="4">
        <v>994.47</v>
      </c>
      <c r="I38" s="4">
        <v>656.38</v>
      </c>
      <c r="J38" s="4">
        <v>338.09</v>
      </c>
      <c r="K38" s="4" t="s">
        <v>65</v>
      </c>
    </row>
    <row r="39" spans="1:11" ht="12.75" customHeight="1">
      <c r="A39" s="4">
        <v>36</v>
      </c>
      <c r="B39" s="97" t="s">
        <v>73</v>
      </c>
      <c r="C39" s="4" t="s">
        <v>4</v>
      </c>
      <c r="D39" s="4" t="s">
        <v>36</v>
      </c>
      <c r="E39" s="134">
        <v>1900000</v>
      </c>
      <c r="F39" s="135">
        <f t="shared" si="4"/>
        <v>1843000</v>
      </c>
      <c r="G39" s="136">
        <f t="shared" si="5"/>
        <v>1786000</v>
      </c>
      <c r="H39" s="4">
        <v>835.4</v>
      </c>
      <c r="I39" s="4">
        <v>583.4</v>
      </c>
      <c r="J39" s="4">
        <v>252</v>
      </c>
      <c r="K39" s="4" t="s">
        <v>65</v>
      </c>
    </row>
    <row r="40" spans="1:11" ht="12.75" customHeight="1">
      <c r="A40" s="4">
        <v>37</v>
      </c>
      <c r="B40" s="97" t="s">
        <v>72</v>
      </c>
      <c r="C40" s="4" t="s">
        <v>4</v>
      </c>
      <c r="D40" s="4" t="s">
        <v>36</v>
      </c>
      <c r="E40" s="134">
        <v>1900000</v>
      </c>
      <c r="F40" s="135">
        <f t="shared" si="4"/>
        <v>1843000</v>
      </c>
      <c r="G40" s="136">
        <f t="shared" si="5"/>
        <v>1786000</v>
      </c>
      <c r="H40" s="4">
        <v>835.4</v>
      </c>
      <c r="I40" s="4">
        <v>583.4</v>
      </c>
      <c r="J40" s="4">
        <v>252</v>
      </c>
      <c r="K40" s="4" t="s">
        <v>65</v>
      </c>
    </row>
    <row r="41" spans="1:11" ht="12.75" customHeight="1">
      <c r="A41" s="4">
        <v>38</v>
      </c>
      <c r="B41" s="97" t="s">
        <v>71</v>
      </c>
      <c r="C41" s="4" t="s">
        <v>4</v>
      </c>
      <c r="D41" s="4" t="s">
        <v>36</v>
      </c>
      <c r="E41" s="134">
        <v>2209000</v>
      </c>
      <c r="F41" s="135">
        <f t="shared" si="4"/>
        <v>2142730</v>
      </c>
      <c r="G41" s="136">
        <f t="shared" si="5"/>
        <v>2076459.9999999998</v>
      </c>
      <c r="H41" s="4">
        <v>994.47</v>
      </c>
      <c r="I41" s="4">
        <v>656.38</v>
      </c>
      <c r="J41" s="4">
        <v>338.09</v>
      </c>
      <c r="K41" s="4" t="s">
        <v>65</v>
      </c>
    </row>
    <row r="42" spans="1:11" ht="12.75" customHeight="1">
      <c r="A42" s="4">
        <v>39</v>
      </c>
      <c r="B42" s="97" t="s">
        <v>701</v>
      </c>
      <c r="C42" s="4" t="s">
        <v>4</v>
      </c>
      <c r="D42" s="4" t="s">
        <v>36</v>
      </c>
      <c r="E42" s="134">
        <v>2240000</v>
      </c>
      <c r="F42" s="135">
        <f t="shared" si="4"/>
        <v>2172800</v>
      </c>
      <c r="G42" s="136">
        <f t="shared" si="5"/>
        <v>2105600</v>
      </c>
      <c r="H42" s="4">
        <v>993.29</v>
      </c>
      <c r="I42" s="4">
        <v>655.20000000000005</v>
      </c>
      <c r="J42" s="4">
        <v>338.09</v>
      </c>
      <c r="K42" s="4" t="s">
        <v>67</v>
      </c>
    </row>
    <row r="43" spans="1:11" ht="12.75" customHeight="1">
      <c r="A43" s="4">
        <v>40</v>
      </c>
      <c r="B43" s="97" t="s">
        <v>69</v>
      </c>
      <c r="C43" s="4" t="s">
        <v>3</v>
      </c>
      <c r="D43" s="4" t="s">
        <v>36</v>
      </c>
      <c r="E43" s="134">
        <v>2194000</v>
      </c>
      <c r="F43" s="135">
        <f t="shared" si="4"/>
        <v>2128180</v>
      </c>
      <c r="G43" s="136">
        <f t="shared" si="5"/>
        <v>2062359.9999999998</v>
      </c>
      <c r="H43" s="4">
        <v>993.29</v>
      </c>
      <c r="I43" s="4">
        <v>654.23</v>
      </c>
      <c r="J43" s="4">
        <v>339.06</v>
      </c>
      <c r="K43" s="4" t="s">
        <v>68</v>
      </c>
    </row>
    <row r="44" spans="1:11" ht="12.75" customHeight="1">
      <c r="A44" s="4">
        <v>41</v>
      </c>
      <c r="B44" s="97" t="s">
        <v>4377</v>
      </c>
      <c r="C44" s="4" t="s">
        <v>3</v>
      </c>
      <c r="D44" s="4" t="s">
        <v>35</v>
      </c>
      <c r="E44" s="134">
        <v>1208000</v>
      </c>
      <c r="F44" s="135">
        <f t="shared" si="4"/>
        <v>1171760</v>
      </c>
      <c r="G44" s="136">
        <f t="shared" si="5"/>
        <v>1135520</v>
      </c>
      <c r="H44" s="4">
        <v>477.27</v>
      </c>
      <c r="I44" s="4">
        <v>319.04000000000002</v>
      </c>
      <c r="J44" s="4">
        <v>158.22999999999999</v>
      </c>
      <c r="K44" s="4" t="s">
        <v>65</v>
      </c>
    </row>
    <row r="45" spans="1:11" ht="12.75" customHeight="1">
      <c r="A45" s="4">
        <v>42</v>
      </c>
      <c r="B45" s="97" t="s">
        <v>66</v>
      </c>
      <c r="C45" s="4" t="s">
        <v>3</v>
      </c>
      <c r="D45" s="4" t="s">
        <v>36</v>
      </c>
      <c r="E45" s="134">
        <v>2173000</v>
      </c>
      <c r="F45" s="135">
        <f t="shared" si="4"/>
        <v>2107810</v>
      </c>
      <c r="G45" s="136">
        <f t="shared" si="5"/>
        <v>2042620</v>
      </c>
      <c r="H45" s="4">
        <v>994.41</v>
      </c>
      <c r="I45" s="4">
        <v>655.41</v>
      </c>
      <c r="J45" s="4">
        <v>339</v>
      </c>
      <c r="K45" s="4" t="s">
        <v>65</v>
      </c>
    </row>
  </sheetData>
  <mergeCells count="2">
    <mergeCell ref="A1:K1"/>
    <mergeCell ref="A2:K2"/>
  </mergeCells>
  <conditionalFormatting sqref="B1:B2">
    <cfRule type="duplicateValues" dxfId="10777" priority="94"/>
    <cfRule type="duplicateValues" dxfId="10776" priority="96"/>
    <cfRule type="duplicateValues" dxfId="10775" priority="97"/>
    <cfRule type="duplicateValues" dxfId="10774" priority="98"/>
    <cfRule type="duplicateValues" dxfId="10773" priority="99"/>
    <cfRule type="duplicateValues" dxfId="10772" priority="100"/>
    <cfRule type="duplicateValues" dxfId="10771" priority="101"/>
    <cfRule type="duplicateValues" dxfId="10770" priority="102"/>
    <cfRule type="duplicateValues" dxfId="10769" priority="103"/>
    <cfRule type="duplicateValues" dxfId="10768" priority="104"/>
  </conditionalFormatting>
  <conditionalFormatting sqref="B1:B3">
    <cfRule type="duplicateValues" dxfId="10767" priority="116"/>
    <cfRule type="duplicateValues" dxfId="10766" priority="117"/>
    <cfRule type="duplicateValues" dxfId="10765" priority="118"/>
    <cfRule type="duplicateValues" dxfId="10764" priority="119"/>
    <cfRule type="duplicateValues" dxfId="10763" priority="120"/>
    <cfRule type="duplicateValues" dxfId="10762" priority="121"/>
    <cfRule type="duplicateValues" dxfId="10761" priority="122"/>
    <cfRule type="duplicateValues" dxfId="10760" priority="123"/>
    <cfRule type="duplicateValues" dxfId="10759" priority="124"/>
    <cfRule type="duplicateValues" dxfId="10758" priority="125"/>
    <cfRule type="duplicateValues" dxfId="10757" priority="126"/>
    <cfRule type="duplicateValues" dxfId="10756" priority="127"/>
    <cfRule type="duplicateValues" dxfId="10755" priority="128"/>
    <cfRule type="duplicateValues" dxfId="10754" priority="129"/>
    <cfRule type="duplicateValues" dxfId="10753" priority="130"/>
    <cfRule type="duplicateValues" dxfId="10752" priority="131"/>
    <cfRule type="duplicateValues" dxfId="10751" priority="132"/>
    <cfRule type="duplicateValues" dxfId="10750" priority="133"/>
    <cfRule type="duplicateValues" dxfId="10749" priority="134"/>
    <cfRule type="duplicateValues" dxfId="10748" priority="135"/>
    <cfRule type="duplicateValues" dxfId="10747" priority="136"/>
    <cfRule type="duplicateValues" dxfId="10746" priority="137"/>
    <cfRule type="duplicateValues" dxfId="10745" priority="138"/>
    <cfRule type="duplicateValues" dxfId="10744" priority="139"/>
    <cfRule type="duplicateValues" dxfId="10743" priority="140"/>
    <cfRule type="duplicateValues" dxfId="10742" priority="141"/>
    <cfRule type="duplicateValues" dxfId="10741" priority="142"/>
    <cfRule type="duplicateValues" dxfId="10740" priority="143"/>
    <cfRule type="duplicateValues" dxfId="10739" priority="144"/>
    <cfRule type="duplicateValues" dxfId="10738" priority="145"/>
    <cfRule type="duplicateValues" dxfId="10737" priority="146"/>
    <cfRule type="duplicateValues" dxfId="10736" priority="147"/>
    <cfRule type="duplicateValues" dxfId="10735" priority="148"/>
    <cfRule type="duplicateValues" dxfId="10734" priority="149"/>
    <cfRule type="duplicateValues" dxfId="10733" priority="150"/>
    <cfRule type="duplicateValues" dxfId="10732" priority="151"/>
    <cfRule type="duplicateValues" dxfId="10731" priority="152"/>
    <cfRule type="duplicateValues" dxfId="10730" priority="153"/>
    <cfRule type="duplicateValues" dxfId="10729" priority="154"/>
    <cfRule type="duplicateValues" dxfId="10728" priority="155"/>
    <cfRule type="duplicateValues" dxfId="10727" priority="156"/>
    <cfRule type="duplicateValues" dxfId="10726" priority="157"/>
    <cfRule type="duplicateValues" dxfId="10725" priority="158"/>
  </conditionalFormatting>
  <conditionalFormatting sqref="B1:B45">
    <cfRule type="duplicateValues" dxfId="10724" priority="250037"/>
    <cfRule type="duplicateValues" dxfId="10723" priority="250038"/>
    <cfRule type="duplicateValues" dxfId="10722" priority="250039"/>
    <cfRule type="duplicateValues" dxfId="10721" priority="250040"/>
    <cfRule type="duplicateValues" dxfId="10720" priority="250041"/>
    <cfRule type="duplicateValues" dxfId="10719" priority="250042"/>
    <cfRule type="duplicateValues" dxfId="10718" priority="250043"/>
    <cfRule type="duplicateValues" dxfId="10717" priority="250044"/>
    <cfRule type="duplicateValues" dxfId="10716" priority="250045"/>
    <cfRule type="duplicateValues" dxfId="10715" priority="250046"/>
    <cfRule type="duplicateValues" dxfId="10714" priority="250047"/>
    <cfRule type="duplicateValues" dxfId="10713" priority="250048"/>
    <cfRule type="duplicateValues" dxfId="10712" priority="250049"/>
    <cfRule type="duplicateValues" dxfId="10711" priority="250050"/>
    <cfRule type="duplicateValues" dxfId="10710" priority="250051"/>
    <cfRule type="duplicateValues" dxfId="10709" priority="250052"/>
    <cfRule type="duplicateValues" dxfId="10708" priority="250053"/>
    <cfRule type="duplicateValues" dxfId="10707" priority="250054"/>
    <cfRule type="duplicateValues" dxfId="10706" priority="250055"/>
    <cfRule type="duplicateValues" dxfId="10705" priority="250056"/>
    <cfRule type="duplicateValues" dxfId="10704" priority="250057"/>
    <cfRule type="duplicateValues" dxfId="10703" priority="250058"/>
    <cfRule type="duplicateValues" dxfId="10702" priority="250059"/>
    <cfRule type="duplicateValues" dxfId="10701" priority="250060"/>
    <cfRule type="duplicateValues" dxfId="10700" priority="250061"/>
    <cfRule type="duplicateValues" dxfId="10699" priority="250062"/>
    <cfRule type="duplicateValues" dxfId="10698" priority="250063"/>
    <cfRule type="duplicateValues" dxfId="10697" priority="250064"/>
    <cfRule type="duplicateValues" dxfId="10696" priority="250065"/>
    <cfRule type="duplicateValues" dxfId="10695" priority="250066"/>
    <cfRule type="duplicateValues" dxfId="10694" priority="250067"/>
    <cfRule type="duplicateValues" dxfId="10693" priority="250068"/>
    <cfRule type="duplicateValues" dxfId="10692" priority="250069"/>
    <cfRule type="duplicateValues" dxfId="10691" priority="250070"/>
    <cfRule type="duplicateValues" dxfId="10690" priority="250071"/>
    <cfRule type="duplicateValues" dxfId="10689" priority="250072"/>
    <cfRule type="duplicateValues" dxfId="10688" priority="250073"/>
    <cfRule type="duplicateValues" dxfId="10687" priority="250074"/>
    <cfRule type="duplicateValues" dxfId="10686" priority="250075"/>
    <cfRule type="duplicateValues" dxfId="10685" priority="250076"/>
    <cfRule type="duplicateValues" dxfId="10684" priority="250077"/>
    <cfRule type="duplicateValues" dxfId="10683" priority="250078"/>
    <cfRule type="duplicateValues" dxfId="10682" priority="250079"/>
    <cfRule type="duplicateValues" dxfId="10681" priority="250080"/>
    <cfRule type="duplicateValues" dxfId="10680" priority="250081"/>
    <cfRule type="duplicateValues" dxfId="10679" priority="250082"/>
    <cfRule type="duplicateValues" dxfId="10678" priority="250083"/>
    <cfRule type="duplicateValues" dxfId="10677" priority="250084"/>
    <cfRule type="duplicateValues" dxfId="10676" priority="250085"/>
    <cfRule type="duplicateValues" dxfId="10675" priority="250086"/>
    <cfRule type="duplicateValues" dxfId="10674" priority="250087"/>
    <cfRule type="duplicateValues" dxfId="10673" priority="250088"/>
    <cfRule type="duplicateValues" dxfId="10672" priority="250089"/>
    <cfRule type="duplicateValues" dxfId="10671" priority="250090"/>
    <cfRule type="duplicateValues" dxfId="10670" priority="250091"/>
    <cfRule type="duplicateValues" dxfId="10669" priority="250092"/>
    <cfRule type="duplicateValues" dxfId="10668" priority="250093"/>
    <cfRule type="duplicateValues" dxfId="10667" priority="250094"/>
    <cfRule type="duplicateValues" dxfId="10666" priority="250095"/>
    <cfRule type="duplicateValues" dxfId="10665" priority="250096"/>
    <cfRule type="duplicateValues" dxfId="10664" priority="250097"/>
    <cfRule type="duplicateValues" dxfId="10663" priority="250098"/>
    <cfRule type="duplicateValues" dxfId="10662" priority="250099"/>
    <cfRule type="duplicateValues" dxfId="10661" priority="250100"/>
    <cfRule type="duplicateValues" dxfId="10660" priority="250101"/>
    <cfRule type="duplicateValues" dxfId="10659" priority="250102"/>
    <cfRule type="duplicateValues" dxfId="10658" priority="250103"/>
    <cfRule type="duplicateValues" dxfId="10657" priority="250104"/>
    <cfRule type="duplicateValues" dxfId="10656" priority="250105"/>
    <cfRule type="duplicateValues" dxfId="10655" priority="250106"/>
    <cfRule type="duplicateValues" dxfId="10654" priority="250107"/>
    <cfRule type="duplicateValues" dxfId="10653" priority="250108"/>
    <cfRule type="duplicateValues" dxfId="10652" priority="250109"/>
    <cfRule type="duplicateValues" dxfId="10651" priority="250110"/>
    <cfRule type="duplicateValues" dxfId="10650" priority="250111"/>
  </conditionalFormatting>
  <conditionalFormatting sqref="B3">
    <cfRule type="duplicateValues" dxfId="10649" priority="105"/>
    <cfRule type="duplicateValues" dxfId="10648" priority="107"/>
    <cfRule type="duplicateValues" dxfId="10647" priority="108"/>
    <cfRule type="duplicateValues" dxfId="10646" priority="109"/>
    <cfRule type="duplicateValues" dxfId="10645" priority="110"/>
    <cfRule type="duplicateValues" dxfId="10644" priority="111"/>
    <cfRule type="duplicateValues" dxfId="10643" priority="112"/>
    <cfRule type="duplicateValues" dxfId="10642" priority="113"/>
    <cfRule type="duplicateValues" dxfId="10641" priority="114"/>
    <cfRule type="duplicateValues" dxfId="10640" priority="115"/>
  </conditionalFormatting>
  <conditionalFormatting sqref="B4:B5">
    <cfRule type="duplicateValues" dxfId="10639" priority="183500"/>
    <cfRule type="duplicateValues" dxfId="10638" priority="183501"/>
    <cfRule type="duplicateValues" dxfId="10637" priority="183502"/>
    <cfRule type="duplicateValues" dxfId="10636" priority="183503"/>
    <cfRule type="duplicateValues" dxfId="10635" priority="183504"/>
    <cfRule type="duplicateValues" dxfId="10634" priority="183505"/>
    <cfRule type="duplicateValues" dxfId="10633" priority="183506"/>
    <cfRule type="duplicateValues" dxfId="10632" priority="183507"/>
    <cfRule type="duplicateValues" dxfId="10631" priority="183508"/>
    <cfRule type="duplicateValues" dxfId="10630" priority="183509"/>
    <cfRule type="duplicateValues" dxfId="10629" priority="183510"/>
    <cfRule type="duplicateValues" dxfId="10628" priority="183511"/>
    <cfRule type="duplicateValues" dxfId="10627" priority="183512"/>
    <cfRule type="duplicateValues" dxfId="10626" priority="183513"/>
    <cfRule type="duplicateValues" dxfId="10625" priority="183514"/>
    <cfRule type="duplicateValues" dxfId="10624" priority="183515"/>
    <cfRule type="duplicateValues" dxfId="10623" priority="183516"/>
    <cfRule type="duplicateValues" dxfId="10622" priority="183517"/>
    <cfRule type="duplicateValues" dxfId="10621" priority="183518"/>
    <cfRule type="duplicateValues" dxfId="10620" priority="183519"/>
    <cfRule type="duplicateValues" dxfId="10619" priority="183520"/>
    <cfRule type="duplicateValues" dxfId="10618" priority="183521"/>
    <cfRule type="duplicateValues" dxfId="10617" priority="183522"/>
    <cfRule type="duplicateValues" dxfId="10616" priority="183523"/>
    <cfRule type="duplicateValues" dxfId="10615" priority="183524"/>
    <cfRule type="duplicateValues" dxfId="10614" priority="183525"/>
    <cfRule type="duplicateValues" dxfId="10613" priority="183526"/>
    <cfRule type="duplicateValues" dxfId="10612" priority="183527"/>
    <cfRule type="duplicateValues" dxfId="10611" priority="183528"/>
    <cfRule type="duplicateValues" dxfId="10610" priority="183529"/>
    <cfRule type="duplicateValues" dxfId="10609" priority="183530"/>
    <cfRule type="duplicateValues" dxfId="10608" priority="183531"/>
    <cfRule type="duplicateValues" dxfId="10607" priority="183532"/>
    <cfRule type="duplicateValues" dxfId="10606" priority="183533"/>
    <cfRule type="duplicateValues" dxfId="10605" priority="183534"/>
    <cfRule type="duplicateValues" dxfId="10604" priority="183535"/>
    <cfRule type="duplicateValues" dxfId="10603" priority="183536"/>
    <cfRule type="duplicateValues" dxfId="10602" priority="183537"/>
    <cfRule type="duplicateValues" dxfId="10601" priority="183538"/>
    <cfRule type="duplicateValues" dxfId="10600" priority="183539"/>
    <cfRule type="duplicateValues" dxfId="10599" priority="183540"/>
    <cfRule type="duplicateValues" dxfId="10598" priority="183541"/>
    <cfRule type="duplicateValues" dxfId="10597" priority="183542"/>
  </conditionalFormatting>
  <conditionalFormatting sqref="B4:B45">
    <cfRule type="duplicateValues" dxfId="10596" priority="250115"/>
    <cfRule type="duplicateValues" dxfId="10595" priority="250116"/>
    <cfRule type="duplicateValues" dxfId="10594" priority="250117"/>
    <cfRule type="duplicateValues" dxfId="10593" priority="250118"/>
    <cfRule type="duplicateValues" dxfId="10592" priority="250119"/>
    <cfRule type="duplicateValues" dxfId="10591" priority="250120"/>
    <cfRule type="duplicateValues" dxfId="10590" priority="250121"/>
    <cfRule type="duplicateValues" dxfId="10589" priority="250122"/>
    <cfRule type="duplicateValues" dxfId="10588" priority="250123"/>
    <cfRule type="duplicateValues" dxfId="10587" priority="250124"/>
    <cfRule type="duplicateValues" dxfId="10586" priority="250125"/>
  </conditionalFormatting>
  <conditionalFormatting sqref="B6">
    <cfRule type="duplicateValues" dxfId="10585" priority="978"/>
    <cfRule type="duplicateValues" dxfId="10584" priority="979"/>
    <cfRule type="duplicateValues" dxfId="10583" priority="980"/>
    <cfRule type="duplicateValues" dxfId="10582" priority="981"/>
    <cfRule type="duplicateValues" dxfId="10581" priority="982"/>
    <cfRule type="duplicateValues" dxfId="10580" priority="983"/>
    <cfRule type="duplicateValues" dxfId="10579" priority="984"/>
    <cfRule type="duplicateValues" dxfId="10578" priority="985"/>
    <cfRule type="duplicateValues" dxfId="10577" priority="986"/>
    <cfRule type="duplicateValues" dxfId="10576" priority="987"/>
    <cfRule type="duplicateValues" dxfId="10575" priority="988"/>
    <cfRule type="duplicateValues" dxfId="10574" priority="989"/>
    <cfRule type="duplicateValues" dxfId="10573" priority="990"/>
    <cfRule type="duplicateValues" dxfId="10572" priority="991"/>
    <cfRule type="duplicateValues" dxfId="10571" priority="992"/>
    <cfRule type="duplicateValues" dxfId="10570" priority="993"/>
    <cfRule type="duplicateValues" dxfId="10569" priority="994"/>
    <cfRule type="duplicateValues" dxfId="10568" priority="995"/>
    <cfRule type="duplicateValues" dxfId="10567" priority="996"/>
    <cfRule type="duplicateValues" dxfId="10566" priority="997"/>
    <cfRule type="duplicateValues" dxfId="10565" priority="998"/>
    <cfRule type="duplicateValues" dxfId="10564" priority="999"/>
    <cfRule type="duplicateValues" dxfId="10563" priority="1000"/>
    <cfRule type="duplicateValues" dxfId="10562" priority="1001"/>
    <cfRule type="duplicateValues" dxfId="10561" priority="1002"/>
    <cfRule type="duplicateValues" dxfId="10560" priority="1003"/>
    <cfRule type="duplicateValues" dxfId="10559" priority="1004"/>
    <cfRule type="duplicateValues" dxfId="10558" priority="1005"/>
    <cfRule type="duplicateValues" dxfId="10557" priority="1006"/>
    <cfRule type="duplicateValues" dxfId="10556" priority="1007"/>
    <cfRule type="duplicateValues" dxfId="10555" priority="1008"/>
    <cfRule type="duplicateValues" dxfId="10554" priority="1009"/>
    <cfRule type="duplicateValues" dxfId="10553" priority="1010"/>
    <cfRule type="duplicateValues" dxfId="10552" priority="1011"/>
    <cfRule type="duplicateValues" dxfId="10551" priority="1012"/>
    <cfRule type="duplicateValues" dxfId="10550" priority="1013"/>
    <cfRule type="duplicateValues" dxfId="10549" priority="1014"/>
    <cfRule type="duplicateValues" dxfId="10548" priority="1015"/>
    <cfRule type="duplicateValues" dxfId="10547" priority="1016"/>
    <cfRule type="duplicateValues" dxfId="10546" priority="1017"/>
    <cfRule type="duplicateValues" dxfId="10545" priority="1018"/>
    <cfRule type="duplicateValues" dxfId="10544" priority="1019"/>
    <cfRule type="duplicateValues" dxfId="10543" priority="1020"/>
  </conditionalFormatting>
  <conditionalFormatting sqref="B7">
    <cfRule type="duplicateValues" dxfId="10542" priority="203"/>
    <cfRule type="duplicateValues" dxfId="10541" priority="204"/>
    <cfRule type="duplicateValues" dxfId="10540" priority="205"/>
    <cfRule type="duplicateValues" dxfId="10539" priority="206"/>
    <cfRule type="duplicateValues" dxfId="10538" priority="207"/>
    <cfRule type="duplicateValues" dxfId="10537" priority="208"/>
    <cfRule type="duplicateValues" dxfId="10536" priority="209"/>
    <cfRule type="duplicateValues" dxfId="10535" priority="210"/>
    <cfRule type="duplicateValues" dxfId="10534" priority="211"/>
    <cfRule type="duplicateValues" dxfId="10533" priority="212"/>
    <cfRule type="duplicateValues" dxfId="10532" priority="213"/>
    <cfRule type="duplicateValues" dxfId="10531" priority="214"/>
    <cfRule type="duplicateValues" dxfId="10530" priority="215"/>
    <cfRule type="duplicateValues" dxfId="10529" priority="216"/>
    <cfRule type="duplicateValues" dxfId="10528" priority="217"/>
    <cfRule type="duplicateValues" dxfId="10527" priority="218"/>
    <cfRule type="duplicateValues" dxfId="10526" priority="219"/>
    <cfRule type="duplicateValues" dxfId="10525" priority="220"/>
    <cfRule type="duplicateValues" dxfId="10524" priority="221"/>
    <cfRule type="duplicateValues" dxfId="10523" priority="222"/>
    <cfRule type="duplicateValues" dxfId="10522" priority="223"/>
    <cfRule type="duplicateValues" dxfId="10521" priority="224"/>
    <cfRule type="duplicateValues" dxfId="10520" priority="225"/>
    <cfRule type="duplicateValues" dxfId="10519" priority="226"/>
    <cfRule type="duplicateValues" dxfId="10518" priority="227"/>
    <cfRule type="duplicateValues" dxfId="10517" priority="228"/>
    <cfRule type="duplicateValues" dxfId="10516" priority="229"/>
    <cfRule type="duplicateValues" dxfId="10515" priority="230"/>
    <cfRule type="duplicateValues" dxfId="10514" priority="231"/>
    <cfRule type="duplicateValues" dxfId="10513" priority="232"/>
    <cfRule type="duplicateValues" dxfId="10512" priority="233"/>
    <cfRule type="duplicateValues" dxfId="10511" priority="234"/>
    <cfRule type="duplicateValues" dxfId="10510" priority="235"/>
    <cfRule type="duplicateValues" dxfId="10509" priority="236"/>
    <cfRule type="duplicateValues" dxfId="10508" priority="237"/>
    <cfRule type="duplicateValues" dxfId="10507" priority="238"/>
    <cfRule type="duplicateValues" dxfId="10506" priority="239"/>
    <cfRule type="duplicateValues" dxfId="10505" priority="240"/>
    <cfRule type="duplicateValues" dxfId="10504" priority="241"/>
    <cfRule type="duplicateValues" dxfId="10503" priority="242"/>
    <cfRule type="duplicateValues" dxfId="10502" priority="243"/>
    <cfRule type="duplicateValues" dxfId="10501" priority="244"/>
    <cfRule type="duplicateValues" dxfId="10500" priority="245"/>
  </conditionalFormatting>
  <conditionalFormatting sqref="B8">
    <cfRule type="duplicateValues" dxfId="10499" priority="202"/>
    <cfRule type="duplicateValues" dxfId="10498" priority="289"/>
    <cfRule type="duplicateValues" dxfId="10497" priority="290"/>
    <cfRule type="duplicateValues" dxfId="10496" priority="291"/>
    <cfRule type="duplicateValues" dxfId="10495" priority="292"/>
    <cfRule type="duplicateValues" dxfId="10494" priority="293"/>
    <cfRule type="duplicateValues" dxfId="10493" priority="294"/>
    <cfRule type="duplicateValues" dxfId="10492" priority="295"/>
    <cfRule type="duplicateValues" dxfId="10491" priority="296"/>
    <cfRule type="duplicateValues" dxfId="10490" priority="297"/>
    <cfRule type="duplicateValues" dxfId="10489" priority="298"/>
    <cfRule type="duplicateValues" dxfId="10488" priority="299"/>
    <cfRule type="duplicateValues" dxfId="10487" priority="300"/>
    <cfRule type="duplicateValues" dxfId="10486" priority="301"/>
    <cfRule type="duplicateValues" dxfId="10485" priority="302"/>
    <cfRule type="duplicateValues" dxfId="10484" priority="303"/>
    <cfRule type="duplicateValues" dxfId="10483" priority="304"/>
    <cfRule type="duplicateValues" dxfId="10482" priority="305"/>
    <cfRule type="duplicateValues" dxfId="10481" priority="306"/>
    <cfRule type="duplicateValues" dxfId="10480" priority="307"/>
    <cfRule type="duplicateValues" dxfId="10479" priority="308"/>
    <cfRule type="duplicateValues" dxfId="10478" priority="309"/>
    <cfRule type="duplicateValues" dxfId="10477" priority="310"/>
    <cfRule type="duplicateValues" dxfId="10476" priority="311"/>
    <cfRule type="duplicateValues" dxfId="10475" priority="312"/>
    <cfRule type="duplicateValues" dxfId="10474" priority="313"/>
    <cfRule type="duplicateValues" dxfId="10473" priority="314"/>
    <cfRule type="duplicateValues" dxfId="10472" priority="315"/>
    <cfRule type="duplicateValues" dxfId="10471" priority="316"/>
    <cfRule type="duplicateValues" dxfId="10470" priority="317"/>
    <cfRule type="duplicateValues" dxfId="10469" priority="318"/>
    <cfRule type="duplicateValues" dxfId="10468" priority="319"/>
    <cfRule type="duplicateValues" dxfId="10467" priority="320"/>
    <cfRule type="duplicateValues" dxfId="10466" priority="321"/>
    <cfRule type="duplicateValues" dxfId="10465" priority="322"/>
    <cfRule type="duplicateValues" dxfId="10464" priority="323"/>
    <cfRule type="duplicateValues" dxfId="10463" priority="324"/>
    <cfRule type="duplicateValues" dxfId="10462" priority="325"/>
    <cfRule type="duplicateValues" dxfId="10461" priority="326"/>
    <cfRule type="duplicateValues" dxfId="10460" priority="327"/>
    <cfRule type="duplicateValues" dxfId="10459" priority="328"/>
    <cfRule type="duplicateValues" dxfId="10458" priority="329"/>
    <cfRule type="duplicateValues" dxfId="10457" priority="330"/>
  </conditionalFormatting>
  <conditionalFormatting sqref="B9">
    <cfRule type="duplicateValues" dxfId="10456" priority="976"/>
    <cfRule type="duplicateValues" dxfId="10455" priority="93637"/>
    <cfRule type="duplicateValues" dxfId="10454" priority="93638"/>
    <cfRule type="duplicateValues" dxfId="10453" priority="93639"/>
    <cfRule type="duplicateValues" dxfId="10452" priority="93640"/>
    <cfRule type="duplicateValues" dxfId="10451" priority="93641"/>
    <cfRule type="duplicateValues" dxfId="10450" priority="93642"/>
    <cfRule type="duplicateValues" dxfId="10449" priority="93643"/>
    <cfRule type="duplicateValues" dxfId="10448" priority="93644"/>
    <cfRule type="duplicateValues" dxfId="10447" priority="93645"/>
    <cfRule type="duplicateValues" dxfId="10446" priority="93646"/>
    <cfRule type="duplicateValues" dxfId="10445" priority="93647"/>
    <cfRule type="duplicateValues" dxfId="10444" priority="93648"/>
    <cfRule type="duplicateValues" dxfId="10443" priority="93649"/>
    <cfRule type="duplicateValues" dxfId="10442" priority="93650"/>
    <cfRule type="duplicateValues" dxfId="10441" priority="93651"/>
    <cfRule type="duplicateValues" dxfId="10440" priority="93652"/>
    <cfRule type="duplicateValues" dxfId="10439" priority="93653"/>
    <cfRule type="duplicateValues" dxfId="10438" priority="93654"/>
    <cfRule type="duplicateValues" dxfId="10437" priority="93655"/>
    <cfRule type="duplicateValues" dxfId="10436" priority="93656"/>
    <cfRule type="duplicateValues" dxfId="10435" priority="93657"/>
    <cfRule type="duplicateValues" dxfId="10434" priority="93658"/>
    <cfRule type="duplicateValues" dxfId="10433" priority="93659"/>
    <cfRule type="duplicateValues" dxfId="10432" priority="93660"/>
    <cfRule type="duplicateValues" dxfId="10431" priority="93661"/>
    <cfRule type="duplicateValues" dxfId="10430" priority="93662"/>
    <cfRule type="duplicateValues" dxfId="10429" priority="93663"/>
    <cfRule type="duplicateValues" dxfId="10428" priority="93664"/>
    <cfRule type="duplicateValues" dxfId="10427" priority="93665"/>
    <cfRule type="duplicateValues" dxfId="10426" priority="93666"/>
    <cfRule type="duplicateValues" dxfId="10425" priority="93667"/>
    <cfRule type="duplicateValues" dxfId="10424" priority="93668"/>
    <cfRule type="duplicateValues" dxfId="10423" priority="93669"/>
    <cfRule type="duplicateValues" dxfId="10422" priority="93670"/>
    <cfRule type="duplicateValues" dxfId="10421" priority="93671"/>
    <cfRule type="duplicateValues" dxfId="10420" priority="93672"/>
    <cfRule type="duplicateValues" dxfId="10419" priority="93673"/>
    <cfRule type="duplicateValues" dxfId="10418" priority="93674"/>
    <cfRule type="duplicateValues" dxfId="10417" priority="93675"/>
    <cfRule type="duplicateValues" dxfId="10416" priority="93676"/>
    <cfRule type="duplicateValues" dxfId="10415" priority="93677"/>
    <cfRule type="duplicateValues" dxfId="10414" priority="93678"/>
  </conditionalFormatting>
  <conditionalFormatting sqref="B10:B12">
    <cfRule type="duplicateValues" dxfId="10413" priority="93679"/>
    <cfRule type="duplicateValues" dxfId="10412" priority="93680"/>
    <cfRule type="duplicateValues" dxfId="10411" priority="93681"/>
    <cfRule type="duplicateValues" dxfId="10410" priority="93682"/>
    <cfRule type="duplicateValues" dxfId="10409" priority="93683"/>
    <cfRule type="duplicateValues" dxfId="10408" priority="93684"/>
    <cfRule type="duplicateValues" dxfId="10407" priority="93685"/>
    <cfRule type="duplicateValues" dxfId="10406" priority="93686"/>
    <cfRule type="duplicateValues" dxfId="10405" priority="93687"/>
    <cfRule type="duplicateValues" dxfId="10404" priority="93688"/>
    <cfRule type="duplicateValues" dxfId="10403" priority="93689"/>
    <cfRule type="duplicateValues" dxfId="10402" priority="93690"/>
    <cfRule type="duplicateValues" dxfId="10401" priority="93691"/>
    <cfRule type="duplicateValues" dxfId="10400" priority="93692"/>
    <cfRule type="duplicateValues" dxfId="10399" priority="93693"/>
    <cfRule type="duplicateValues" dxfId="10398" priority="93694"/>
    <cfRule type="duplicateValues" dxfId="10397" priority="93695"/>
    <cfRule type="duplicateValues" dxfId="10396" priority="93696"/>
    <cfRule type="duplicateValues" dxfId="10395" priority="93697"/>
    <cfRule type="duplicateValues" dxfId="10394" priority="93698"/>
    <cfRule type="duplicateValues" dxfId="10393" priority="93699"/>
    <cfRule type="duplicateValues" dxfId="10392" priority="93700"/>
    <cfRule type="duplicateValues" dxfId="10391" priority="93701"/>
    <cfRule type="duplicateValues" dxfId="10390" priority="93702"/>
    <cfRule type="duplicateValues" dxfId="10389" priority="93703"/>
    <cfRule type="duplicateValues" dxfId="10388" priority="93704"/>
    <cfRule type="duplicateValues" dxfId="10387" priority="93705"/>
    <cfRule type="duplicateValues" dxfId="10386" priority="93706"/>
    <cfRule type="duplicateValues" dxfId="10385" priority="93707"/>
    <cfRule type="duplicateValues" dxfId="10384" priority="93708"/>
    <cfRule type="duplicateValues" dxfId="10383" priority="93709"/>
    <cfRule type="duplicateValues" dxfId="10382" priority="93710"/>
    <cfRule type="duplicateValues" dxfId="10381" priority="93711"/>
    <cfRule type="duplicateValues" dxfId="10380" priority="93712"/>
    <cfRule type="duplicateValues" dxfId="10379" priority="93713"/>
    <cfRule type="duplicateValues" dxfId="10378" priority="93714"/>
    <cfRule type="duplicateValues" dxfId="10377" priority="93715"/>
    <cfRule type="duplicateValues" dxfId="10376" priority="93716"/>
    <cfRule type="duplicateValues" dxfId="10375" priority="93717"/>
    <cfRule type="duplicateValues" dxfId="10374" priority="93718"/>
    <cfRule type="duplicateValues" dxfId="10373" priority="93719"/>
    <cfRule type="duplicateValues" dxfId="10372" priority="93720"/>
    <cfRule type="duplicateValues" dxfId="10371" priority="93722"/>
  </conditionalFormatting>
  <conditionalFormatting sqref="B13">
    <cfRule type="duplicateValues" dxfId="10370" priority="235324"/>
    <cfRule type="duplicateValues" dxfId="10369" priority="235325"/>
    <cfRule type="duplicateValues" dxfId="10368" priority="235326"/>
    <cfRule type="duplicateValues" dxfId="10367" priority="235327"/>
    <cfRule type="duplicateValues" dxfId="10366" priority="235328"/>
    <cfRule type="duplicateValues" dxfId="10365" priority="235329"/>
    <cfRule type="duplicateValues" dxfId="10364" priority="235330"/>
    <cfRule type="duplicateValues" dxfId="10363" priority="235331"/>
    <cfRule type="duplicateValues" dxfId="10362" priority="235332"/>
    <cfRule type="duplicateValues" dxfId="10361" priority="235333"/>
    <cfRule type="duplicateValues" dxfId="10360" priority="235334"/>
    <cfRule type="duplicateValues" dxfId="10359" priority="235335"/>
    <cfRule type="duplicateValues" dxfId="10358" priority="235336"/>
    <cfRule type="duplicateValues" dxfId="10357" priority="235337"/>
    <cfRule type="duplicateValues" dxfId="10356" priority="235338"/>
    <cfRule type="duplicateValues" dxfId="10355" priority="235339"/>
    <cfRule type="duplicateValues" dxfId="10354" priority="235340"/>
    <cfRule type="duplicateValues" dxfId="10353" priority="235341"/>
    <cfRule type="duplicateValues" dxfId="10352" priority="235342"/>
    <cfRule type="duplicateValues" dxfId="10351" priority="235343"/>
    <cfRule type="duplicateValues" dxfId="10350" priority="235344"/>
    <cfRule type="duplicateValues" dxfId="10349" priority="235345"/>
    <cfRule type="duplicateValues" dxfId="10348" priority="235346"/>
    <cfRule type="duplicateValues" dxfId="10347" priority="235347"/>
    <cfRule type="duplicateValues" dxfId="10346" priority="235348"/>
    <cfRule type="duplicateValues" dxfId="10345" priority="235349"/>
    <cfRule type="duplicateValues" dxfId="10344" priority="235350"/>
    <cfRule type="duplicateValues" dxfId="10343" priority="235351"/>
    <cfRule type="duplicateValues" dxfId="10342" priority="235352"/>
    <cfRule type="duplicateValues" dxfId="10341" priority="235353"/>
    <cfRule type="duplicateValues" dxfId="10340" priority="235354"/>
    <cfRule type="duplicateValues" dxfId="10339" priority="235355"/>
    <cfRule type="duplicateValues" dxfId="10338" priority="235356"/>
    <cfRule type="duplicateValues" dxfId="10337" priority="235357"/>
    <cfRule type="duplicateValues" dxfId="10336" priority="235358"/>
    <cfRule type="duplicateValues" dxfId="10335" priority="235359"/>
    <cfRule type="duplicateValues" dxfId="10334" priority="235360"/>
    <cfRule type="duplicateValues" dxfId="10333" priority="235361"/>
    <cfRule type="duplicateValues" dxfId="10332" priority="235362"/>
    <cfRule type="duplicateValues" dxfId="10331" priority="235363"/>
    <cfRule type="duplicateValues" dxfId="10330" priority="235364"/>
    <cfRule type="duplicateValues" dxfId="10329" priority="235365"/>
    <cfRule type="duplicateValues" dxfId="10328" priority="235366"/>
  </conditionalFormatting>
  <conditionalFormatting sqref="B14">
    <cfRule type="duplicateValues" dxfId="10327" priority="1106"/>
    <cfRule type="duplicateValues" dxfId="10326" priority="1107"/>
    <cfRule type="duplicateValues" dxfId="10325" priority="1108"/>
    <cfRule type="duplicateValues" dxfId="10324" priority="1109"/>
    <cfRule type="duplicateValues" dxfId="10323" priority="1110"/>
    <cfRule type="duplicateValues" dxfId="10322" priority="1111"/>
    <cfRule type="duplicateValues" dxfId="10321" priority="1112"/>
    <cfRule type="duplicateValues" dxfId="10320" priority="1113"/>
    <cfRule type="duplicateValues" dxfId="10319" priority="1114"/>
    <cfRule type="duplicateValues" dxfId="10318" priority="1115"/>
    <cfRule type="duplicateValues" dxfId="10317" priority="1116"/>
    <cfRule type="duplicateValues" dxfId="10316" priority="1117"/>
    <cfRule type="duplicateValues" dxfId="10315" priority="1118"/>
    <cfRule type="duplicateValues" dxfId="10314" priority="1119"/>
    <cfRule type="duplicateValues" dxfId="10313" priority="1120"/>
    <cfRule type="duplicateValues" dxfId="10312" priority="1121"/>
    <cfRule type="duplicateValues" dxfId="10311" priority="1122"/>
    <cfRule type="duplicateValues" dxfId="10310" priority="1123"/>
    <cfRule type="duplicateValues" dxfId="10309" priority="1124"/>
    <cfRule type="duplicateValues" dxfId="10308" priority="1125"/>
    <cfRule type="duplicateValues" dxfId="10307" priority="1126"/>
    <cfRule type="duplicateValues" dxfId="10306" priority="1127"/>
    <cfRule type="duplicateValues" dxfId="10305" priority="1128"/>
    <cfRule type="duplicateValues" dxfId="10304" priority="1129"/>
    <cfRule type="duplicateValues" dxfId="10303" priority="1130"/>
    <cfRule type="duplicateValues" dxfId="10302" priority="1131"/>
    <cfRule type="duplicateValues" dxfId="10301" priority="1132"/>
    <cfRule type="duplicateValues" dxfId="10300" priority="1133"/>
    <cfRule type="duplicateValues" dxfId="10299" priority="1134"/>
    <cfRule type="duplicateValues" dxfId="10298" priority="1135"/>
    <cfRule type="duplicateValues" dxfId="10297" priority="1136"/>
    <cfRule type="duplicateValues" dxfId="10296" priority="1137"/>
    <cfRule type="duplicateValues" dxfId="10295" priority="1138"/>
    <cfRule type="duplicateValues" dxfId="10294" priority="1139"/>
    <cfRule type="duplicateValues" dxfId="10293" priority="1140"/>
    <cfRule type="duplicateValues" dxfId="10292" priority="1141"/>
    <cfRule type="duplicateValues" dxfId="10291" priority="1142"/>
    <cfRule type="duplicateValues" dxfId="10290" priority="1143"/>
    <cfRule type="duplicateValues" dxfId="10289" priority="1144"/>
    <cfRule type="duplicateValues" dxfId="10288" priority="1145"/>
    <cfRule type="duplicateValues" dxfId="10287" priority="1146"/>
    <cfRule type="duplicateValues" dxfId="10286" priority="1147"/>
    <cfRule type="duplicateValues" dxfId="10285" priority="1148"/>
  </conditionalFormatting>
  <conditionalFormatting sqref="B15">
    <cfRule type="duplicateValues" dxfId="10284" priority="136558"/>
    <cfRule type="duplicateValues" dxfId="10283" priority="136559"/>
    <cfRule type="duplicateValues" dxfId="10282" priority="136560"/>
    <cfRule type="duplicateValues" dxfId="10281" priority="136561"/>
    <cfRule type="duplicateValues" dxfId="10280" priority="136562"/>
    <cfRule type="duplicateValues" dxfId="10279" priority="136563"/>
    <cfRule type="duplicateValues" dxfId="10278" priority="136564"/>
    <cfRule type="duplicateValues" dxfId="10277" priority="136565"/>
    <cfRule type="duplicateValues" dxfId="10276" priority="136566"/>
    <cfRule type="duplicateValues" dxfId="10275" priority="136567"/>
    <cfRule type="duplicateValues" dxfId="10274" priority="136568"/>
    <cfRule type="duplicateValues" dxfId="10273" priority="136569"/>
    <cfRule type="duplicateValues" dxfId="10272" priority="136570"/>
    <cfRule type="duplicateValues" dxfId="10271" priority="136571"/>
    <cfRule type="duplicateValues" dxfId="10270" priority="136572"/>
    <cfRule type="duplicateValues" dxfId="10269" priority="136573"/>
    <cfRule type="duplicateValues" dxfId="10268" priority="136574"/>
    <cfRule type="duplicateValues" dxfId="10267" priority="136575"/>
    <cfRule type="duplicateValues" dxfId="10266" priority="136576"/>
    <cfRule type="duplicateValues" dxfId="10265" priority="136577"/>
    <cfRule type="duplicateValues" dxfId="10264" priority="136578"/>
    <cfRule type="duplicateValues" dxfId="10263" priority="136579"/>
    <cfRule type="duplicateValues" dxfId="10262" priority="136580"/>
    <cfRule type="duplicateValues" dxfId="10261" priority="136581"/>
    <cfRule type="duplicateValues" dxfId="10260" priority="136582"/>
    <cfRule type="duplicateValues" dxfId="10259" priority="136583"/>
    <cfRule type="duplicateValues" dxfId="10258" priority="136584"/>
    <cfRule type="duplicateValues" dxfId="10257" priority="136585"/>
    <cfRule type="duplicateValues" dxfId="10256" priority="136586"/>
    <cfRule type="duplicateValues" dxfId="10255" priority="136587"/>
    <cfRule type="duplicateValues" dxfId="10254" priority="136588"/>
    <cfRule type="duplicateValues" dxfId="10253" priority="136589"/>
    <cfRule type="duplicateValues" dxfId="10252" priority="136590"/>
    <cfRule type="duplicateValues" dxfId="10251" priority="136591"/>
    <cfRule type="duplicateValues" dxfId="10250" priority="136592"/>
    <cfRule type="duplicateValues" dxfId="10249" priority="136593"/>
    <cfRule type="duplicateValues" dxfId="10248" priority="136594"/>
    <cfRule type="duplicateValues" dxfId="10247" priority="136595"/>
    <cfRule type="duplicateValues" dxfId="10246" priority="136596"/>
    <cfRule type="duplicateValues" dxfId="10245" priority="136597"/>
    <cfRule type="duplicateValues" dxfId="10244" priority="136598"/>
    <cfRule type="duplicateValues" dxfId="10243" priority="136599"/>
    <cfRule type="duplicateValues" dxfId="10242" priority="136600"/>
  </conditionalFormatting>
  <conditionalFormatting sqref="B16:B17">
    <cfRule type="duplicateValues" dxfId="10241" priority="76898"/>
    <cfRule type="duplicateValues" dxfId="10240" priority="76899"/>
    <cfRule type="duplicateValues" dxfId="10239" priority="76900"/>
    <cfRule type="duplicateValues" dxfId="10238" priority="76901"/>
    <cfRule type="duplicateValues" dxfId="10237" priority="76902"/>
    <cfRule type="duplicateValues" dxfId="10236" priority="76903"/>
    <cfRule type="duplicateValues" dxfId="10235" priority="76904"/>
    <cfRule type="duplicateValues" dxfId="10234" priority="76905"/>
    <cfRule type="duplicateValues" dxfId="10233" priority="76906"/>
    <cfRule type="duplicateValues" dxfId="10232" priority="76907"/>
    <cfRule type="duplicateValues" dxfId="10231" priority="76908"/>
    <cfRule type="duplicateValues" dxfId="10230" priority="76909"/>
    <cfRule type="duplicateValues" dxfId="10229" priority="76910"/>
    <cfRule type="duplicateValues" dxfId="10228" priority="76911"/>
    <cfRule type="duplicateValues" dxfId="10227" priority="76912"/>
    <cfRule type="duplicateValues" dxfId="10226" priority="76913"/>
    <cfRule type="duplicateValues" dxfId="10225" priority="76914"/>
    <cfRule type="duplicateValues" dxfId="10224" priority="76915"/>
    <cfRule type="duplicateValues" dxfId="10223" priority="76916"/>
    <cfRule type="duplicateValues" dxfId="10222" priority="76917"/>
    <cfRule type="duplicateValues" dxfId="10221" priority="76918"/>
    <cfRule type="duplicateValues" dxfId="10220" priority="76919"/>
    <cfRule type="duplicateValues" dxfId="10219" priority="76920"/>
    <cfRule type="duplicateValues" dxfId="10218" priority="76921"/>
    <cfRule type="duplicateValues" dxfId="10217" priority="76922"/>
    <cfRule type="duplicateValues" dxfId="10216" priority="76923"/>
    <cfRule type="duplicateValues" dxfId="10215" priority="76924"/>
    <cfRule type="duplicateValues" dxfId="10214" priority="76925"/>
    <cfRule type="duplicateValues" dxfId="10213" priority="76926"/>
    <cfRule type="duplicateValues" dxfId="10212" priority="76927"/>
    <cfRule type="duplicateValues" dxfId="10211" priority="76928"/>
    <cfRule type="duplicateValues" dxfId="10210" priority="76929"/>
    <cfRule type="duplicateValues" dxfId="10209" priority="76930"/>
    <cfRule type="duplicateValues" dxfId="10208" priority="76931"/>
    <cfRule type="duplicateValues" dxfId="10207" priority="76932"/>
    <cfRule type="duplicateValues" dxfId="10206" priority="76933"/>
    <cfRule type="duplicateValues" dxfId="10205" priority="76934"/>
    <cfRule type="duplicateValues" dxfId="10204" priority="76935"/>
    <cfRule type="duplicateValues" dxfId="10203" priority="76936"/>
    <cfRule type="duplicateValues" dxfId="10202" priority="76937"/>
    <cfRule type="duplicateValues" dxfId="10201" priority="76938"/>
    <cfRule type="duplicateValues" dxfId="10200" priority="76939"/>
    <cfRule type="duplicateValues" dxfId="10199" priority="76940"/>
  </conditionalFormatting>
  <conditionalFormatting sqref="B18:B19">
    <cfRule type="duplicateValues" dxfId="10198" priority="246"/>
    <cfRule type="duplicateValues" dxfId="10197" priority="247"/>
    <cfRule type="duplicateValues" dxfId="10196" priority="248"/>
    <cfRule type="duplicateValues" dxfId="10195" priority="249"/>
    <cfRule type="duplicateValues" dxfId="10194" priority="250"/>
    <cfRule type="duplicateValues" dxfId="10193" priority="251"/>
    <cfRule type="duplicateValues" dxfId="10192" priority="252"/>
    <cfRule type="duplicateValues" dxfId="10191" priority="253"/>
    <cfRule type="duplicateValues" dxfId="10190" priority="254"/>
    <cfRule type="duplicateValues" dxfId="10189" priority="255"/>
    <cfRule type="duplicateValues" dxfId="10188" priority="256"/>
    <cfRule type="duplicateValues" dxfId="10187" priority="257"/>
    <cfRule type="duplicateValues" dxfId="10186" priority="258"/>
    <cfRule type="duplicateValues" dxfId="10185" priority="259"/>
    <cfRule type="duplicateValues" dxfId="10184" priority="260"/>
    <cfRule type="duplicateValues" dxfId="10183" priority="261"/>
    <cfRule type="duplicateValues" dxfId="10182" priority="262"/>
    <cfRule type="duplicateValues" dxfId="10181" priority="263"/>
    <cfRule type="duplicateValues" dxfId="10180" priority="264"/>
    <cfRule type="duplicateValues" dxfId="10179" priority="265"/>
    <cfRule type="duplicateValues" dxfId="10178" priority="266"/>
    <cfRule type="duplicateValues" dxfId="10177" priority="267"/>
    <cfRule type="duplicateValues" dxfId="10176" priority="268"/>
    <cfRule type="duplicateValues" dxfId="10175" priority="269"/>
    <cfRule type="duplicateValues" dxfId="10174" priority="270"/>
    <cfRule type="duplicateValues" dxfId="10173" priority="271"/>
    <cfRule type="duplicateValues" dxfId="10172" priority="272"/>
    <cfRule type="duplicateValues" dxfId="10171" priority="273"/>
    <cfRule type="duplicateValues" dxfId="10170" priority="274"/>
    <cfRule type="duplicateValues" dxfId="10169" priority="275"/>
    <cfRule type="duplicateValues" dxfId="10168" priority="276"/>
    <cfRule type="duplicateValues" dxfId="10167" priority="277"/>
    <cfRule type="duplicateValues" dxfId="10166" priority="278"/>
    <cfRule type="duplicateValues" dxfId="10165" priority="279"/>
    <cfRule type="duplicateValues" dxfId="10164" priority="280"/>
    <cfRule type="duplicateValues" dxfId="10163" priority="281"/>
    <cfRule type="duplicateValues" dxfId="10162" priority="282"/>
    <cfRule type="duplicateValues" dxfId="10161" priority="283"/>
    <cfRule type="duplicateValues" dxfId="10160" priority="284"/>
    <cfRule type="duplicateValues" dxfId="10159" priority="285"/>
    <cfRule type="duplicateValues" dxfId="10158" priority="286"/>
    <cfRule type="duplicateValues" dxfId="10157" priority="287"/>
    <cfRule type="duplicateValues" dxfId="10156" priority="288"/>
  </conditionalFormatting>
  <conditionalFormatting sqref="B20:B23">
    <cfRule type="duplicateValues" dxfId="10155" priority="229260"/>
    <cfRule type="duplicateValues" dxfId="10154" priority="235531"/>
    <cfRule type="duplicateValues" dxfId="10153" priority="235532"/>
    <cfRule type="duplicateValues" dxfId="10152" priority="235533"/>
    <cfRule type="duplicateValues" dxfId="10151" priority="235534"/>
    <cfRule type="duplicateValues" dxfId="10150" priority="235535"/>
    <cfRule type="duplicateValues" dxfId="10149" priority="235536"/>
    <cfRule type="duplicateValues" dxfId="10148" priority="235537"/>
    <cfRule type="duplicateValues" dxfId="10147" priority="235538"/>
    <cfRule type="duplicateValues" dxfId="10146" priority="235539"/>
    <cfRule type="duplicateValues" dxfId="10145" priority="235540"/>
    <cfRule type="duplicateValues" dxfId="10144" priority="235541"/>
    <cfRule type="duplicateValues" dxfId="10143" priority="235542"/>
    <cfRule type="duplicateValues" dxfId="10142" priority="235543"/>
    <cfRule type="duplicateValues" dxfId="10141" priority="235544"/>
    <cfRule type="duplicateValues" dxfId="10140" priority="235545"/>
    <cfRule type="duplicateValues" dxfId="10139" priority="235546"/>
    <cfRule type="duplicateValues" dxfId="10138" priority="235547"/>
    <cfRule type="duplicateValues" dxfId="10137" priority="235548"/>
    <cfRule type="duplicateValues" dxfId="10136" priority="235549"/>
    <cfRule type="duplicateValues" dxfId="10135" priority="235550"/>
    <cfRule type="duplicateValues" dxfId="10134" priority="235551"/>
    <cfRule type="duplicateValues" dxfId="10133" priority="235552"/>
    <cfRule type="duplicateValues" dxfId="10132" priority="235553"/>
    <cfRule type="duplicateValues" dxfId="10131" priority="235554"/>
    <cfRule type="duplicateValues" dxfId="10130" priority="235555"/>
    <cfRule type="duplicateValues" dxfId="10129" priority="235556"/>
    <cfRule type="duplicateValues" dxfId="10128" priority="235557"/>
    <cfRule type="duplicateValues" dxfId="10127" priority="235558"/>
    <cfRule type="duplicateValues" dxfId="10126" priority="235559"/>
    <cfRule type="duplicateValues" dxfId="10125" priority="235560"/>
    <cfRule type="duplicateValues" dxfId="10124" priority="235561"/>
    <cfRule type="duplicateValues" dxfId="10123" priority="235562"/>
    <cfRule type="duplicateValues" dxfId="10122" priority="235563"/>
    <cfRule type="duplicateValues" dxfId="10121" priority="235564"/>
    <cfRule type="duplicateValues" dxfId="10120" priority="235565"/>
    <cfRule type="duplicateValues" dxfId="10119" priority="235566"/>
    <cfRule type="duplicateValues" dxfId="10118" priority="235567"/>
    <cfRule type="duplicateValues" dxfId="10117" priority="235568"/>
    <cfRule type="duplicateValues" dxfId="10116" priority="235569"/>
    <cfRule type="duplicateValues" dxfId="10115" priority="235570"/>
    <cfRule type="duplicateValues" dxfId="10114" priority="235571"/>
    <cfRule type="duplicateValues" dxfId="10113" priority="235572"/>
  </conditionalFormatting>
  <conditionalFormatting sqref="B24:B25">
    <cfRule type="duplicateValues" dxfId="10112" priority="235616"/>
    <cfRule type="duplicateValues" dxfId="10111" priority="235868"/>
    <cfRule type="duplicateValues" dxfId="10110" priority="235869"/>
    <cfRule type="duplicateValues" dxfId="10109" priority="235870"/>
    <cfRule type="duplicateValues" dxfId="10108" priority="235871"/>
    <cfRule type="duplicateValues" dxfId="10107" priority="235872"/>
    <cfRule type="duplicateValues" dxfId="10106" priority="235873"/>
    <cfRule type="duplicateValues" dxfId="10105" priority="235874"/>
    <cfRule type="duplicateValues" dxfId="10104" priority="235875"/>
    <cfRule type="duplicateValues" dxfId="10103" priority="235876"/>
    <cfRule type="duplicateValues" dxfId="10102" priority="235877"/>
    <cfRule type="duplicateValues" dxfId="10101" priority="235878"/>
    <cfRule type="duplicateValues" dxfId="10100" priority="235879"/>
    <cfRule type="duplicateValues" dxfId="10099" priority="235880"/>
    <cfRule type="duplicateValues" dxfId="10098" priority="235881"/>
    <cfRule type="duplicateValues" dxfId="10097" priority="235882"/>
    <cfRule type="duplicateValues" dxfId="10096" priority="235883"/>
    <cfRule type="duplicateValues" dxfId="10095" priority="235884"/>
    <cfRule type="duplicateValues" dxfId="10094" priority="235885"/>
    <cfRule type="duplicateValues" dxfId="10093" priority="235886"/>
    <cfRule type="duplicateValues" dxfId="10092" priority="235887"/>
    <cfRule type="duplicateValues" dxfId="10091" priority="235888"/>
    <cfRule type="duplicateValues" dxfId="10090" priority="235889"/>
    <cfRule type="duplicateValues" dxfId="10089" priority="235890"/>
    <cfRule type="duplicateValues" dxfId="10088" priority="235891"/>
    <cfRule type="duplicateValues" dxfId="10087" priority="235892"/>
    <cfRule type="duplicateValues" dxfId="10086" priority="235893"/>
    <cfRule type="duplicateValues" dxfId="10085" priority="235894"/>
    <cfRule type="duplicateValues" dxfId="10084" priority="235895"/>
    <cfRule type="duplicateValues" dxfId="10083" priority="235896"/>
    <cfRule type="duplicateValues" dxfId="10082" priority="235897"/>
    <cfRule type="duplicateValues" dxfId="10081" priority="235898"/>
    <cfRule type="duplicateValues" dxfId="10080" priority="235899"/>
    <cfRule type="duplicateValues" dxfId="10079" priority="235900"/>
    <cfRule type="duplicateValues" dxfId="10078" priority="235901"/>
    <cfRule type="duplicateValues" dxfId="10077" priority="235902"/>
    <cfRule type="duplicateValues" dxfId="10076" priority="235903"/>
    <cfRule type="duplicateValues" dxfId="10075" priority="235904"/>
    <cfRule type="duplicateValues" dxfId="10074" priority="235905"/>
    <cfRule type="duplicateValues" dxfId="10073" priority="235906"/>
    <cfRule type="duplicateValues" dxfId="10072" priority="235907"/>
    <cfRule type="duplicateValues" dxfId="10071" priority="235908"/>
    <cfRule type="duplicateValues" dxfId="10070" priority="235909"/>
  </conditionalFormatting>
  <conditionalFormatting sqref="B26:B37">
    <cfRule type="duplicateValues" dxfId="10069" priority="235953"/>
    <cfRule type="duplicateValues" dxfId="10068" priority="236118"/>
    <cfRule type="duplicateValues" dxfId="10067" priority="236119"/>
    <cfRule type="duplicateValues" dxfId="10066" priority="236120"/>
    <cfRule type="duplicateValues" dxfId="10065" priority="236121"/>
    <cfRule type="duplicateValues" dxfId="10064" priority="236122"/>
    <cfRule type="duplicateValues" dxfId="10063" priority="236123"/>
    <cfRule type="duplicateValues" dxfId="10062" priority="236124"/>
    <cfRule type="duplicateValues" dxfId="10061" priority="236125"/>
    <cfRule type="duplicateValues" dxfId="10060" priority="236126"/>
    <cfRule type="duplicateValues" dxfId="10059" priority="236127"/>
    <cfRule type="duplicateValues" dxfId="10058" priority="236128"/>
    <cfRule type="duplicateValues" dxfId="10057" priority="236129"/>
    <cfRule type="duplicateValues" dxfId="10056" priority="236130"/>
    <cfRule type="duplicateValues" dxfId="10055" priority="236131"/>
    <cfRule type="duplicateValues" dxfId="10054" priority="236132"/>
    <cfRule type="duplicateValues" dxfId="10053" priority="236133"/>
    <cfRule type="duplicateValues" dxfId="10052" priority="236134"/>
    <cfRule type="duplicateValues" dxfId="10051" priority="236135"/>
    <cfRule type="duplicateValues" dxfId="10050" priority="236136"/>
    <cfRule type="duplicateValues" dxfId="10049" priority="236137"/>
    <cfRule type="duplicateValues" dxfId="10048" priority="236138"/>
    <cfRule type="duplicateValues" dxfId="10047" priority="236139"/>
    <cfRule type="duplicateValues" dxfId="10046" priority="236140"/>
    <cfRule type="duplicateValues" dxfId="10045" priority="236141"/>
    <cfRule type="duplicateValues" dxfId="10044" priority="236142"/>
    <cfRule type="duplicateValues" dxfId="10043" priority="236143"/>
    <cfRule type="duplicateValues" dxfId="10042" priority="236144"/>
    <cfRule type="duplicateValues" dxfId="10041" priority="236145"/>
    <cfRule type="duplicateValues" dxfId="10040" priority="236146"/>
    <cfRule type="duplicateValues" dxfId="10039" priority="236147"/>
    <cfRule type="duplicateValues" dxfId="10038" priority="236148"/>
    <cfRule type="duplicateValues" dxfId="10037" priority="236149"/>
    <cfRule type="duplicateValues" dxfId="10036" priority="236150"/>
    <cfRule type="duplicateValues" dxfId="10035" priority="236151"/>
    <cfRule type="duplicateValues" dxfId="10034" priority="236152"/>
    <cfRule type="duplicateValues" dxfId="10033" priority="236153"/>
    <cfRule type="duplicateValues" dxfId="10032" priority="236154"/>
    <cfRule type="duplicateValues" dxfId="10031" priority="236155"/>
    <cfRule type="duplicateValues" dxfId="10030" priority="236156"/>
    <cfRule type="duplicateValues" dxfId="10029" priority="236157"/>
    <cfRule type="duplicateValues" dxfId="10028" priority="236158"/>
    <cfRule type="duplicateValues" dxfId="10027" priority="236159"/>
  </conditionalFormatting>
  <conditionalFormatting sqref="B38">
    <cfRule type="duplicateValues" dxfId="10026" priority="236203"/>
    <cfRule type="duplicateValues" dxfId="10025" priority="236368"/>
    <cfRule type="duplicateValues" dxfId="10024" priority="236369"/>
    <cfRule type="duplicateValues" dxfId="10023" priority="236370"/>
    <cfRule type="duplicateValues" dxfId="10022" priority="236371"/>
    <cfRule type="duplicateValues" dxfId="10021" priority="236372"/>
    <cfRule type="duplicateValues" dxfId="10020" priority="236373"/>
    <cfRule type="duplicateValues" dxfId="10019" priority="236374"/>
    <cfRule type="duplicateValues" dxfId="10018" priority="236375"/>
    <cfRule type="duplicateValues" dxfId="10017" priority="236376"/>
    <cfRule type="duplicateValues" dxfId="10016" priority="236377"/>
    <cfRule type="duplicateValues" dxfId="10015" priority="236378"/>
    <cfRule type="duplicateValues" dxfId="10014" priority="236379"/>
    <cfRule type="duplicateValues" dxfId="10013" priority="236380"/>
    <cfRule type="duplicateValues" dxfId="10012" priority="236381"/>
    <cfRule type="duplicateValues" dxfId="10011" priority="236382"/>
    <cfRule type="duplicateValues" dxfId="10010" priority="236383"/>
    <cfRule type="duplicateValues" dxfId="10009" priority="236384"/>
    <cfRule type="duplicateValues" dxfId="10008" priority="236385"/>
    <cfRule type="duplicateValues" dxfId="10007" priority="236386"/>
    <cfRule type="duplicateValues" dxfId="10006" priority="236387"/>
    <cfRule type="duplicateValues" dxfId="10005" priority="236388"/>
    <cfRule type="duplicateValues" dxfId="10004" priority="236389"/>
    <cfRule type="duplicateValues" dxfId="10003" priority="236390"/>
    <cfRule type="duplicateValues" dxfId="10002" priority="236391"/>
    <cfRule type="duplicateValues" dxfId="10001" priority="236392"/>
    <cfRule type="duplicateValues" dxfId="10000" priority="236393"/>
    <cfRule type="duplicateValues" dxfId="9999" priority="236394"/>
    <cfRule type="duplicateValues" dxfId="9998" priority="236395"/>
    <cfRule type="duplicateValues" dxfId="9997" priority="236396"/>
    <cfRule type="duplicateValues" dxfId="9996" priority="236397"/>
    <cfRule type="duplicateValues" dxfId="9995" priority="236398"/>
    <cfRule type="duplicateValues" dxfId="9994" priority="236399"/>
    <cfRule type="duplicateValues" dxfId="9993" priority="236400"/>
    <cfRule type="duplicateValues" dxfId="9992" priority="236401"/>
    <cfRule type="duplicateValues" dxfId="9991" priority="236402"/>
    <cfRule type="duplicateValues" dxfId="9990" priority="236403"/>
    <cfRule type="duplicateValues" dxfId="9989" priority="236404"/>
    <cfRule type="duplicateValues" dxfId="9988" priority="236405"/>
    <cfRule type="duplicateValues" dxfId="9987" priority="236406"/>
    <cfRule type="duplicateValues" dxfId="9986" priority="236407"/>
    <cfRule type="duplicateValues" dxfId="9985" priority="236408"/>
    <cfRule type="duplicateValues" dxfId="9984" priority="236409"/>
  </conditionalFormatting>
  <conditionalFormatting sqref="B39:B44">
    <cfRule type="duplicateValues" dxfId="9983" priority="236453"/>
    <cfRule type="duplicateValues" dxfId="9982" priority="236618"/>
    <cfRule type="duplicateValues" dxfId="9981" priority="236619"/>
    <cfRule type="duplicateValues" dxfId="9980" priority="236620"/>
    <cfRule type="duplicateValues" dxfId="9979" priority="236621"/>
    <cfRule type="duplicateValues" dxfId="9978" priority="236622"/>
    <cfRule type="duplicateValues" dxfId="9977" priority="236623"/>
    <cfRule type="duplicateValues" dxfId="9976" priority="236624"/>
    <cfRule type="duplicateValues" dxfId="9975" priority="236625"/>
    <cfRule type="duplicateValues" dxfId="9974" priority="236626"/>
    <cfRule type="duplicateValues" dxfId="9973" priority="236627"/>
    <cfRule type="duplicateValues" dxfId="9972" priority="236628"/>
    <cfRule type="duplicateValues" dxfId="9971" priority="236629"/>
    <cfRule type="duplicateValues" dxfId="9970" priority="236630"/>
    <cfRule type="duplicateValues" dxfId="9969" priority="236631"/>
    <cfRule type="duplicateValues" dxfId="9968" priority="236632"/>
    <cfRule type="duplicateValues" dxfId="9967" priority="236633"/>
    <cfRule type="duplicateValues" dxfId="9966" priority="236634"/>
    <cfRule type="duplicateValues" dxfId="9965" priority="236635"/>
    <cfRule type="duplicateValues" dxfId="9964" priority="236636"/>
    <cfRule type="duplicateValues" dxfId="9963" priority="236637"/>
    <cfRule type="duplicateValues" dxfId="9962" priority="236638"/>
    <cfRule type="duplicateValues" dxfId="9961" priority="236639"/>
    <cfRule type="duplicateValues" dxfId="9960" priority="236640"/>
    <cfRule type="duplicateValues" dxfId="9959" priority="236641"/>
    <cfRule type="duplicateValues" dxfId="9958" priority="236642"/>
    <cfRule type="duplicateValues" dxfId="9957" priority="236643"/>
    <cfRule type="duplicateValues" dxfId="9956" priority="236644"/>
    <cfRule type="duplicateValues" dxfId="9955" priority="236645"/>
    <cfRule type="duplicateValues" dxfId="9954" priority="236646"/>
    <cfRule type="duplicateValues" dxfId="9953" priority="236647"/>
    <cfRule type="duplicateValues" dxfId="9952" priority="236648"/>
    <cfRule type="duplicateValues" dxfId="9951" priority="236649"/>
    <cfRule type="duplicateValues" dxfId="9950" priority="236650"/>
    <cfRule type="duplicateValues" dxfId="9949" priority="236651"/>
    <cfRule type="duplicateValues" dxfId="9948" priority="236652"/>
    <cfRule type="duplicateValues" dxfId="9947" priority="236653"/>
    <cfRule type="duplicateValues" dxfId="9946" priority="236654"/>
    <cfRule type="duplicateValues" dxfId="9945" priority="236655"/>
    <cfRule type="duplicateValues" dxfId="9944" priority="236656"/>
    <cfRule type="duplicateValues" dxfId="9943" priority="236657"/>
    <cfRule type="duplicateValues" dxfId="9942" priority="236658"/>
    <cfRule type="duplicateValues" dxfId="9941" priority="236659"/>
  </conditionalFormatting>
  <conditionalFormatting sqref="B45">
    <cfRule type="duplicateValues" dxfId="9940" priority="250126"/>
    <cfRule type="duplicateValues" dxfId="9939" priority="250127"/>
    <cfRule type="duplicateValues" dxfId="9938" priority="250128"/>
    <cfRule type="duplicateValues" dxfId="9937" priority="250129"/>
    <cfRule type="duplicateValues" dxfId="9936" priority="250130"/>
    <cfRule type="duplicateValues" dxfId="9935" priority="250131"/>
    <cfRule type="duplicateValues" dxfId="9934" priority="250132"/>
    <cfRule type="duplicateValues" dxfId="9933" priority="250133"/>
    <cfRule type="duplicateValues" dxfId="9932" priority="250134"/>
    <cfRule type="duplicateValues" dxfId="9931" priority="250135"/>
    <cfRule type="duplicateValues" dxfId="9930" priority="250136"/>
    <cfRule type="duplicateValues" dxfId="9929" priority="250137"/>
    <cfRule type="duplicateValues" dxfId="9928" priority="250138"/>
    <cfRule type="duplicateValues" dxfId="9927" priority="250139"/>
    <cfRule type="duplicateValues" dxfId="9926" priority="250140"/>
    <cfRule type="duplicateValues" dxfId="9925" priority="250141"/>
    <cfRule type="duplicateValues" dxfId="9924" priority="250142"/>
    <cfRule type="duplicateValues" dxfId="9923" priority="250143"/>
    <cfRule type="duplicateValues" dxfId="9922" priority="250144"/>
    <cfRule type="duplicateValues" dxfId="9921" priority="250145"/>
    <cfRule type="duplicateValues" dxfId="9920" priority="250146"/>
    <cfRule type="duplicateValues" dxfId="9919" priority="250147"/>
    <cfRule type="duplicateValues" dxfId="9918" priority="250148"/>
    <cfRule type="duplicateValues" dxfId="9917" priority="250149"/>
    <cfRule type="duplicateValues" dxfId="9916" priority="250150"/>
    <cfRule type="duplicateValues" dxfId="9915" priority="250151"/>
    <cfRule type="duplicateValues" dxfId="9914" priority="250152"/>
    <cfRule type="duplicateValues" dxfId="9913" priority="250153"/>
    <cfRule type="duplicateValues" dxfId="9912" priority="250154"/>
    <cfRule type="duplicateValues" dxfId="9911" priority="250155"/>
    <cfRule type="duplicateValues" dxfId="9910" priority="250156"/>
    <cfRule type="duplicateValues" dxfId="9909" priority="250157"/>
    <cfRule type="duplicateValues" dxfId="9908" priority="250158"/>
    <cfRule type="duplicateValues" dxfId="9907" priority="250159"/>
    <cfRule type="duplicateValues" dxfId="9906" priority="250160"/>
    <cfRule type="duplicateValues" dxfId="9905" priority="250161"/>
    <cfRule type="duplicateValues" dxfId="9904" priority="250162"/>
    <cfRule type="duplicateValues" dxfId="9903" priority="250163"/>
    <cfRule type="duplicateValues" dxfId="9902" priority="250164"/>
    <cfRule type="duplicateValues" dxfId="9901" priority="250165"/>
    <cfRule type="duplicateValues" dxfId="9900" priority="250166"/>
    <cfRule type="duplicateValues" dxfId="9899" priority="250167"/>
    <cfRule type="duplicateValues" dxfId="9898" priority="250168"/>
  </conditionalFormatting>
  <conditionalFormatting sqref="B1:C1">
    <cfRule type="duplicateValues" dxfId="9897" priority="95"/>
  </conditionalFormatting>
  <conditionalFormatting sqref="B3:C3">
    <cfRule type="duplicateValues" dxfId="9896" priority="106"/>
  </conditionalFormatting>
  <conditionalFormatting sqref="B1:B1048576">
    <cfRule type="duplicateValues" dxfId="9895" priority="1"/>
  </conditionalFormatting>
  <conditionalFormatting sqref="B1:B46">
    <cfRule type="duplicateValues" dxfId="9894" priority="252170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5860-9124-47C8-93EF-A424A49A5791}">
  <dimension ref="A1:K771"/>
  <sheetViews>
    <sheetView zoomScale="85" zoomScaleNormal="85" workbookViewId="0">
      <selection sqref="A1:K1"/>
    </sheetView>
  </sheetViews>
  <sheetFormatPr defaultColWidth="9" defaultRowHeight="14.4"/>
  <cols>
    <col min="1" max="1" width="4.88671875" customWidth="1"/>
    <col min="2" max="2" width="14.21875" customWidth="1"/>
    <col min="3" max="3" width="5.5546875" bestFit="1" customWidth="1"/>
    <col min="4" max="4" width="19.6640625" bestFit="1" customWidth="1"/>
    <col min="5" max="5" width="14.6640625" style="7" customWidth="1"/>
    <col min="6" max="6" width="13.88671875" style="7" customWidth="1"/>
    <col min="7" max="7" width="14.6640625" style="7" customWidth="1"/>
    <col min="8" max="8" width="11.109375" style="7" bestFit="1" customWidth="1"/>
    <col min="9" max="9" width="9.6640625" style="7" bestFit="1" customWidth="1"/>
    <col min="10" max="10" width="13.33203125" style="7" bestFit="1" customWidth="1"/>
    <col min="11" max="11" width="85" bestFit="1" customWidth="1"/>
  </cols>
  <sheetData>
    <row r="1" spans="1:11" ht="25.8">
      <c r="A1" s="274" t="s">
        <v>344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1" ht="27.75" customHeight="1">
      <c r="A2" s="284" t="s">
        <v>345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 s="182" customFormat="1" ht="27.75" customHeight="1">
      <c r="A3" s="179" t="s">
        <v>22</v>
      </c>
      <c r="B3" s="180" t="s">
        <v>13</v>
      </c>
      <c r="C3" s="180" t="s">
        <v>26</v>
      </c>
      <c r="D3" s="180" t="s">
        <v>44</v>
      </c>
      <c r="E3" s="181" t="s">
        <v>28</v>
      </c>
      <c r="F3" s="181" t="s">
        <v>29</v>
      </c>
      <c r="G3" s="181" t="s">
        <v>43</v>
      </c>
      <c r="H3" s="181" t="s">
        <v>0</v>
      </c>
      <c r="I3" s="181" t="s">
        <v>1</v>
      </c>
      <c r="J3" s="181" t="s">
        <v>2</v>
      </c>
      <c r="K3" s="180" t="s">
        <v>19</v>
      </c>
    </row>
    <row r="4" spans="1:11">
      <c r="A4" s="1">
        <v>1</v>
      </c>
      <c r="B4" s="13" t="s">
        <v>886</v>
      </c>
      <c r="C4" s="8" t="s">
        <v>5</v>
      </c>
      <c r="D4" s="12" t="s">
        <v>24</v>
      </c>
      <c r="E4" s="11">
        <v>1925999</v>
      </c>
      <c r="F4" s="10">
        <f t="shared" ref="F4:F65" si="0">E4*0.97</f>
        <v>1868219.03</v>
      </c>
      <c r="G4" s="9">
        <f t="shared" ref="G4:G65" si="1">E4*0.94</f>
        <v>1810439.0599999998</v>
      </c>
      <c r="H4" s="72">
        <v>1116.8599999999999</v>
      </c>
      <c r="I4" s="72">
        <v>791.58</v>
      </c>
      <c r="J4" s="72">
        <v>325.29000000000002</v>
      </c>
      <c r="K4" s="8" t="s">
        <v>664</v>
      </c>
    </row>
    <row r="5" spans="1:11">
      <c r="A5" s="1">
        <v>2</v>
      </c>
      <c r="B5" s="13" t="s">
        <v>887</v>
      </c>
      <c r="C5" s="8" t="s">
        <v>5</v>
      </c>
      <c r="D5" s="12" t="s">
        <v>36</v>
      </c>
      <c r="E5" s="11">
        <v>1209999</v>
      </c>
      <c r="F5" s="10">
        <f t="shared" si="0"/>
        <v>1173699.03</v>
      </c>
      <c r="G5" s="9">
        <f t="shared" si="1"/>
        <v>1137399.0599999998</v>
      </c>
      <c r="H5" s="72">
        <v>639.48</v>
      </c>
      <c r="I5" s="72">
        <v>533.14</v>
      </c>
      <c r="J5" s="72">
        <v>106.35</v>
      </c>
      <c r="K5" s="8" t="s">
        <v>665</v>
      </c>
    </row>
    <row r="6" spans="1:11">
      <c r="A6" s="1">
        <v>3</v>
      </c>
      <c r="B6" s="13" t="s">
        <v>888</v>
      </c>
      <c r="C6" s="8" t="s">
        <v>4</v>
      </c>
      <c r="D6" s="12" t="s">
        <v>24</v>
      </c>
      <c r="E6" s="11">
        <v>2120999</v>
      </c>
      <c r="F6" s="10">
        <f t="shared" si="0"/>
        <v>2057369.03</v>
      </c>
      <c r="G6" s="9">
        <f t="shared" si="1"/>
        <v>1993739.0599999998</v>
      </c>
      <c r="H6" s="72">
        <v>1265.3</v>
      </c>
      <c r="I6" s="72">
        <v>1012.45</v>
      </c>
      <c r="J6" s="72">
        <v>252.84</v>
      </c>
      <c r="K6" s="8" t="s">
        <v>664</v>
      </c>
    </row>
    <row r="7" spans="1:11">
      <c r="A7" s="1">
        <v>4</v>
      </c>
      <c r="B7" s="13" t="s">
        <v>889</v>
      </c>
      <c r="C7" s="8" t="s">
        <v>4</v>
      </c>
      <c r="D7" s="12" t="s">
        <v>24</v>
      </c>
      <c r="E7" s="11">
        <v>2153999</v>
      </c>
      <c r="F7" s="10">
        <f t="shared" si="0"/>
        <v>2089379.03</v>
      </c>
      <c r="G7" s="9">
        <f t="shared" si="1"/>
        <v>2024759.0599999998</v>
      </c>
      <c r="H7" s="72">
        <v>1279.94</v>
      </c>
      <c r="I7" s="72">
        <v>1027.0899999999999</v>
      </c>
      <c r="J7" s="72">
        <v>252.84</v>
      </c>
      <c r="K7" s="8" t="s">
        <v>665</v>
      </c>
    </row>
    <row r="8" spans="1:11">
      <c r="A8" s="1">
        <v>5</v>
      </c>
      <c r="B8" s="13" t="s">
        <v>890</v>
      </c>
      <c r="C8" s="8" t="s">
        <v>4</v>
      </c>
      <c r="D8" s="12" t="s">
        <v>36</v>
      </c>
      <c r="E8" s="11">
        <v>1327999</v>
      </c>
      <c r="F8" s="10">
        <f t="shared" si="0"/>
        <v>1288159.03</v>
      </c>
      <c r="G8" s="9">
        <f t="shared" si="1"/>
        <v>1248319.0599999998</v>
      </c>
      <c r="H8" s="72">
        <v>886.73</v>
      </c>
      <c r="I8" s="72">
        <v>529.04999999999995</v>
      </c>
      <c r="J8" s="72">
        <v>357.68</v>
      </c>
      <c r="K8" s="8" t="s">
        <v>665</v>
      </c>
    </row>
    <row r="9" spans="1:11">
      <c r="A9" s="1">
        <v>6</v>
      </c>
      <c r="B9" s="13" t="s">
        <v>891</v>
      </c>
      <c r="C9" s="8" t="s">
        <v>4</v>
      </c>
      <c r="D9" s="12" t="s">
        <v>36</v>
      </c>
      <c r="E9" s="11">
        <v>1170552.54</v>
      </c>
      <c r="F9" s="10">
        <f t="shared" si="0"/>
        <v>1135435.9638</v>
      </c>
      <c r="G9" s="9">
        <f t="shared" si="1"/>
        <v>1100319.3876</v>
      </c>
      <c r="H9" s="72">
        <v>715.48</v>
      </c>
      <c r="I9" s="72">
        <v>538.41</v>
      </c>
      <c r="J9" s="72">
        <v>177.07</v>
      </c>
      <c r="K9" s="8" t="s">
        <v>664</v>
      </c>
    </row>
    <row r="10" spans="1:11">
      <c r="A10" s="1">
        <v>7</v>
      </c>
      <c r="B10" s="13" t="s">
        <v>892</v>
      </c>
      <c r="C10" s="8" t="s">
        <v>4</v>
      </c>
      <c r="D10" s="12" t="s">
        <v>36</v>
      </c>
      <c r="E10" s="11">
        <v>1235999</v>
      </c>
      <c r="F10" s="10">
        <f t="shared" si="0"/>
        <v>1198919.03</v>
      </c>
      <c r="G10" s="9">
        <f t="shared" si="1"/>
        <v>1161839.0599999998</v>
      </c>
      <c r="H10" s="72">
        <v>713.22</v>
      </c>
      <c r="I10" s="72">
        <v>525.71</v>
      </c>
      <c r="J10" s="72">
        <v>187.51</v>
      </c>
      <c r="K10" s="8" t="s">
        <v>664</v>
      </c>
    </row>
    <row r="11" spans="1:11">
      <c r="A11" s="1">
        <v>8</v>
      </c>
      <c r="B11" s="13" t="s">
        <v>893</v>
      </c>
      <c r="C11" s="8" t="s">
        <v>4</v>
      </c>
      <c r="D11" s="12" t="s">
        <v>24</v>
      </c>
      <c r="E11" s="11">
        <v>2049999</v>
      </c>
      <c r="F11" s="10">
        <f t="shared" si="0"/>
        <v>1988499.03</v>
      </c>
      <c r="G11" s="9">
        <f t="shared" si="1"/>
        <v>1926999.0599999998</v>
      </c>
      <c r="H11" s="72">
        <v>2003.7</v>
      </c>
      <c r="I11" s="72">
        <v>791.58</v>
      </c>
      <c r="J11" s="72">
        <v>1212.1199999999999</v>
      </c>
      <c r="K11" s="8" t="s">
        <v>664</v>
      </c>
    </row>
    <row r="12" spans="1:11">
      <c r="A12" s="1">
        <v>9</v>
      </c>
      <c r="B12" s="13" t="s">
        <v>894</v>
      </c>
      <c r="C12" s="8" t="s">
        <v>4</v>
      </c>
      <c r="D12" s="12" t="s">
        <v>36</v>
      </c>
      <c r="E12" s="11">
        <v>1524999</v>
      </c>
      <c r="F12" s="10">
        <f t="shared" si="0"/>
        <v>1479249.03</v>
      </c>
      <c r="G12" s="9">
        <f t="shared" si="1"/>
        <v>1433499.0599999998</v>
      </c>
      <c r="H12" s="72">
        <v>1590.15</v>
      </c>
      <c r="I12" s="72">
        <v>533.14</v>
      </c>
      <c r="J12" s="72">
        <v>1057.02</v>
      </c>
      <c r="K12" s="8" t="s">
        <v>665</v>
      </c>
    </row>
    <row r="13" spans="1:11">
      <c r="A13" s="1">
        <v>10</v>
      </c>
      <c r="B13" s="13" t="s">
        <v>895</v>
      </c>
      <c r="C13" s="8" t="s">
        <v>4458</v>
      </c>
      <c r="D13" s="12" t="s">
        <v>36</v>
      </c>
      <c r="E13" s="11">
        <v>1435999</v>
      </c>
      <c r="F13" s="10">
        <f t="shared" si="0"/>
        <v>1392919.03</v>
      </c>
      <c r="G13" s="9">
        <f t="shared" si="1"/>
        <v>1349839.0599999998</v>
      </c>
      <c r="H13" s="72">
        <v>817.63</v>
      </c>
      <c r="I13" s="72">
        <v>644.87</v>
      </c>
      <c r="J13" s="72">
        <v>172.76</v>
      </c>
      <c r="K13" s="8" t="s">
        <v>664</v>
      </c>
    </row>
    <row r="14" spans="1:11">
      <c r="A14" s="1">
        <v>11</v>
      </c>
      <c r="B14" s="13" t="s">
        <v>896</v>
      </c>
      <c r="C14" s="8" t="s">
        <v>4458</v>
      </c>
      <c r="D14" s="12" t="s">
        <v>36</v>
      </c>
      <c r="E14" s="11">
        <v>1327999</v>
      </c>
      <c r="F14" s="10">
        <f t="shared" si="0"/>
        <v>1288159.03</v>
      </c>
      <c r="G14" s="9">
        <f t="shared" si="1"/>
        <v>1248319.0599999998</v>
      </c>
      <c r="H14" s="72">
        <v>886.73</v>
      </c>
      <c r="I14" s="72">
        <v>529.04999999999995</v>
      </c>
      <c r="J14" s="72">
        <v>357.68</v>
      </c>
      <c r="K14" s="8" t="s">
        <v>665</v>
      </c>
    </row>
    <row r="15" spans="1:11">
      <c r="A15" s="1">
        <v>12</v>
      </c>
      <c r="B15" s="13" t="s">
        <v>897</v>
      </c>
      <c r="C15" s="8" t="s">
        <v>4458</v>
      </c>
      <c r="D15" s="12" t="s">
        <v>36</v>
      </c>
      <c r="E15" s="11">
        <v>1199999</v>
      </c>
      <c r="F15" s="10">
        <f t="shared" si="0"/>
        <v>1163999.03</v>
      </c>
      <c r="G15" s="9">
        <f t="shared" si="1"/>
        <v>1127999.0599999998</v>
      </c>
      <c r="H15" s="72">
        <v>524.85</v>
      </c>
      <c r="I15" s="72">
        <v>524.85</v>
      </c>
      <c r="J15" s="72">
        <v>0</v>
      </c>
      <c r="K15" s="8" t="s">
        <v>664</v>
      </c>
    </row>
    <row r="16" spans="1:11">
      <c r="A16" s="1">
        <v>13</v>
      </c>
      <c r="B16" s="13" t="s">
        <v>898</v>
      </c>
      <c r="C16" s="8" t="s">
        <v>4458</v>
      </c>
      <c r="D16" s="12" t="s">
        <v>36</v>
      </c>
      <c r="E16" s="11">
        <v>1210999</v>
      </c>
      <c r="F16" s="10">
        <f t="shared" si="0"/>
        <v>1174669.03</v>
      </c>
      <c r="G16" s="9">
        <f t="shared" si="1"/>
        <v>1138339.0599999998</v>
      </c>
      <c r="H16" s="72">
        <v>665.96</v>
      </c>
      <c r="I16" s="72">
        <v>525.71</v>
      </c>
      <c r="J16" s="72">
        <v>140.25</v>
      </c>
      <c r="K16" s="8" t="s">
        <v>664</v>
      </c>
    </row>
    <row r="17" spans="1:11">
      <c r="A17" s="1">
        <v>14</v>
      </c>
      <c r="B17" s="13" t="s">
        <v>899</v>
      </c>
      <c r="C17" s="8" t="s">
        <v>4458</v>
      </c>
      <c r="D17" s="12" t="s">
        <v>36</v>
      </c>
      <c r="E17" s="11">
        <v>1444999</v>
      </c>
      <c r="F17" s="10">
        <f t="shared" si="0"/>
        <v>1401649.03</v>
      </c>
      <c r="G17" s="9">
        <f t="shared" si="1"/>
        <v>1358299.0599999998</v>
      </c>
      <c r="H17" s="72">
        <v>884.15</v>
      </c>
      <c r="I17" s="72">
        <v>629.69000000000005</v>
      </c>
      <c r="J17" s="72">
        <v>254.46</v>
      </c>
      <c r="K17" s="8" t="s">
        <v>665</v>
      </c>
    </row>
    <row r="18" spans="1:11">
      <c r="A18" s="1">
        <v>15</v>
      </c>
      <c r="B18" s="13" t="s">
        <v>900</v>
      </c>
      <c r="C18" s="8" t="s">
        <v>4458</v>
      </c>
      <c r="D18" s="12" t="s">
        <v>24</v>
      </c>
      <c r="E18" s="11">
        <v>1889999</v>
      </c>
      <c r="F18" s="10">
        <f t="shared" si="0"/>
        <v>1833299.03</v>
      </c>
      <c r="G18" s="9">
        <f t="shared" si="1"/>
        <v>1776599.0599999998</v>
      </c>
      <c r="H18" s="72">
        <v>1055.08</v>
      </c>
      <c r="I18" s="72">
        <v>786.09</v>
      </c>
      <c r="J18" s="72">
        <v>268.99</v>
      </c>
      <c r="K18" s="8" t="s">
        <v>664</v>
      </c>
    </row>
    <row r="19" spans="1:11">
      <c r="A19" s="1">
        <v>16</v>
      </c>
      <c r="B19" s="13" t="s">
        <v>901</v>
      </c>
      <c r="C19" s="8" t="s">
        <v>4458</v>
      </c>
      <c r="D19" s="12" t="s">
        <v>36</v>
      </c>
      <c r="E19" s="11">
        <v>1349999</v>
      </c>
      <c r="F19" s="10">
        <f t="shared" si="0"/>
        <v>1309499.03</v>
      </c>
      <c r="G19" s="9">
        <f t="shared" si="1"/>
        <v>1268999.0599999998</v>
      </c>
      <c r="H19" s="72">
        <v>742.17</v>
      </c>
      <c r="I19" s="72">
        <v>591.91</v>
      </c>
      <c r="J19" s="72">
        <v>150.26</v>
      </c>
      <c r="K19" s="8" t="s">
        <v>665</v>
      </c>
    </row>
    <row r="20" spans="1:11">
      <c r="A20" s="1">
        <v>17</v>
      </c>
      <c r="B20" s="13" t="s">
        <v>902</v>
      </c>
      <c r="C20" s="8" t="s">
        <v>4458</v>
      </c>
      <c r="D20" s="12" t="s">
        <v>36</v>
      </c>
      <c r="E20" s="11">
        <v>1379999</v>
      </c>
      <c r="F20" s="10">
        <f t="shared" si="0"/>
        <v>1338599.03</v>
      </c>
      <c r="G20" s="9">
        <f t="shared" si="1"/>
        <v>1297199.0599999998</v>
      </c>
      <c r="H20" s="72">
        <v>782.11</v>
      </c>
      <c r="I20" s="72">
        <v>599.98</v>
      </c>
      <c r="J20" s="72">
        <v>182.13</v>
      </c>
      <c r="K20" s="8" t="s">
        <v>664</v>
      </c>
    </row>
    <row r="21" spans="1:11">
      <c r="A21" s="1">
        <v>18</v>
      </c>
      <c r="B21" s="13" t="s">
        <v>903</v>
      </c>
      <c r="C21" s="8" t="s">
        <v>4458</v>
      </c>
      <c r="D21" s="12" t="s">
        <v>36</v>
      </c>
      <c r="E21" s="11">
        <v>1372999</v>
      </c>
      <c r="F21" s="10">
        <f t="shared" si="0"/>
        <v>1331809.03</v>
      </c>
      <c r="G21" s="9">
        <f t="shared" si="1"/>
        <v>1290619.0599999998</v>
      </c>
      <c r="H21" s="72">
        <v>782.11</v>
      </c>
      <c r="I21" s="72">
        <v>599.98</v>
      </c>
      <c r="J21" s="72">
        <v>182.13</v>
      </c>
      <c r="K21" s="8" t="s">
        <v>666</v>
      </c>
    </row>
    <row r="22" spans="1:11">
      <c r="A22" s="1">
        <v>19</v>
      </c>
      <c r="B22" s="13" t="s">
        <v>904</v>
      </c>
      <c r="C22" s="8" t="s">
        <v>4458</v>
      </c>
      <c r="D22" s="12" t="s">
        <v>24</v>
      </c>
      <c r="E22" s="11">
        <v>1957999</v>
      </c>
      <c r="F22" s="10">
        <f t="shared" si="0"/>
        <v>1899259.03</v>
      </c>
      <c r="G22" s="9">
        <f t="shared" si="1"/>
        <v>1840519.0599999998</v>
      </c>
      <c r="H22" s="72">
        <v>1098.46</v>
      </c>
      <c r="I22" s="72">
        <v>820.64</v>
      </c>
      <c r="J22" s="72">
        <v>277.82</v>
      </c>
      <c r="K22" s="8" t="s">
        <v>666</v>
      </c>
    </row>
    <row r="23" spans="1:11">
      <c r="A23" s="1">
        <v>20</v>
      </c>
      <c r="B23" s="13" t="s">
        <v>905</v>
      </c>
      <c r="C23" s="8" t="s">
        <v>4458</v>
      </c>
      <c r="D23" s="12" t="s">
        <v>36</v>
      </c>
      <c r="E23" s="11">
        <v>1494999</v>
      </c>
      <c r="F23" s="10">
        <f t="shared" si="0"/>
        <v>1450149.03</v>
      </c>
      <c r="G23" s="9">
        <f t="shared" si="1"/>
        <v>1405299.0599999998</v>
      </c>
      <c r="H23" s="72">
        <v>925.59</v>
      </c>
      <c r="I23" s="72">
        <v>654.34</v>
      </c>
      <c r="J23" s="72">
        <v>271.25</v>
      </c>
      <c r="K23" s="8" t="s">
        <v>666</v>
      </c>
    </row>
    <row r="24" spans="1:11">
      <c r="A24" s="1">
        <v>21</v>
      </c>
      <c r="B24" s="13" t="s">
        <v>906</v>
      </c>
      <c r="C24" s="8" t="s">
        <v>4458</v>
      </c>
      <c r="D24" s="12" t="s">
        <v>36</v>
      </c>
      <c r="E24" s="11">
        <v>1494999</v>
      </c>
      <c r="F24" s="10">
        <f t="shared" si="0"/>
        <v>1450149.03</v>
      </c>
      <c r="G24" s="9">
        <f t="shared" si="1"/>
        <v>1405299.0599999998</v>
      </c>
      <c r="H24" s="72">
        <v>924.51</v>
      </c>
      <c r="I24" s="72">
        <v>654.12</v>
      </c>
      <c r="J24" s="72">
        <v>270.39</v>
      </c>
      <c r="K24" s="8" t="s">
        <v>665</v>
      </c>
    </row>
    <row r="25" spans="1:11">
      <c r="A25" s="1">
        <v>22</v>
      </c>
      <c r="B25" s="13" t="s">
        <v>907</v>
      </c>
      <c r="C25" s="8" t="s">
        <v>4458</v>
      </c>
      <c r="D25" s="12" t="s">
        <v>36</v>
      </c>
      <c r="E25" s="11">
        <v>1256999</v>
      </c>
      <c r="F25" s="10">
        <f t="shared" si="0"/>
        <v>1219289.03</v>
      </c>
      <c r="G25" s="9">
        <f t="shared" si="1"/>
        <v>1181579.0599999998</v>
      </c>
      <c r="H25" s="72">
        <v>710.63</v>
      </c>
      <c r="I25" s="72">
        <v>543.58000000000004</v>
      </c>
      <c r="J25" s="72">
        <v>167.06</v>
      </c>
      <c r="K25" s="8" t="s">
        <v>666</v>
      </c>
    </row>
    <row r="26" spans="1:11">
      <c r="A26" s="1">
        <v>23</v>
      </c>
      <c r="B26" s="13" t="s">
        <v>908</v>
      </c>
      <c r="C26" s="8" t="s">
        <v>4458</v>
      </c>
      <c r="D26" s="12" t="s">
        <v>36</v>
      </c>
      <c r="E26" s="11">
        <v>1270999</v>
      </c>
      <c r="F26" s="10">
        <f t="shared" si="0"/>
        <v>1232869.03</v>
      </c>
      <c r="G26" s="9">
        <f t="shared" si="1"/>
        <v>1194739.0599999998</v>
      </c>
      <c r="H26" s="72">
        <v>713.54</v>
      </c>
      <c r="I26" s="72">
        <v>546.48</v>
      </c>
      <c r="J26" s="72">
        <v>167.06</v>
      </c>
      <c r="K26" s="8" t="s">
        <v>665</v>
      </c>
    </row>
    <row r="27" spans="1:11">
      <c r="A27" s="1">
        <v>24</v>
      </c>
      <c r="B27" s="13" t="s">
        <v>909</v>
      </c>
      <c r="C27" s="8" t="s">
        <v>6</v>
      </c>
      <c r="D27" s="12" t="s">
        <v>36</v>
      </c>
      <c r="E27" s="11">
        <v>1435999</v>
      </c>
      <c r="F27" s="10">
        <f t="shared" si="0"/>
        <v>1392919.03</v>
      </c>
      <c r="G27" s="9">
        <f t="shared" si="1"/>
        <v>1349839.0599999998</v>
      </c>
      <c r="H27" s="72">
        <v>817.63</v>
      </c>
      <c r="I27" s="72">
        <v>644.87</v>
      </c>
      <c r="J27" s="72">
        <v>172.76</v>
      </c>
      <c r="K27" s="8" t="s">
        <v>664</v>
      </c>
    </row>
    <row r="28" spans="1:11">
      <c r="A28" s="1">
        <v>25</v>
      </c>
      <c r="B28" s="13" t="s">
        <v>910</v>
      </c>
      <c r="C28" s="8" t="s">
        <v>6</v>
      </c>
      <c r="D28" s="12" t="s">
        <v>36</v>
      </c>
      <c r="E28" s="11">
        <v>1326999</v>
      </c>
      <c r="F28" s="10">
        <f t="shared" si="0"/>
        <v>1287189.03</v>
      </c>
      <c r="G28" s="9">
        <f t="shared" si="1"/>
        <v>1247379.0599999998</v>
      </c>
      <c r="H28" s="72">
        <v>886.73</v>
      </c>
      <c r="I28" s="72">
        <v>529.04999999999995</v>
      </c>
      <c r="J28" s="72">
        <v>357.68</v>
      </c>
      <c r="K28" s="8" t="s">
        <v>665</v>
      </c>
    </row>
    <row r="29" spans="1:11">
      <c r="A29" s="1">
        <v>26</v>
      </c>
      <c r="B29" s="13" t="s">
        <v>911</v>
      </c>
      <c r="C29" s="8" t="s">
        <v>6</v>
      </c>
      <c r="D29" s="12" t="s">
        <v>36</v>
      </c>
      <c r="E29" s="11">
        <v>1199999</v>
      </c>
      <c r="F29" s="10">
        <f t="shared" si="0"/>
        <v>1163999.03</v>
      </c>
      <c r="G29" s="9">
        <f t="shared" si="1"/>
        <v>1127999.0599999998</v>
      </c>
      <c r="H29" s="72">
        <v>524.85</v>
      </c>
      <c r="I29" s="72">
        <v>524.85</v>
      </c>
      <c r="J29" s="72">
        <v>0</v>
      </c>
      <c r="K29" s="8" t="s">
        <v>664</v>
      </c>
    </row>
    <row r="30" spans="1:11">
      <c r="A30" s="1">
        <v>27</v>
      </c>
      <c r="B30" s="13" t="s">
        <v>912</v>
      </c>
      <c r="C30" s="8" t="s">
        <v>6</v>
      </c>
      <c r="D30" s="12" t="s">
        <v>36</v>
      </c>
      <c r="E30" s="11">
        <v>1210999</v>
      </c>
      <c r="F30" s="10">
        <f t="shared" si="0"/>
        <v>1174669.03</v>
      </c>
      <c r="G30" s="9">
        <f t="shared" si="1"/>
        <v>1138339.0599999998</v>
      </c>
      <c r="H30" s="72">
        <v>665.96</v>
      </c>
      <c r="I30" s="72">
        <v>525.71</v>
      </c>
      <c r="J30" s="72">
        <v>140.25</v>
      </c>
      <c r="K30" s="8" t="s">
        <v>664</v>
      </c>
    </row>
    <row r="31" spans="1:11">
      <c r="A31" s="1">
        <v>28</v>
      </c>
      <c r="B31" s="13" t="s">
        <v>913</v>
      </c>
      <c r="C31" s="8" t="s">
        <v>6</v>
      </c>
      <c r="D31" s="12" t="s">
        <v>36</v>
      </c>
      <c r="E31" s="11">
        <v>1443999</v>
      </c>
      <c r="F31" s="10">
        <f t="shared" si="0"/>
        <v>1400679.03</v>
      </c>
      <c r="G31" s="9">
        <f t="shared" si="1"/>
        <v>1357359.0599999998</v>
      </c>
      <c r="H31" s="72">
        <v>884.15</v>
      </c>
      <c r="I31" s="72">
        <v>629.69000000000005</v>
      </c>
      <c r="J31" s="72">
        <v>254.46</v>
      </c>
      <c r="K31" s="8" t="s">
        <v>665</v>
      </c>
    </row>
    <row r="32" spans="1:11">
      <c r="A32" s="1">
        <v>29</v>
      </c>
      <c r="B32" s="13" t="s">
        <v>914</v>
      </c>
      <c r="C32" s="8" t="s">
        <v>6</v>
      </c>
      <c r="D32" s="12" t="s">
        <v>24</v>
      </c>
      <c r="E32" s="11">
        <v>1889999</v>
      </c>
      <c r="F32" s="10">
        <f t="shared" si="0"/>
        <v>1833299.03</v>
      </c>
      <c r="G32" s="9">
        <f t="shared" si="1"/>
        <v>1776599.0599999998</v>
      </c>
      <c r="H32" s="72">
        <v>1055.08</v>
      </c>
      <c r="I32" s="72">
        <v>786.09</v>
      </c>
      <c r="J32" s="72">
        <v>268.99</v>
      </c>
      <c r="K32" s="8" t="s">
        <v>664</v>
      </c>
    </row>
    <row r="33" spans="1:11">
      <c r="A33" s="1">
        <v>30</v>
      </c>
      <c r="B33" s="13" t="s">
        <v>915</v>
      </c>
      <c r="C33" s="8" t="s">
        <v>6</v>
      </c>
      <c r="D33" s="12" t="s">
        <v>36</v>
      </c>
      <c r="E33" s="11">
        <v>1349999</v>
      </c>
      <c r="F33" s="10">
        <f t="shared" si="0"/>
        <v>1309499.03</v>
      </c>
      <c r="G33" s="9">
        <f t="shared" si="1"/>
        <v>1268999.0599999998</v>
      </c>
      <c r="H33" s="72">
        <v>742.17</v>
      </c>
      <c r="I33" s="72">
        <v>591.91</v>
      </c>
      <c r="J33" s="72">
        <v>150.26</v>
      </c>
      <c r="K33" s="8" t="s">
        <v>665</v>
      </c>
    </row>
    <row r="34" spans="1:11">
      <c r="A34" s="1">
        <v>31</v>
      </c>
      <c r="B34" s="13" t="s">
        <v>916</v>
      </c>
      <c r="C34" s="8" t="s">
        <v>6</v>
      </c>
      <c r="D34" s="12" t="s">
        <v>36</v>
      </c>
      <c r="E34" s="11">
        <v>1378999</v>
      </c>
      <c r="F34" s="10">
        <f t="shared" si="0"/>
        <v>1337629.03</v>
      </c>
      <c r="G34" s="9">
        <f t="shared" si="1"/>
        <v>1296259.0599999998</v>
      </c>
      <c r="H34" s="72">
        <v>782.11</v>
      </c>
      <c r="I34" s="72">
        <v>599.98</v>
      </c>
      <c r="J34" s="72">
        <v>182.13</v>
      </c>
      <c r="K34" s="8" t="s">
        <v>664</v>
      </c>
    </row>
    <row r="35" spans="1:11">
      <c r="A35" s="1">
        <v>32</v>
      </c>
      <c r="B35" s="13" t="s">
        <v>917</v>
      </c>
      <c r="C35" s="8" t="s">
        <v>6</v>
      </c>
      <c r="D35" s="12" t="s">
        <v>24</v>
      </c>
      <c r="E35" s="11">
        <v>1956999</v>
      </c>
      <c r="F35" s="10">
        <f t="shared" si="0"/>
        <v>1898289.03</v>
      </c>
      <c r="G35" s="9">
        <f t="shared" si="1"/>
        <v>1839579.0599999998</v>
      </c>
      <c r="H35" s="72">
        <v>1098.46</v>
      </c>
      <c r="I35" s="72">
        <v>820.64</v>
      </c>
      <c r="J35" s="72">
        <v>277.82</v>
      </c>
      <c r="K35" s="8" t="s">
        <v>666</v>
      </c>
    </row>
    <row r="36" spans="1:11">
      <c r="A36" s="1">
        <v>33</v>
      </c>
      <c r="B36" s="13" t="s">
        <v>918</v>
      </c>
      <c r="C36" s="8" t="s">
        <v>6</v>
      </c>
      <c r="D36" s="12" t="s">
        <v>36</v>
      </c>
      <c r="E36" s="11">
        <v>1494999</v>
      </c>
      <c r="F36" s="10">
        <f t="shared" si="0"/>
        <v>1450149.03</v>
      </c>
      <c r="G36" s="9">
        <f t="shared" si="1"/>
        <v>1405299.0599999998</v>
      </c>
      <c r="H36" s="72">
        <v>925.59</v>
      </c>
      <c r="I36" s="72">
        <v>654.34</v>
      </c>
      <c r="J36" s="72">
        <v>271.25</v>
      </c>
      <c r="K36" s="8" t="s">
        <v>666</v>
      </c>
    </row>
    <row r="37" spans="1:11">
      <c r="A37" s="1">
        <v>34</v>
      </c>
      <c r="B37" s="13" t="s">
        <v>919</v>
      </c>
      <c r="C37" s="8" t="s">
        <v>6</v>
      </c>
      <c r="D37" s="12" t="s">
        <v>36</v>
      </c>
      <c r="E37" s="11">
        <v>1494999</v>
      </c>
      <c r="F37" s="10">
        <f t="shared" si="0"/>
        <v>1450149.03</v>
      </c>
      <c r="G37" s="9">
        <f t="shared" si="1"/>
        <v>1405299.0599999998</v>
      </c>
      <c r="H37" s="72">
        <v>924.51</v>
      </c>
      <c r="I37" s="72">
        <v>654.12</v>
      </c>
      <c r="J37" s="72">
        <v>270.39</v>
      </c>
      <c r="K37" s="8" t="s">
        <v>665</v>
      </c>
    </row>
    <row r="38" spans="1:11">
      <c r="A38" s="1">
        <v>35</v>
      </c>
      <c r="B38" s="13" t="s">
        <v>920</v>
      </c>
      <c r="C38" s="8" t="s">
        <v>6</v>
      </c>
      <c r="D38" s="12" t="s">
        <v>36</v>
      </c>
      <c r="E38" s="11">
        <v>1255999</v>
      </c>
      <c r="F38" s="10">
        <f t="shared" si="0"/>
        <v>1218319.03</v>
      </c>
      <c r="G38" s="9">
        <f t="shared" si="1"/>
        <v>1180639.0599999998</v>
      </c>
      <c r="H38" s="72">
        <v>710.63</v>
      </c>
      <c r="I38" s="72">
        <v>543.58000000000004</v>
      </c>
      <c r="J38" s="72">
        <v>167.06</v>
      </c>
      <c r="K38" s="8" t="s">
        <v>666</v>
      </c>
    </row>
    <row r="39" spans="1:11">
      <c r="A39" s="1">
        <v>36</v>
      </c>
      <c r="B39" s="13" t="s">
        <v>921</v>
      </c>
      <c r="C39" s="8" t="s">
        <v>6</v>
      </c>
      <c r="D39" s="12" t="s">
        <v>36</v>
      </c>
      <c r="E39" s="11">
        <v>1269999</v>
      </c>
      <c r="F39" s="10">
        <f t="shared" si="0"/>
        <v>1231899.03</v>
      </c>
      <c r="G39" s="9">
        <f t="shared" si="1"/>
        <v>1193799.0599999998</v>
      </c>
      <c r="H39" s="72">
        <v>713.54</v>
      </c>
      <c r="I39" s="72">
        <v>546.48</v>
      </c>
      <c r="J39" s="72">
        <v>167.06</v>
      </c>
      <c r="K39" s="8" t="s">
        <v>665</v>
      </c>
    </row>
    <row r="40" spans="1:11">
      <c r="A40" s="1">
        <v>37</v>
      </c>
      <c r="B40" s="13" t="s">
        <v>346</v>
      </c>
      <c r="C40" s="8" t="s">
        <v>7</v>
      </c>
      <c r="D40" s="12" t="s">
        <v>36</v>
      </c>
      <c r="E40" s="11">
        <v>1434999</v>
      </c>
      <c r="F40" s="10">
        <f t="shared" si="0"/>
        <v>1391949.03</v>
      </c>
      <c r="G40" s="9">
        <f t="shared" si="1"/>
        <v>1348899.0599999998</v>
      </c>
      <c r="H40" s="72">
        <v>817.63</v>
      </c>
      <c r="I40" s="72">
        <v>644.87</v>
      </c>
      <c r="J40" s="72">
        <v>172.76</v>
      </c>
      <c r="K40" s="8" t="s">
        <v>664</v>
      </c>
    </row>
    <row r="41" spans="1:11">
      <c r="A41" s="1">
        <v>38</v>
      </c>
      <c r="B41" s="13" t="s">
        <v>347</v>
      </c>
      <c r="C41" s="8" t="s">
        <v>7</v>
      </c>
      <c r="D41" s="12" t="s">
        <v>36</v>
      </c>
      <c r="E41" s="11">
        <v>1465999</v>
      </c>
      <c r="F41" s="10">
        <f t="shared" si="0"/>
        <v>1422019.03</v>
      </c>
      <c r="G41" s="9">
        <f t="shared" si="1"/>
        <v>1378039.0599999998</v>
      </c>
      <c r="H41" s="72">
        <v>832.27</v>
      </c>
      <c r="I41" s="72">
        <v>659.5</v>
      </c>
      <c r="J41" s="72">
        <v>172.76</v>
      </c>
      <c r="K41" s="8" t="s">
        <v>665</v>
      </c>
    </row>
    <row r="42" spans="1:11">
      <c r="A42" s="1">
        <v>39</v>
      </c>
      <c r="B42" s="13" t="s">
        <v>348</v>
      </c>
      <c r="C42" s="8" t="s">
        <v>7</v>
      </c>
      <c r="D42" s="12" t="s">
        <v>36</v>
      </c>
      <c r="E42" s="11">
        <v>1326999</v>
      </c>
      <c r="F42" s="10">
        <f t="shared" si="0"/>
        <v>1287189.03</v>
      </c>
      <c r="G42" s="9">
        <f t="shared" si="1"/>
        <v>1247379.0599999998</v>
      </c>
      <c r="H42" s="72">
        <v>886.73</v>
      </c>
      <c r="I42" s="72">
        <v>529.04999999999995</v>
      </c>
      <c r="J42" s="72">
        <v>357.68</v>
      </c>
      <c r="K42" s="8" t="s">
        <v>665</v>
      </c>
    </row>
    <row r="43" spans="1:11">
      <c r="A43" s="1">
        <v>40</v>
      </c>
      <c r="B43" s="13" t="s">
        <v>922</v>
      </c>
      <c r="C43" s="8" t="s">
        <v>7</v>
      </c>
      <c r="D43" s="12" t="s">
        <v>36</v>
      </c>
      <c r="E43" s="11">
        <v>1199999</v>
      </c>
      <c r="F43" s="10">
        <f t="shared" si="0"/>
        <v>1163999.03</v>
      </c>
      <c r="G43" s="9">
        <f t="shared" si="1"/>
        <v>1127999.0599999998</v>
      </c>
      <c r="H43" s="72">
        <v>524.85</v>
      </c>
      <c r="I43" s="72">
        <v>524.85</v>
      </c>
      <c r="J43" s="72">
        <v>0</v>
      </c>
      <c r="K43" s="8" t="s">
        <v>664</v>
      </c>
    </row>
    <row r="44" spans="1:11">
      <c r="A44" s="1">
        <v>41</v>
      </c>
      <c r="B44" s="13" t="s">
        <v>923</v>
      </c>
      <c r="C44" s="8" t="s">
        <v>7</v>
      </c>
      <c r="D44" s="12" t="s">
        <v>36</v>
      </c>
      <c r="E44" s="11">
        <v>1209999</v>
      </c>
      <c r="F44" s="10">
        <f t="shared" si="0"/>
        <v>1173699.03</v>
      </c>
      <c r="G44" s="9">
        <f t="shared" si="1"/>
        <v>1137399.0599999998</v>
      </c>
      <c r="H44" s="72">
        <v>665.96</v>
      </c>
      <c r="I44" s="72">
        <v>525.71</v>
      </c>
      <c r="J44" s="72">
        <v>140.25</v>
      </c>
      <c r="K44" s="8" t="s">
        <v>664</v>
      </c>
    </row>
    <row r="45" spans="1:11">
      <c r="A45" s="1">
        <v>42</v>
      </c>
      <c r="B45" s="13" t="s">
        <v>349</v>
      </c>
      <c r="C45" s="8" t="s">
        <v>7</v>
      </c>
      <c r="D45" s="12" t="s">
        <v>36</v>
      </c>
      <c r="E45" s="11">
        <v>1442999</v>
      </c>
      <c r="F45" s="10">
        <f t="shared" si="0"/>
        <v>1399709.03</v>
      </c>
      <c r="G45" s="9">
        <f t="shared" si="1"/>
        <v>1356419.0599999998</v>
      </c>
      <c r="H45" s="72">
        <v>884.15</v>
      </c>
      <c r="I45" s="72">
        <v>629.69000000000005</v>
      </c>
      <c r="J45" s="72">
        <v>254.46</v>
      </c>
      <c r="K45" s="8" t="s">
        <v>665</v>
      </c>
    </row>
    <row r="46" spans="1:11">
      <c r="A46" s="1">
        <v>43</v>
      </c>
      <c r="B46" s="13" t="s">
        <v>350</v>
      </c>
      <c r="C46" s="8" t="s">
        <v>7</v>
      </c>
      <c r="D46" s="12" t="s">
        <v>24</v>
      </c>
      <c r="E46" s="11">
        <v>1889999</v>
      </c>
      <c r="F46" s="10">
        <f t="shared" si="0"/>
        <v>1833299.03</v>
      </c>
      <c r="G46" s="9">
        <f t="shared" si="1"/>
        <v>1776599.0599999998</v>
      </c>
      <c r="H46" s="72">
        <v>1055.08</v>
      </c>
      <c r="I46" s="72">
        <v>786.09</v>
      </c>
      <c r="J46" s="72">
        <v>268.99</v>
      </c>
      <c r="K46" s="8" t="s">
        <v>664</v>
      </c>
    </row>
    <row r="47" spans="1:11">
      <c r="A47" s="1">
        <v>44</v>
      </c>
      <c r="B47" s="13" t="s">
        <v>351</v>
      </c>
      <c r="C47" s="8" t="s">
        <v>7</v>
      </c>
      <c r="D47" s="12" t="s">
        <v>36</v>
      </c>
      <c r="E47" s="11">
        <v>1349999</v>
      </c>
      <c r="F47" s="10">
        <f t="shared" si="0"/>
        <v>1309499.03</v>
      </c>
      <c r="G47" s="9">
        <f t="shared" si="1"/>
        <v>1268999.0599999998</v>
      </c>
      <c r="H47" s="72">
        <v>742.17</v>
      </c>
      <c r="I47" s="72">
        <v>591.91</v>
      </c>
      <c r="J47" s="72">
        <v>150.26</v>
      </c>
      <c r="K47" s="8" t="s">
        <v>665</v>
      </c>
    </row>
    <row r="48" spans="1:11">
      <c r="A48" s="1">
        <v>45</v>
      </c>
      <c r="B48" s="13" t="s">
        <v>352</v>
      </c>
      <c r="C48" s="8" t="s">
        <v>7</v>
      </c>
      <c r="D48" s="12" t="s">
        <v>36</v>
      </c>
      <c r="E48" s="11">
        <v>1378999</v>
      </c>
      <c r="F48" s="10">
        <f t="shared" si="0"/>
        <v>1337629.03</v>
      </c>
      <c r="G48" s="9">
        <f t="shared" si="1"/>
        <v>1296259.0599999998</v>
      </c>
      <c r="H48" s="72">
        <v>782.11</v>
      </c>
      <c r="I48" s="72">
        <v>599.98</v>
      </c>
      <c r="J48" s="72">
        <v>182.13</v>
      </c>
      <c r="K48" s="8" t="s">
        <v>664</v>
      </c>
    </row>
    <row r="49" spans="1:11">
      <c r="A49" s="1">
        <v>46</v>
      </c>
      <c r="B49" s="13" t="s">
        <v>353</v>
      </c>
      <c r="C49" s="8" t="s">
        <v>7</v>
      </c>
      <c r="D49" s="12" t="s">
        <v>36</v>
      </c>
      <c r="E49" s="11">
        <v>1371999</v>
      </c>
      <c r="F49" s="10">
        <f t="shared" si="0"/>
        <v>1330839.03</v>
      </c>
      <c r="G49" s="9">
        <f t="shared" si="1"/>
        <v>1289679.0599999998</v>
      </c>
      <c r="H49" s="72">
        <v>782.11</v>
      </c>
      <c r="I49" s="72">
        <v>599.98</v>
      </c>
      <c r="J49" s="72">
        <v>182.13</v>
      </c>
      <c r="K49" s="8" t="s">
        <v>666</v>
      </c>
    </row>
    <row r="50" spans="1:11">
      <c r="A50" s="1">
        <v>47</v>
      </c>
      <c r="B50" s="13" t="s">
        <v>354</v>
      </c>
      <c r="C50" s="8" t="s">
        <v>7</v>
      </c>
      <c r="D50" s="12" t="s">
        <v>36</v>
      </c>
      <c r="E50" s="11">
        <v>1403999</v>
      </c>
      <c r="F50" s="10">
        <f t="shared" si="0"/>
        <v>1361879.03</v>
      </c>
      <c r="G50" s="9">
        <f t="shared" si="1"/>
        <v>1319759.0599999998</v>
      </c>
      <c r="H50" s="72">
        <v>785.87</v>
      </c>
      <c r="I50" s="72">
        <v>626.78</v>
      </c>
      <c r="J50" s="72">
        <v>159.09</v>
      </c>
      <c r="K50" s="8" t="s">
        <v>665</v>
      </c>
    </row>
    <row r="51" spans="1:11">
      <c r="A51" s="1">
        <v>48</v>
      </c>
      <c r="B51" s="13" t="s">
        <v>355</v>
      </c>
      <c r="C51" s="8" t="s">
        <v>7</v>
      </c>
      <c r="D51" s="12" t="s">
        <v>24</v>
      </c>
      <c r="E51" s="11">
        <v>1955999</v>
      </c>
      <c r="F51" s="10">
        <f t="shared" si="0"/>
        <v>1897319.03</v>
      </c>
      <c r="G51" s="9">
        <f t="shared" si="1"/>
        <v>1838639.0599999998</v>
      </c>
      <c r="H51" s="72">
        <v>1098.46</v>
      </c>
      <c r="I51" s="72">
        <v>820.64</v>
      </c>
      <c r="J51" s="72">
        <v>277.82</v>
      </c>
      <c r="K51" s="8" t="s">
        <v>666</v>
      </c>
    </row>
    <row r="52" spans="1:11">
      <c r="A52" s="1">
        <v>49</v>
      </c>
      <c r="B52" s="13" t="s">
        <v>356</v>
      </c>
      <c r="C52" s="8" t="s">
        <v>7</v>
      </c>
      <c r="D52" s="12" t="s">
        <v>36</v>
      </c>
      <c r="E52" s="11">
        <v>1494999</v>
      </c>
      <c r="F52" s="10">
        <f t="shared" si="0"/>
        <v>1450149.03</v>
      </c>
      <c r="G52" s="9">
        <f t="shared" si="1"/>
        <v>1405299.0599999998</v>
      </c>
      <c r="H52" s="72">
        <v>925.59</v>
      </c>
      <c r="I52" s="72">
        <v>654.34</v>
      </c>
      <c r="J52" s="72">
        <v>271.25</v>
      </c>
      <c r="K52" s="8" t="s">
        <v>666</v>
      </c>
    </row>
    <row r="53" spans="1:11">
      <c r="A53" s="1">
        <v>50</v>
      </c>
      <c r="B53" s="13" t="s">
        <v>357</v>
      </c>
      <c r="C53" s="8" t="s">
        <v>7</v>
      </c>
      <c r="D53" s="12" t="s">
        <v>36</v>
      </c>
      <c r="E53" s="11">
        <v>1494999</v>
      </c>
      <c r="F53" s="10">
        <f t="shared" si="0"/>
        <v>1450149.03</v>
      </c>
      <c r="G53" s="9">
        <f t="shared" si="1"/>
        <v>1405299.0599999998</v>
      </c>
      <c r="H53" s="72">
        <v>924.51</v>
      </c>
      <c r="I53" s="72">
        <v>654.12</v>
      </c>
      <c r="J53" s="72">
        <v>270.39</v>
      </c>
      <c r="K53" s="8" t="s">
        <v>665</v>
      </c>
    </row>
    <row r="54" spans="1:11">
      <c r="A54" s="1">
        <v>51</v>
      </c>
      <c r="B54" s="13" t="s">
        <v>924</v>
      </c>
      <c r="C54" s="8" t="s">
        <v>7</v>
      </c>
      <c r="D54" s="12" t="s">
        <v>36</v>
      </c>
      <c r="E54" s="11">
        <v>1310999</v>
      </c>
      <c r="F54" s="10">
        <f t="shared" si="0"/>
        <v>1271669.03</v>
      </c>
      <c r="G54" s="9">
        <f t="shared" si="1"/>
        <v>1232339.0599999998</v>
      </c>
      <c r="H54" s="72">
        <v>722.8</v>
      </c>
      <c r="I54" s="72">
        <v>569.29999999999995</v>
      </c>
      <c r="J54" s="72">
        <v>153.49</v>
      </c>
      <c r="K54" s="8" t="s">
        <v>665</v>
      </c>
    </row>
    <row r="55" spans="1:11">
      <c r="A55" s="1">
        <v>52</v>
      </c>
      <c r="B55" s="13" t="s">
        <v>358</v>
      </c>
      <c r="C55" s="8" t="s">
        <v>8</v>
      </c>
      <c r="D55" s="12" t="s">
        <v>36</v>
      </c>
      <c r="E55" s="11">
        <v>1433999</v>
      </c>
      <c r="F55" s="10">
        <f t="shared" si="0"/>
        <v>1390979.03</v>
      </c>
      <c r="G55" s="9">
        <f t="shared" si="1"/>
        <v>1347959.0599999998</v>
      </c>
      <c r="H55" s="72">
        <v>817.63</v>
      </c>
      <c r="I55" s="72">
        <v>644.87</v>
      </c>
      <c r="J55" s="72">
        <v>172.76</v>
      </c>
      <c r="K55" s="8" t="s">
        <v>664</v>
      </c>
    </row>
    <row r="56" spans="1:11">
      <c r="A56" s="1">
        <v>53</v>
      </c>
      <c r="B56" s="13" t="s">
        <v>359</v>
      </c>
      <c r="C56" s="8" t="s">
        <v>8</v>
      </c>
      <c r="D56" s="12" t="s">
        <v>36</v>
      </c>
      <c r="E56" s="11">
        <v>1464999</v>
      </c>
      <c r="F56" s="10">
        <f t="shared" si="0"/>
        <v>1421049.03</v>
      </c>
      <c r="G56" s="9">
        <f t="shared" si="1"/>
        <v>1377099.0599999998</v>
      </c>
      <c r="H56" s="72">
        <v>832.27</v>
      </c>
      <c r="I56" s="72">
        <v>659.5</v>
      </c>
      <c r="J56" s="72">
        <v>172.76</v>
      </c>
      <c r="K56" s="8" t="s">
        <v>665</v>
      </c>
    </row>
    <row r="57" spans="1:11">
      <c r="A57" s="1">
        <v>54</v>
      </c>
      <c r="B57" s="13" t="s">
        <v>360</v>
      </c>
      <c r="C57" s="8" t="s">
        <v>8</v>
      </c>
      <c r="D57" s="12" t="s">
        <v>36</v>
      </c>
      <c r="E57" s="11">
        <v>1325999</v>
      </c>
      <c r="F57" s="10">
        <f t="shared" si="0"/>
        <v>1286219.03</v>
      </c>
      <c r="G57" s="9">
        <f t="shared" si="1"/>
        <v>1246439.0599999998</v>
      </c>
      <c r="H57" s="72">
        <v>886.73</v>
      </c>
      <c r="I57" s="72">
        <v>529.04999999999995</v>
      </c>
      <c r="J57" s="72">
        <v>357.68</v>
      </c>
      <c r="K57" s="8" t="s">
        <v>665</v>
      </c>
    </row>
    <row r="58" spans="1:11">
      <c r="A58" s="1">
        <v>55</v>
      </c>
      <c r="B58" s="13" t="s">
        <v>361</v>
      </c>
      <c r="C58" s="8" t="s">
        <v>8</v>
      </c>
      <c r="D58" s="12" t="s">
        <v>36</v>
      </c>
      <c r="E58" s="11">
        <v>1441999</v>
      </c>
      <c r="F58" s="10">
        <f t="shared" si="0"/>
        <v>1398739.03</v>
      </c>
      <c r="G58" s="9">
        <f t="shared" si="1"/>
        <v>1355479.0599999998</v>
      </c>
      <c r="H58" s="72">
        <v>884.15</v>
      </c>
      <c r="I58" s="72">
        <v>629.69000000000005</v>
      </c>
      <c r="J58" s="72">
        <v>254.46</v>
      </c>
      <c r="K58" s="8" t="s">
        <v>665</v>
      </c>
    </row>
    <row r="59" spans="1:11">
      <c r="A59" s="1">
        <v>56</v>
      </c>
      <c r="B59" s="13" t="s">
        <v>362</v>
      </c>
      <c r="C59" s="8" t="s">
        <v>8</v>
      </c>
      <c r="D59" s="12" t="s">
        <v>24</v>
      </c>
      <c r="E59" s="11">
        <v>1889999</v>
      </c>
      <c r="F59" s="10">
        <f t="shared" si="0"/>
        <v>1833299.03</v>
      </c>
      <c r="G59" s="9">
        <f t="shared" si="1"/>
        <v>1776599.0599999998</v>
      </c>
      <c r="H59" s="72">
        <v>1055.08</v>
      </c>
      <c r="I59" s="72">
        <v>786.09</v>
      </c>
      <c r="J59" s="72">
        <v>268.99</v>
      </c>
      <c r="K59" s="8" t="s">
        <v>664</v>
      </c>
    </row>
    <row r="60" spans="1:11">
      <c r="A60" s="1">
        <v>57</v>
      </c>
      <c r="B60" s="13" t="s">
        <v>363</v>
      </c>
      <c r="C60" s="8" t="s">
        <v>8</v>
      </c>
      <c r="D60" s="12" t="s">
        <v>36</v>
      </c>
      <c r="E60" s="11">
        <v>1349999</v>
      </c>
      <c r="F60" s="10">
        <f t="shared" si="0"/>
        <v>1309499.03</v>
      </c>
      <c r="G60" s="9">
        <f t="shared" si="1"/>
        <v>1268999.0599999998</v>
      </c>
      <c r="H60" s="72">
        <v>742.17</v>
      </c>
      <c r="I60" s="72">
        <v>591.91</v>
      </c>
      <c r="J60" s="72">
        <v>150.26</v>
      </c>
      <c r="K60" s="8" t="s">
        <v>665</v>
      </c>
    </row>
    <row r="61" spans="1:11">
      <c r="A61" s="1">
        <v>58</v>
      </c>
      <c r="B61" s="13" t="s">
        <v>364</v>
      </c>
      <c r="C61" s="8" t="s">
        <v>8</v>
      </c>
      <c r="D61" s="12" t="s">
        <v>36</v>
      </c>
      <c r="E61" s="11">
        <v>1377999</v>
      </c>
      <c r="F61" s="10">
        <f t="shared" si="0"/>
        <v>1336659.03</v>
      </c>
      <c r="G61" s="9">
        <f t="shared" si="1"/>
        <v>1295319.0599999998</v>
      </c>
      <c r="H61" s="72">
        <v>782.11</v>
      </c>
      <c r="I61" s="72">
        <v>599.98</v>
      </c>
      <c r="J61" s="72">
        <v>182.13</v>
      </c>
      <c r="K61" s="8" t="s">
        <v>664</v>
      </c>
    </row>
    <row r="62" spans="1:11">
      <c r="A62" s="1">
        <v>59</v>
      </c>
      <c r="B62" s="13" t="s">
        <v>365</v>
      </c>
      <c r="C62" s="8" t="s">
        <v>8</v>
      </c>
      <c r="D62" s="12" t="s">
        <v>36</v>
      </c>
      <c r="E62" s="11">
        <v>1370999</v>
      </c>
      <c r="F62" s="10">
        <f t="shared" si="0"/>
        <v>1329869.03</v>
      </c>
      <c r="G62" s="9">
        <f t="shared" si="1"/>
        <v>1288739.0599999998</v>
      </c>
      <c r="H62" s="72">
        <v>782.11</v>
      </c>
      <c r="I62" s="72">
        <v>599.98</v>
      </c>
      <c r="J62" s="72">
        <v>182.13</v>
      </c>
      <c r="K62" s="8" t="s">
        <v>666</v>
      </c>
    </row>
    <row r="63" spans="1:11">
      <c r="A63" s="1">
        <v>60</v>
      </c>
      <c r="B63" s="13" t="s">
        <v>366</v>
      </c>
      <c r="C63" s="8" t="s">
        <v>8</v>
      </c>
      <c r="D63" s="12" t="s">
        <v>24</v>
      </c>
      <c r="E63" s="11">
        <v>1954999</v>
      </c>
      <c r="F63" s="10">
        <f t="shared" si="0"/>
        <v>1896349.03</v>
      </c>
      <c r="G63" s="9">
        <f t="shared" si="1"/>
        <v>1837699.0599999998</v>
      </c>
      <c r="H63" s="72">
        <v>1098.46</v>
      </c>
      <c r="I63" s="72">
        <v>820.64</v>
      </c>
      <c r="J63" s="72">
        <v>277.82</v>
      </c>
      <c r="K63" s="8" t="s">
        <v>666</v>
      </c>
    </row>
    <row r="64" spans="1:11">
      <c r="A64" s="1">
        <v>61</v>
      </c>
      <c r="B64" s="13" t="s">
        <v>367</v>
      </c>
      <c r="C64" s="8" t="s">
        <v>8</v>
      </c>
      <c r="D64" s="12" t="s">
        <v>36</v>
      </c>
      <c r="E64" s="11">
        <v>1494999</v>
      </c>
      <c r="F64" s="10">
        <f t="shared" si="0"/>
        <v>1450149.03</v>
      </c>
      <c r="G64" s="9">
        <f t="shared" si="1"/>
        <v>1405299.0599999998</v>
      </c>
      <c r="H64" s="72">
        <v>925.59</v>
      </c>
      <c r="I64" s="72">
        <v>654.34</v>
      </c>
      <c r="J64" s="72">
        <v>271.25</v>
      </c>
      <c r="K64" s="8" t="s">
        <v>666</v>
      </c>
    </row>
    <row r="65" spans="1:11">
      <c r="A65" s="1">
        <v>62</v>
      </c>
      <c r="B65" s="13" t="s">
        <v>368</v>
      </c>
      <c r="C65" s="8" t="s">
        <v>8</v>
      </c>
      <c r="D65" s="12" t="s">
        <v>36</v>
      </c>
      <c r="E65" s="11">
        <v>1494999</v>
      </c>
      <c r="F65" s="10">
        <f t="shared" si="0"/>
        <v>1450149.03</v>
      </c>
      <c r="G65" s="9">
        <f t="shared" si="1"/>
        <v>1405299.0599999998</v>
      </c>
      <c r="H65" s="72">
        <v>924.51</v>
      </c>
      <c r="I65" s="72">
        <v>654.12</v>
      </c>
      <c r="J65" s="72">
        <v>270.39</v>
      </c>
      <c r="K65" s="8" t="s">
        <v>665</v>
      </c>
    </row>
    <row r="66" spans="1:11">
      <c r="A66" s="1">
        <v>63</v>
      </c>
      <c r="B66" s="13" t="s">
        <v>369</v>
      </c>
      <c r="C66" s="8" t="s">
        <v>8</v>
      </c>
      <c r="D66" s="12" t="s">
        <v>36</v>
      </c>
      <c r="E66" s="11">
        <v>1254999</v>
      </c>
      <c r="F66" s="10">
        <f t="shared" ref="F66:F116" si="2">E66*0.97</f>
        <v>1217349.03</v>
      </c>
      <c r="G66" s="9">
        <f t="shared" ref="G66:G116" si="3">E66*0.94</f>
        <v>1179699.0599999998</v>
      </c>
      <c r="H66" s="72">
        <v>710.63</v>
      </c>
      <c r="I66" s="72">
        <v>543.58000000000004</v>
      </c>
      <c r="J66" s="72">
        <v>167.06</v>
      </c>
      <c r="K66" s="8" t="s">
        <v>666</v>
      </c>
    </row>
    <row r="67" spans="1:11">
      <c r="A67" s="1">
        <v>64</v>
      </c>
      <c r="B67" s="13" t="s">
        <v>370</v>
      </c>
      <c r="C67" s="8" t="s">
        <v>4476</v>
      </c>
      <c r="D67" s="12" t="s">
        <v>24</v>
      </c>
      <c r="E67" s="11">
        <v>2150999</v>
      </c>
      <c r="F67" s="10">
        <f t="shared" si="2"/>
        <v>2086469.03</v>
      </c>
      <c r="G67" s="9">
        <f t="shared" si="3"/>
        <v>2021939.0599999998</v>
      </c>
      <c r="H67" s="72">
        <v>1264.6500000000001</v>
      </c>
      <c r="I67" s="72">
        <v>1012.35</v>
      </c>
      <c r="J67" s="72">
        <v>252.31</v>
      </c>
      <c r="K67" s="8" t="s">
        <v>664</v>
      </c>
    </row>
    <row r="68" spans="1:11">
      <c r="A68" s="1">
        <v>65</v>
      </c>
      <c r="B68" s="13" t="s">
        <v>4323</v>
      </c>
      <c r="C68" s="8" t="s">
        <v>4476</v>
      </c>
      <c r="D68" s="12" t="s">
        <v>24</v>
      </c>
      <c r="E68" s="11">
        <v>1948999</v>
      </c>
      <c r="F68" s="10">
        <f t="shared" si="2"/>
        <v>1890529.03</v>
      </c>
      <c r="G68" s="9">
        <f t="shared" si="3"/>
        <v>1832059.0599999998</v>
      </c>
      <c r="H68" s="72">
        <v>1116.1099999999999</v>
      </c>
      <c r="I68" s="72">
        <v>791.58</v>
      </c>
      <c r="J68" s="72">
        <v>324.52999999999997</v>
      </c>
      <c r="K68" s="8" t="s">
        <v>664</v>
      </c>
    </row>
    <row r="69" spans="1:11">
      <c r="A69" s="1">
        <v>66</v>
      </c>
      <c r="B69" s="13" t="s">
        <v>371</v>
      </c>
      <c r="C69" s="8" t="s">
        <v>4475</v>
      </c>
      <c r="D69" s="12" t="s">
        <v>24</v>
      </c>
      <c r="E69" s="11">
        <v>2149999</v>
      </c>
      <c r="F69" s="10">
        <f t="shared" si="2"/>
        <v>2085499.03</v>
      </c>
      <c r="G69" s="9">
        <f t="shared" si="3"/>
        <v>2020999.0599999998</v>
      </c>
      <c r="H69" s="72">
        <v>1264.6500000000001</v>
      </c>
      <c r="I69" s="72">
        <v>1012.35</v>
      </c>
      <c r="J69" s="72">
        <v>252.31</v>
      </c>
      <c r="K69" s="8" t="s">
        <v>664</v>
      </c>
    </row>
    <row r="70" spans="1:11">
      <c r="A70" s="1">
        <v>67</v>
      </c>
      <c r="B70" s="13" t="s">
        <v>372</v>
      </c>
      <c r="C70" s="8" t="s">
        <v>4475</v>
      </c>
      <c r="D70" s="12" t="s">
        <v>36</v>
      </c>
      <c r="E70" s="11">
        <v>1338999</v>
      </c>
      <c r="F70" s="10">
        <f t="shared" si="2"/>
        <v>1298829.03</v>
      </c>
      <c r="G70" s="9">
        <f t="shared" si="3"/>
        <v>1258659.0599999998</v>
      </c>
      <c r="H70" s="72">
        <v>886.73</v>
      </c>
      <c r="I70" s="72">
        <v>529.04999999999995</v>
      </c>
      <c r="J70" s="72">
        <v>357.68</v>
      </c>
      <c r="K70" s="8" t="s">
        <v>665</v>
      </c>
    </row>
    <row r="71" spans="1:11">
      <c r="A71" s="1">
        <v>68</v>
      </c>
      <c r="B71" s="13" t="s">
        <v>373</v>
      </c>
      <c r="C71" s="8" t="s">
        <v>4475</v>
      </c>
      <c r="D71" s="12" t="s">
        <v>24</v>
      </c>
      <c r="E71" s="11">
        <v>1947999</v>
      </c>
      <c r="F71" s="10">
        <f t="shared" si="2"/>
        <v>1889559.03</v>
      </c>
      <c r="G71" s="9">
        <f t="shared" si="3"/>
        <v>1831119.0599999998</v>
      </c>
      <c r="H71" s="72">
        <v>1116.1099999999999</v>
      </c>
      <c r="I71" s="72">
        <v>791.58</v>
      </c>
      <c r="J71" s="72">
        <v>324.52999999999997</v>
      </c>
      <c r="K71" s="8" t="s">
        <v>664</v>
      </c>
    </row>
    <row r="72" spans="1:11">
      <c r="A72" s="1">
        <v>69</v>
      </c>
      <c r="B72" s="13" t="s">
        <v>374</v>
      </c>
      <c r="C72" s="8" t="s">
        <v>9</v>
      </c>
      <c r="D72" s="12" t="s">
        <v>36</v>
      </c>
      <c r="E72" s="11">
        <v>1432999</v>
      </c>
      <c r="F72" s="10">
        <f t="shared" si="2"/>
        <v>1390009.03</v>
      </c>
      <c r="G72" s="9">
        <f t="shared" si="3"/>
        <v>1347019.0599999998</v>
      </c>
      <c r="H72" s="72">
        <v>817.63</v>
      </c>
      <c r="I72" s="72">
        <v>644.87</v>
      </c>
      <c r="J72" s="72">
        <v>172.76</v>
      </c>
      <c r="K72" s="8" t="s">
        <v>664</v>
      </c>
    </row>
    <row r="73" spans="1:11">
      <c r="A73" s="1">
        <v>70</v>
      </c>
      <c r="B73" s="13" t="s">
        <v>375</v>
      </c>
      <c r="C73" s="8" t="s">
        <v>9</v>
      </c>
      <c r="D73" s="12" t="s">
        <v>36</v>
      </c>
      <c r="E73" s="11">
        <v>1463999</v>
      </c>
      <c r="F73" s="10">
        <f t="shared" si="2"/>
        <v>1420079.03</v>
      </c>
      <c r="G73" s="9">
        <f t="shared" si="3"/>
        <v>1376159.0599999998</v>
      </c>
      <c r="H73" s="72">
        <v>832.27</v>
      </c>
      <c r="I73" s="72">
        <v>659.5</v>
      </c>
      <c r="J73" s="72">
        <v>172.76</v>
      </c>
      <c r="K73" s="8" t="s">
        <v>665</v>
      </c>
    </row>
    <row r="74" spans="1:11">
      <c r="A74" s="1">
        <v>71</v>
      </c>
      <c r="B74" s="13" t="s">
        <v>376</v>
      </c>
      <c r="C74" s="8" t="s">
        <v>9</v>
      </c>
      <c r="D74" s="12" t="s">
        <v>36</v>
      </c>
      <c r="E74" s="11">
        <v>1324999</v>
      </c>
      <c r="F74" s="10">
        <f t="shared" si="2"/>
        <v>1285249.03</v>
      </c>
      <c r="G74" s="9">
        <f t="shared" si="3"/>
        <v>1245499.0599999998</v>
      </c>
      <c r="H74" s="72">
        <v>886.73</v>
      </c>
      <c r="I74" s="72">
        <v>529.04999999999995</v>
      </c>
      <c r="J74" s="72">
        <v>357.68</v>
      </c>
      <c r="K74" s="8" t="s">
        <v>665</v>
      </c>
    </row>
    <row r="75" spans="1:11">
      <c r="A75" s="1">
        <v>72</v>
      </c>
      <c r="B75" s="13" t="s">
        <v>377</v>
      </c>
      <c r="C75" s="8" t="s">
        <v>4474</v>
      </c>
      <c r="D75" s="12" t="s">
        <v>24</v>
      </c>
      <c r="E75" s="11">
        <v>2148999</v>
      </c>
      <c r="F75" s="10">
        <f t="shared" si="2"/>
        <v>2084529.03</v>
      </c>
      <c r="G75" s="9">
        <f t="shared" si="3"/>
        <v>2020059.0599999998</v>
      </c>
      <c r="H75" s="72">
        <v>1264.6500000000001</v>
      </c>
      <c r="I75" s="72">
        <v>1012.35</v>
      </c>
      <c r="J75" s="72">
        <v>252.31</v>
      </c>
      <c r="K75" s="8" t="s">
        <v>664</v>
      </c>
    </row>
    <row r="76" spans="1:11">
      <c r="A76" s="1">
        <v>73</v>
      </c>
      <c r="B76" s="13" t="s">
        <v>378</v>
      </c>
      <c r="C76" s="8" t="s">
        <v>9</v>
      </c>
      <c r="D76" s="12" t="s">
        <v>36</v>
      </c>
      <c r="E76" s="11">
        <v>1199999</v>
      </c>
      <c r="F76" s="10">
        <f t="shared" si="2"/>
        <v>1163999.03</v>
      </c>
      <c r="G76" s="9">
        <f t="shared" si="3"/>
        <v>1127999.0599999998</v>
      </c>
      <c r="H76" s="72">
        <v>524.85</v>
      </c>
      <c r="I76" s="72">
        <v>524.85</v>
      </c>
      <c r="J76" s="72">
        <v>0</v>
      </c>
      <c r="K76" s="8" t="s">
        <v>664</v>
      </c>
    </row>
    <row r="77" spans="1:11">
      <c r="A77" s="1">
        <v>74</v>
      </c>
      <c r="B77" s="13" t="s">
        <v>379</v>
      </c>
      <c r="C77" s="8" t="s">
        <v>4474</v>
      </c>
      <c r="D77" s="12" t="s">
        <v>36</v>
      </c>
      <c r="E77" s="11">
        <v>1337999</v>
      </c>
      <c r="F77" s="10">
        <f t="shared" si="2"/>
        <v>1297859.03</v>
      </c>
      <c r="G77" s="9">
        <f t="shared" si="3"/>
        <v>1257719.0599999998</v>
      </c>
      <c r="H77" s="72">
        <v>886.73</v>
      </c>
      <c r="I77" s="72">
        <v>529.04999999999995</v>
      </c>
      <c r="J77" s="72">
        <v>357.68</v>
      </c>
      <c r="K77" s="8" t="s">
        <v>665</v>
      </c>
    </row>
    <row r="78" spans="1:11">
      <c r="A78" s="1">
        <v>75</v>
      </c>
      <c r="B78" s="13" t="s">
        <v>380</v>
      </c>
      <c r="C78" s="8" t="s">
        <v>4474</v>
      </c>
      <c r="D78" s="12" t="s">
        <v>36</v>
      </c>
      <c r="E78" s="11">
        <v>1183497.05</v>
      </c>
      <c r="F78" s="10">
        <f t="shared" si="2"/>
        <v>1147992.1385000001</v>
      </c>
      <c r="G78" s="9">
        <f t="shared" si="3"/>
        <v>1112487.227</v>
      </c>
      <c r="H78" s="72">
        <v>715.48</v>
      </c>
      <c r="I78" s="72">
        <v>538.41</v>
      </c>
      <c r="J78" s="72">
        <v>177.07</v>
      </c>
      <c r="K78" s="8" t="s">
        <v>664</v>
      </c>
    </row>
    <row r="79" spans="1:11">
      <c r="A79" s="1">
        <v>76</v>
      </c>
      <c r="B79" s="13" t="s">
        <v>381</v>
      </c>
      <c r="C79" s="8" t="s">
        <v>4474</v>
      </c>
      <c r="D79" s="12" t="s">
        <v>36</v>
      </c>
      <c r="E79" s="11">
        <v>1250999</v>
      </c>
      <c r="F79" s="10">
        <f t="shared" si="2"/>
        <v>1213469.03</v>
      </c>
      <c r="G79" s="9">
        <f t="shared" si="3"/>
        <v>1175939.0599999998</v>
      </c>
      <c r="H79" s="72">
        <v>713.22</v>
      </c>
      <c r="I79" s="72">
        <v>525.71</v>
      </c>
      <c r="J79" s="72">
        <v>187.51</v>
      </c>
      <c r="K79" s="8" t="s">
        <v>664</v>
      </c>
    </row>
    <row r="80" spans="1:11">
      <c r="A80" s="1">
        <v>77</v>
      </c>
      <c r="B80" s="13" t="s">
        <v>382</v>
      </c>
      <c r="C80" s="8" t="s">
        <v>4474</v>
      </c>
      <c r="D80" s="12" t="s">
        <v>36</v>
      </c>
      <c r="E80" s="11">
        <v>1462999</v>
      </c>
      <c r="F80" s="10">
        <f t="shared" si="2"/>
        <v>1419109.03</v>
      </c>
      <c r="G80" s="9">
        <f t="shared" si="3"/>
        <v>1375219.0599999998</v>
      </c>
      <c r="H80" s="72">
        <v>884.15</v>
      </c>
      <c r="I80" s="72">
        <v>629.69000000000005</v>
      </c>
      <c r="J80" s="72">
        <v>254.46</v>
      </c>
      <c r="K80" s="8" t="s">
        <v>665</v>
      </c>
    </row>
    <row r="81" spans="1:11">
      <c r="A81" s="1">
        <v>78</v>
      </c>
      <c r="B81" s="13" t="s">
        <v>383</v>
      </c>
      <c r="C81" s="8" t="s">
        <v>4474</v>
      </c>
      <c r="D81" s="12" t="s">
        <v>24</v>
      </c>
      <c r="E81" s="11">
        <v>1946999</v>
      </c>
      <c r="F81" s="10">
        <f t="shared" si="2"/>
        <v>1888589.03</v>
      </c>
      <c r="G81" s="9">
        <f t="shared" si="3"/>
        <v>1830179.0599999998</v>
      </c>
      <c r="H81" s="72">
        <v>1116.1099999999999</v>
      </c>
      <c r="I81" s="72">
        <v>791.58</v>
      </c>
      <c r="J81" s="72">
        <v>324.52999999999997</v>
      </c>
      <c r="K81" s="8" t="s">
        <v>664</v>
      </c>
    </row>
    <row r="82" spans="1:11">
      <c r="A82" s="1">
        <v>79</v>
      </c>
      <c r="B82" s="13" t="s">
        <v>384</v>
      </c>
      <c r="C82" s="8" t="s">
        <v>9</v>
      </c>
      <c r="D82" s="12" t="s">
        <v>36</v>
      </c>
      <c r="E82" s="11">
        <v>1208999</v>
      </c>
      <c r="F82" s="10">
        <f t="shared" si="2"/>
        <v>1172729.03</v>
      </c>
      <c r="G82" s="9">
        <f t="shared" si="3"/>
        <v>1136459.0599999998</v>
      </c>
      <c r="H82" s="72">
        <v>665.96</v>
      </c>
      <c r="I82" s="72">
        <v>525.71</v>
      </c>
      <c r="J82" s="72">
        <v>140.25</v>
      </c>
      <c r="K82" s="8" t="s">
        <v>664</v>
      </c>
    </row>
    <row r="83" spans="1:11">
      <c r="A83" s="1">
        <v>80</v>
      </c>
      <c r="B83" s="13" t="s">
        <v>385</v>
      </c>
      <c r="C83" s="8" t="s">
        <v>9</v>
      </c>
      <c r="D83" s="12" t="s">
        <v>36</v>
      </c>
      <c r="E83" s="11">
        <v>1441999</v>
      </c>
      <c r="F83" s="10">
        <f t="shared" si="2"/>
        <v>1398739.03</v>
      </c>
      <c r="G83" s="9">
        <f t="shared" si="3"/>
        <v>1355479.0599999998</v>
      </c>
      <c r="H83" s="72">
        <v>884.15</v>
      </c>
      <c r="I83" s="72">
        <v>629.69000000000005</v>
      </c>
      <c r="J83" s="72">
        <v>254.46</v>
      </c>
      <c r="K83" s="8" t="s">
        <v>665</v>
      </c>
    </row>
    <row r="84" spans="1:11">
      <c r="A84" s="1">
        <v>81</v>
      </c>
      <c r="B84" s="13" t="s">
        <v>386</v>
      </c>
      <c r="C84" s="8" t="s">
        <v>9</v>
      </c>
      <c r="D84" s="12" t="s">
        <v>24</v>
      </c>
      <c r="E84" s="11">
        <v>1889999</v>
      </c>
      <c r="F84" s="10">
        <f t="shared" si="2"/>
        <v>1833299.03</v>
      </c>
      <c r="G84" s="9">
        <f t="shared" si="3"/>
        <v>1776599.0599999998</v>
      </c>
      <c r="H84" s="72">
        <v>1055.08</v>
      </c>
      <c r="I84" s="72">
        <v>786.09</v>
      </c>
      <c r="J84" s="72">
        <v>268.99</v>
      </c>
      <c r="K84" s="8" t="s">
        <v>664</v>
      </c>
    </row>
    <row r="85" spans="1:11">
      <c r="A85" s="1">
        <v>82</v>
      </c>
      <c r="B85" s="13" t="s">
        <v>387</v>
      </c>
      <c r="C85" s="8" t="s">
        <v>9</v>
      </c>
      <c r="D85" s="12" t="s">
        <v>36</v>
      </c>
      <c r="E85" s="11">
        <v>1349999</v>
      </c>
      <c r="F85" s="10">
        <f t="shared" si="2"/>
        <v>1309499.03</v>
      </c>
      <c r="G85" s="9">
        <f t="shared" si="3"/>
        <v>1268999.0599999998</v>
      </c>
      <c r="H85" s="72">
        <v>742.17</v>
      </c>
      <c r="I85" s="72">
        <v>591.91</v>
      </c>
      <c r="J85" s="72">
        <v>150.26</v>
      </c>
      <c r="K85" s="8" t="s">
        <v>665</v>
      </c>
    </row>
    <row r="86" spans="1:11">
      <c r="A86" s="1">
        <v>83</v>
      </c>
      <c r="B86" s="13" t="s">
        <v>388</v>
      </c>
      <c r="C86" s="8" t="s">
        <v>9</v>
      </c>
      <c r="D86" s="12" t="s">
        <v>36</v>
      </c>
      <c r="E86" s="11">
        <v>1376999</v>
      </c>
      <c r="F86" s="10">
        <f t="shared" si="2"/>
        <v>1335689.03</v>
      </c>
      <c r="G86" s="9">
        <f t="shared" si="3"/>
        <v>1294379.0599999998</v>
      </c>
      <c r="H86" s="72">
        <v>782.11</v>
      </c>
      <c r="I86" s="72">
        <v>599.98</v>
      </c>
      <c r="J86" s="72">
        <v>182.13</v>
      </c>
      <c r="K86" s="8" t="s">
        <v>664</v>
      </c>
    </row>
    <row r="87" spans="1:11">
      <c r="A87" s="1">
        <v>84</v>
      </c>
      <c r="B87" s="13" t="s">
        <v>389</v>
      </c>
      <c r="C87" s="8" t="s">
        <v>4473</v>
      </c>
      <c r="D87" s="12" t="s">
        <v>24</v>
      </c>
      <c r="E87" s="11">
        <v>2147999</v>
      </c>
      <c r="F87" s="10">
        <f t="shared" si="2"/>
        <v>2083559.03</v>
      </c>
      <c r="G87" s="9">
        <f t="shared" si="3"/>
        <v>2019119.0599999998</v>
      </c>
      <c r="H87" s="72">
        <v>1264.6500000000001</v>
      </c>
      <c r="I87" s="72">
        <v>1012.35</v>
      </c>
      <c r="J87" s="72">
        <v>252.31</v>
      </c>
      <c r="K87" s="8" t="s">
        <v>664</v>
      </c>
    </row>
    <row r="88" spans="1:11">
      <c r="A88" s="1">
        <v>85</v>
      </c>
      <c r="B88" s="13" t="s">
        <v>390</v>
      </c>
      <c r="C88" s="8" t="s">
        <v>4473</v>
      </c>
      <c r="D88" s="12" t="s">
        <v>36</v>
      </c>
      <c r="E88" s="11">
        <v>1461999</v>
      </c>
      <c r="F88" s="10">
        <f t="shared" si="2"/>
        <v>1418139.03</v>
      </c>
      <c r="G88" s="9">
        <f t="shared" si="3"/>
        <v>1374279.0599999998</v>
      </c>
      <c r="H88" s="72">
        <v>884.15</v>
      </c>
      <c r="I88" s="72">
        <v>629.69000000000005</v>
      </c>
      <c r="J88" s="72">
        <v>254.46</v>
      </c>
      <c r="K88" s="8" t="s">
        <v>665</v>
      </c>
    </row>
    <row r="89" spans="1:11">
      <c r="A89" s="1">
        <v>86</v>
      </c>
      <c r="B89" s="13" t="s">
        <v>391</v>
      </c>
      <c r="C89" s="8" t="s">
        <v>4473</v>
      </c>
      <c r="D89" s="12" t="s">
        <v>24</v>
      </c>
      <c r="E89" s="11">
        <v>1945999</v>
      </c>
      <c r="F89" s="10">
        <f t="shared" si="2"/>
        <v>1887619.03</v>
      </c>
      <c r="G89" s="9">
        <f t="shared" si="3"/>
        <v>1829239.0599999998</v>
      </c>
      <c r="H89" s="72">
        <v>1116.1099999999999</v>
      </c>
      <c r="I89" s="72">
        <v>791.58</v>
      </c>
      <c r="J89" s="72">
        <v>324.52999999999997</v>
      </c>
      <c r="K89" s="8" t="s">
        <v>664</v>
      </c>
    </row>
    <row r="90" spans="1:11">
      <c r="A90" s="1">
        <v>87</v>
      </c>
      <c r="B90" s="13" t="s">
        <v>392</v>
      </c>
      <c r="C90" s="8" t="s">
        <v>9</v>
      </c>
      <c r="D90" s="12" t="s">
        <v>36</v>
      </c>
      <c r="E90" s="11">
        <v>1370999</v>
      </c>
      <c r="F90" s="10">
        <f t="shared" si="2"/>
        <v>1329869.03</v>
      </c>
      <c r="G90" s="9">
        <f t="shared" si="3"/>
        <v>1288739.0599999998</v>
      </c>
      <c r="H90" s="72">
        <v>782.11</v>
      </c>
      <c r="I90" s="72">
        <v>599.98</v>
      </c>
      <c r="J90" s="72">
        <v>182.13</v>
      </c>
      <c r="K90" s="8" t="s">
        <v>666</v>
      </c>
    </row>
    <row r="91" spans="1:11">
      <c r="A91" s="1">
        <v>88</v>
      </c>
      <c r="B91" s="13" t="s">
        <v>393</v>
      </c>
      <c r="C91" s="8" t="s">
        <v>9</v>
      </c>
      <c r="D91" s="12" t="s">
        <v>36</v>
      </c>
      <c r="E91" s="11">
        <v>1401999</v>
      </c>
      <c r="F91" s="10">
        <f t="shared" si="2"/>
        <v>1359939.03</v>
      </c>
      <c r="G91" s="9">
        <f t="shared" si="3"/>
        <v>1317879.0599999998</v>
      </c>
      <c r="H91" s="72">
        <v>785.87</v>
      </c>
      <c r="I91" s="72">
        <v>626.78</v>
      </c>
      <c r="J91" s="72">
        <v>159.09</v>
      </c>
      <c r="K91" s="8" t="s">
        <v>665</v>
      </c>
    </row>
    <row r="92" spans="1:11">
      <c r="A92" s="1">
        <v>89</v>
      </c>
      <c r="B92" s="13" t="s">
        <v>394</v>
      </c>
      <c r="C92" s="8" t="s">
        <v>9</v>
      </c>
      <c r="D92" s="12" t="s">
        <v>24</v>
      </c>
      <c r="E92" s="11">
        <v>1953999</v>
      </c>
      <c r="F92" s="10">
        <f t="shared" si="2"/>
        <v>1895379.03</v>
      </c>
      <c r="G92" s="9">
        <f t="shared" si="3"/>
        <v>1836759.0599999998</v>
      </c>
      <c r="H92" s="72">
        <v>1098.46</v>
      </c>
      <c r="I92" s="72">
        <v>820.64</v>
      </c>
      <c r="J92" s="72">
        <v>277.82</v>
      </c>
      <c r="K92" s="8" t="s">
        <v>666</v>
      </c>
    </row>
    <row r="93" spans="1:11">
      <c r="A93" s="1">
        <v>90</v>
      </c>
      <c r="B93" s="13" t="s">
        <v>395</v>
      </c>
      <c r="C93" s="8" t="s">
        <v>9</v>
      </c>
      <c r="D93" s="12" t="s">
        <v>36</v>
      </c>
      <c r="E93" s="11">
        <v>1494999</v>
      </c>
      <c r="F93" s="10">
        <f t="shared" si="2"/>
        <v>1450149.03</v>
      </c>
      <c r="G93" s="9">
        <f t="shared" si="3"/>
        <v>1405299.0599999998</v>
      </c>
      <c r="H93" s="72">
        <v>925.59</v>
      </c>
      <c r="I93" s="72">
        <v>654.34</v>
      </c>
      <c r="J93" s="72">
        <v>271.25</v>
      </c>
      <c r="K93" s="8" t="s">
        <v>666</v>
      </c>
    </row>
    <row r="94" spans="1:11">
      <c r="A94" s="1">
        <v>91</v>
      </c>
      <c r="B94" s="13" t="s">
        <v>396</v>
      </c>
      <c r="C94" s="8" t="s">
        <v>9</v>
      </c>
      <c r="D94" s="12" t="s">
        <v>36</v>
      </c>
      <c r="E94" s="11">
        <v>1494999</v>
      </c>
      <c r="F94" s="10">
        <f t="shared" si="2"/>
        <v>1450149.03</v>
      </c>
      <c r="G94" s="9">
        <f t="shared" si="3"/>
        <v>1405299.0599999998</v>
      </c>
      <c r="H94" s="72">
        <v>924.51</v>
      </c>
      <c r="I94" s="72">
        <v>654.12</v>
      </c>
      <c r="J94" s="72">
        <v>270.39</v>
      </c>
      <c r="K94" s="8" t="s">
        <v>665</v>
      </c>
    </row>
    <row r="95" spans="1:11">
      <c r="A95" s="1">
        <v>92</v>
      </c>
      <c r="B95" s="13" t="s">
        <v>397</v>
      </c>
      <c r="C95" s="8" t="s">
        <v>9</v>
      </c>
      <c r="D95" s="12" t="s">
        <v>36</v>
      </c>
      <c r="E95" s="11">
        <v>1309999</v>
      </c>
      <c r="F95" s="10">
        <f t="shared" si="2"/>
        <v>1270699.03</v>
      </c>
      <c r="G95" s="9">
        <f t="shared" si="3"/>
        <v>1231399.0599999998</v>
      </c>
      <c r="H95" s="72">
        <v>722.8</v>
      </c>
      <c r="I95" s="72">
        <v>569.29999999999995</v>
      </c>
      <c r="J95" s="72">
        <v>153.49</v>
      </c>
      <c r="K95" s="8" t="s">
        <v>665</v>
      </c>
    </row>
    <row r="96" spans="1:11">
      <c r="A96" s="1">
        <v>93</v>
      </c>
      <c r="B96" s="13" t="s">
        <v>398</v>
      </c>
      <c r="C96" s="8" t="s">
        <v>9</v>
      </c>
      <c r="D96" s="12" t="s">
        <v>36</v>
      </c>
      <c r="E96" s="11">
        <v>1253999</v>
      </c>
      <c r="F96" s="10">
        <f t="shared" si="2"/>
        <v>1216379.03</v>
      </c>
      <c r="G96" s="9">
        <f t="shared" si="3"/>
        <v>1178759.0599999998</v>
      </c>
      <c r="H96" s="72">
        <v>710.63</v>
      </c>
      <c r="I96" s="72">
        <v>543.58000000000004</v>
      </c>
      <c r="J96" s="72">
        <v>167.06</v>
      </c>
      <c r="K96" s="8" t="s">
        <v>666</v>
      </c>
    </row>
    <row r="97" spans="1:11">
      <c r="A97" s="1">
        <v>94</v>
      </c>
      <c r="B97" s="13" t="s">
        <v>925</v>
      </c>
      <c r="C97" s="8" t="s">
        <v>4471</v>
      </c>
      <c r="D97" s="12" t="s">
        <v>24</v>
      </c>
      <c r="E97" s="11">
        <v>1906999</v>
      </c>
      <c r="F97" s="10">
        <f t="shared" si="2"/>
        <v>1849789.03</v>
      </c>
      <c r="G97" s="9">
        <f t="shared" si="3"/>
        <v>1792579.0599999998</v>
      </c>
      <c r="H97" s="72">
        <v>1055.08</v>
      </c>
      <c r="I97" s="72">
        <v>786.09</v>
      </c>
      <c r="J97" s="72">
        <v>268.99</v>
      </c>
      <c r="K97" s="8" t="s">
        <v>664</v>
      </c>
    </row>
    <row r="98" spans="1:11">
      <c r="A98" s="1">
        <v>95</v>
      </c>
      <c r="B98" s="13" t="s">
        <v>926</v>
      </c>
      <c r="C98" s="8" t="s">
        <v>4471</v>
      </c>
      <c r="D98" s="12" t="s">
        <v>24</v>
      </c>
      <c r="E98" s="11">
        <v>1973999</v>
      </c>
      <c r="F98" s="10">
        <f t="shared" si="2"/>
        <v>1914779.03</v>
      </c>
      <c r="G98" s="9">
        <f t="shared" si="3"/>
        <v>1855559.0599999998</v>
      </c>
      <c r="H98" s="72">
        <v>1089.6300000000001</v>
      </c>
      <c r="I98" s="72">
        <v>820.64</v>
      </c>
      <c r="J98" s="72">
        <v>268.99</v>
      </c>
      <c r="K98" s="8" t="s">
        <v>666</v>
      </c>
    </row>
    <row r="99" spans="1:11">
      <c r="A99" s="1">
        <v>96</v>
      </c>
      <c r="B99" s="13" t="s">
        <v>927</v>
      </c>
      <c r="C99" s="8" t="s">
        <v>4471</v>
      </c>
      <c r="D99" s="12" t="s">
        <v>36</v>
      </c>
      <c r="E99" s="11">
        <v>1511999</v>
      </c>
      <c r="F99" s="10">
        <f t="shared" si="2"/>
        <v>1466639.03</v>
      </c>
      <c r="G99" s="9">
        <f t="shared" si="3"/>
        <v>1421279.0599999998</v>
      </c>
      <c r="H99" s="72">
        <v>933.55</v>
      </c>
      <c r="I99" s="72">
        <v>654.34</v>
      </c>
      <c r="J99" s="72">
        <v>279.22000000000003</v>
      </c>
      <c r="K99" s="8" t="s">
        <v>665</v>
      </c>
    </row>
    <row r="100" spans="1:11">
      <c r="A100" s="1">
        <v>97</v>
      </c>
      <c r="B100" s="13" t="s">
        <v>928</v>
      </c>
      <c r="C100" s="8" t="s">
        <v>4470</v>
      </c>
      <c r="D100" s="12" t="s">
        <v>36</v>
      </c>
      <c r="E100" s="11">
        <v>1482999</v>
      </c>
      <c r="F100" s="10">
        <f t="shared" si="2"/>
        <v>1438509.03</v>
      </c>
      <c r="G100" s="9">
        <f t="shared" si="3"/>
        <v>1394019.0599999998</v>
      </c>
      <c r="H100" s="72">
        <v>832.27</v>
      </c>
      <c r="I100" s="72">
        <v>659.5</v>
      </c>
      <c r="J100" s="72">
        <v>172.76</v>
      </c>
      <c r="K100" s="8" t="s">
        <v>665</v>
      </c>
    </row>
    <row r="101" spans="1:11">
      <c r="A101" s="1">
        <v>98</v>
      </c>
      <c r="B101" s="13" t="s">
        <v>929</v>
      </c>
      <c r="C101" s="8" t="s">
        <v>4470</v>
      </c>
      <c r="D101" s="12" t="s">
        <v>36</v>
      </c>
      <c r="E101" s="11">
        <v>1335999</v>
      </c>
      <c r="F101" s="10">
        <f t="shared" si="2"/>
        <v>1295919.03</v>
      </c>
      <c r="G101" s="9">
        <f t="shared" si="3"/>
        <v>1255839.0599999998</v>
      </c>
      <c r="H101" s="72">
        <v>886.73</v>
      </c>
      <c r="I101" s="72">
        <v>529.04999999999995</v>
      </c>
      <c r="J101" s="72">
        <v>357.68</v>
      </c>
      <c r="K101" s="8" t="s">
        <v>665</v>
      </c>
    </row>
    <row r="102" spans="1:11">
      <c r="A102" s="1">
        <v>99</v>
      </c>
      <c r="B102" s="13" t="s">
        <v>930</v>
      </c>
      <c r="C102" s="8" t="s">
        <v>4470</v>
      </c>
      <c r="D102" s="12" t="s">
        <v>36</v>
      </c>
      <c r="E102" s="11">
        <v>1199999</v>
      </c>
      <c r="F102" s="10">
        <f t="shared" si="2"/>
        <v>1163999.03</v>
      </c>
      <c r="G102" s="9">
        <f t="shared" si="3"/>
        <v>1127999.0599999998</v>
      </c>
      <c r="H102" s="72">
        <v>524.85</v>
      </c>
      <c r="I102" s="72">
        <v>524.85</v>
      </c>
      <c r="J102" s="72">
        <v>0</v>
      </c>
      <c r="K102" s="8" t="s">
        <v>664</v>
      </c>
    </row>
    <row r="103" spans="1:11">
      <c r="A103" s="1">
        <v>100</v>
      </c>
      <c r="B103" s="13" t="s">
        <v>931</v>
      </c>
      <c r="C103" s="8" t="s">
        <v>4470</v>
      </c>
      <c r="D103" s="12" t="s">
        <v>36</v>
      </c>
      <c r="E103" s="11">
        <v>1223999</v>
      </c>
      <c r="F103" s="10">
        <f t="shared" si="2"/>
        <v>1187279.03</v>
      </c>
      <c r="G103" s="9">
        <f t="shared" si="3"/>
        <v>1150559.0599999998</v>
      </c>
      <c r="H103" s="72">
        <v>665.96</v>
      </c>
      <c r="I103" s="72">
        <v>525.71</v>
      </c>
      <c r="J103" s="72">
        <v>140.25</v>
      </c>
      <c r="K103" s="8" t="s">
        <v>664</v>
      </c>
    </row>
    <row r="104" spans="1:11">
      <c r="A104" s="1">
        <v>101</v>
      </c>
      <c r="B104" s="13" t="s">
        <v>932</v>
      </c>
      <c r="C104" s="8" t="s">
        <v>4470</v>
      </c>
      <c r="D104" s="12" t="s">
        <v>24</v>
      </c>
      <c r="E104" s="11">
        <v>1905999</v>
      </c>
      <c r="F104" s="10">
        <f t="shared" si="2"/>
        <v>1848819.03</v>
      </c>
      <c r="G104" s="9">
        <f t="shared" si="3"/>
        <v>1791639.0599999998</v>
      </c>
      <c r="H104" s="72">
        <v>1055.08</v>
      </c>
      <c r="I104" s="72">
        <v>786.09</v>
      </c>
      <c r="J104" s="72">
        <v>268.99</v>
      </c>
      <c r="K104" s="8" t="s">
        <v>664</v>
      </c>
    </row>
    <row r="105" spans="1:11">
      <c r="A105" s="1">
        <v>102</v>
      </c>
      <c r="B105" s="13" t="s">
        <v>933</v>
      </c>
      <c r="C105" s="8" t="s">
        <v>4470</v>
      </c>
      <c r="D105" s="12" t="s">
        <v>36</v>
      </c>
      <c r="E105" s="11">
        <v>1359999</v>
      </c>
      <c r="F105" s="10">
        <f t="shared" si="2"/>
        <v>1319199.03</v>
      </c>
      <c r="G105" s="9">
        <f t="shared" si="3"/>
        <v>1278399.0599999998</v>
      </c>
      <c r="H105" s="72">
        <v>742.17</v>
      </c>
      <c r="I105" s="72">
        <v>591.91</v>
      </c>
      <c r="J105" s="72">
        <v>150.26</v>
      </c>
      <c r="K105" s="8" t="s">
        <v>665</v>
      </c>
    </row>
    <row r="106" spans="1:11">
      <c r="A106" s="1">
        <v>103</v>
      </c>
      <c r="B106" s="13" t="s">
        <v>934</v>
      </c>
      <c r="C106" s="8" t="s">
        <v>4470</v>
      </c>
      <c r="D106" s="12" t="s">
        <v>36</v>
      </c>
      <c r="E106" s="11">
        <v>1387999</v>
      </c>
      <c r="F106" s="10">
        <f t="shared" si="2"/>
        <v>1346359.03</v>
      </c>
      <c r="G106" s="9">
        <f t="shared" si="3"/>
        <v>1304719.0599999998</v>
      </c>
      <c r="H106" s="72">
        <v>782.11</v>
      </c>
      <c r="I106" s="72">
        <v>599.98</v>
      </c>
      <c r="J106" s="72">
        <v>182.13</v>
      </c>
      <c r="K106" s="8" t="s">
        <v>666</v>
      </c>
    </row>
    <row r="107" spans="1:11">
      <c r="A107" s="1">
        <v>104</v>
      </c>
      <c r="B107" s="13" t="s">
        <v>935</v>
      </c>
      <c r="C107" s="8" t="s">
        <v>4470</v>
      </c>
      <c r="D107" s="12" t="s">
        <v>24</v>
      </c>
      <c r="E107" s="11">
        <v>1972999</v>
      </c>
      <c r="F107" s="10">
        <f t="shared" si="2"/>
        <v>1913809.03</v>
      </c>
      <c r="G107" s="9">
        <f t="shared" si="3"/>
        <v>1854619.0599999998</v>
      </c>
      <c r="H107" s="72">
        <v>1089.6300000000001</v>
      </c>
      <c r="I107" s="72">
        <v>820.64</v>
      </c>
      <c r="J107" s="72">
        <v>268.99</v>
      </c>
      <c r="K107" s="8" t="s">
        <v>666</v>
      </c>
    </row>
    <row r="108" spans="1:11">
      <c r="A108" s="1">
        <v>105</v>
      </c>
      <c r="B108" s="13" t="s">
        <v>936</v>
      </c>
      <c r="C108" s="8" t="s">
        <v>4470</v>
      </c>
      <c r="D108" s="12" t="s">
        <v>36</v>
      </c>
      <c r="E108" s="11">
        <v>1504999</v>
      </c>
      <c r="F108" s="10">
        <f t="shared" si="2"/>
        <v>1459849.03</v>
      </c>
      <c r="G108" s="9">
        <f t="shared" si="3"/>
        <v>1414699.0599999998</v>
      </c>
      <c r="H108" s="72">
        <v>934.42</v>
      </c>
      <c r="I108" s="72">
        <v>654.34</v>
      </c>
      <c r="J108" s="72">
        <v>280.08</v>
      </c>
      <c r="K108" s="8" t="s">
        <v>666</v>
      </c>
    </row>
    <row r="109" spans="1:11">
      <c r="A109" s="1">
        <v>106</v>
      </c>
      <c r="B109" s="13" t="s">
        <v>937</v>
      </c>
      <c r="C109" s="8" t="s">
        <v>4470</v>
      </c>
      <c r="D109" s="12" t="s">
        <v>36</v>
      </c>
      <c r="E109" s="11">
        <v>1269999</v>
      </c>
      <c r="F109" s="10">
        <f t="shared" si="2"/>
        <v>1231899.03</v>
      </c>
      <c r="G109" s="9">
        <f t="shared" si="3"/>
        <v>1193799.0599999998</v>
      </c>
      <c r="H109" s="72">
        <v>710.63</v>
      </c>
      <c r="I109" s="72">
        <v>543.58000000000004</v>
      </c>
      <c r="J109" s="72">
        <v>167.06</v>
      </c>
      <c r="K109" s="8" t="s">
        <v>666</v>
      </c>
    </row>
    <row r="110" spans="1:11">
      <c r="A110" s="1">
        <v>107</v>
      </c>
      <c r="B110" s="13" t="s">
        <v>938</v>
      </c>
      <c r="C110" s="8" t="s">
        <v>4470</v>
      </c>
      <c r="D110" s="12" t="s">
        <v>36</v>
      </c>
      <c r="E110" s="11">
        <v>1451999</v>
      </c>
      <c r="F110" s="10">
        <f t="shared" si="2"/>
        <v>1408439.03</v>
      </c>
      <c r="G110" s="9">
        <f t="shared" si="3"/>
        <v>1364879.0599999998</v>
      </c>
      <c r="H110" s="72">
        <v>817.63</v>
      </c>
      <c r="I110" s="72">
        <v>644.87</v>
      </c>
      <c r="J110" s="72">
        <v>172.76</v>
      </c>
      <c r="K110" s="8" t="s">
        <v>664</v>
      </c>
    </row>
    <row r="111" spans="1:11">
      <c r="A111" s="1">
        <v>108</v>
      </c>
      <c r="B111" s="13" t="s">
        <v>939</v>
      </c>
      <c r="C111" s="8" t="s">
        <v>4470</v>
      </c>
      <c r="D111" s="12" t="s">
        <v>36</v>
      </c>
      <c r="E111" s="11">
        <v>1482999</v>
      </c>
      <c r="F111" s="10">
        <f t="shared" si="2"/>
        <v>1438509.03</v>
      </c>
      <c r="G111" s="9">
        <f t="shared" si="3"/>
        <v>1394019.0599999998</v>
      </c>
      <c r="H111" s="72">
        <v>832.27</v>
      </c>
      <c r="I111" s="72">
        <v>659.5</v>
      </c>
      <c r="J111" s="72">
        <v>172.76</v>
      </c>
      <c r="K111" s="8" t="s">
        <v>665</v>
      </c>
    </row>
    <row r="112" spans="1:11">
      <c r="A112" s="1">
        <v>109</v>
      </c>
      <c r="B112" s="13" t="s">
        <v>940</v>
      </c>
      <c r="C112" s="8" t="s">
        <v>4469</v>
      </c>
      <c r="D112" s="12" t="s">
        <v>36</v>
      </c>
      <c r="E112" s="11">
        <v>1334999</v>
      </c>
      <c r="F112" s="10">
        <f t="shared" si="2"/>
        <v>1294949.03</v>
      </c>
      <c r="G112" s="9">
        <f t="shared" si="3"/>
        <v>1254899.0599999998</v>
      </c>
      <c r="H112" s="72">
        <v>886.73</v>
      </c>
      <c r="I112" s="72">
        <v>529.04999999999995</v>
      </c>
      <c r="J112" s="72">
        <v>357.68</v>
      </c>
      <c r="K112" s="8" t="s">
        <v>665</v>
      </c>
    </row>
    <row r="113" spans="1:11">
      <c r="A113" s="1">
        <v>110</v>
      </c>
      <c r="B113" s="13" t="s">
        <v>941</v>
      </c>
      <c r="C113" s="8" t="s">
        <v>4469</v>
      </c>
      <c r="D113" s="12" t="s">
        <v>36</v>
      </c>
      <c r="E113" s="11">
        <v>1199999</v>
      </c>
      <c r="F113" s="10">
        <f t="shared" si="2"/>
        <v>1163999.03</v>
      </c>
      <c r="G113" s="9">
        <f t="shared" si="3"/>
        <v>1127999.0599999998</v>
      </c>
      <c r="H113" s="72">
        <v>524.85</v>
      </c>
      <c r="I113" s="72">
        <v>524.85</v>
      </c>
      <c r="J113" s="72">
        <v>0</v>
      </c>
      <c r="K113" s="8" t="s">
        <v>664</v>
      </c>
    </row>
    <row r="114" spans="1:11">
      <c r="A114" s="1">
        <v>111</v>
      </c>
      <c r="B114" s="13" t="s">
        <v>942</v>
      </c>
      <c r="C114" s="8" t="s">
        <v>4469</v>
      </c>
      <c r="D114" s="12" t="s">
        <v>36</v>
      </c>
      <c r="E114" s="11">
        <v>1222999</v>
      </c>
      <c r="F114" s="10">
        <f t="shared" si="2"/>
        <v>1186309.03</v>
      </c>
      <c r="G114" s="9">
        <f t="shared" si="3"/>
        <v>1149619.0599999998</v>
      </c>
      <c r="H114" s="72">
        <v>665.96</v>
      </c>
      <c r="I114" s="72">
        <v>525.71</v>
      </c>
      <c r="J114" s="72">
        <v>140.25</v>
      </c>
      <c r="K114" s="8" t="s">
        <v>664</v>
      </c>
    </row>
    <row r="115" spans="1:11">
      <c r="A115" s="1">
        <v>112</v>
      </c>
      <c r="B115" s="13" t="s">
        <v>943</v>
      </c>
      <c r="C115" s="8" t="s">
        <v>4469</v>
      </c>
      <c r="D115" s="12" t="s">
        <v>36</v>
      </c>
      <c r="E115" s="11">
        <v>1458999</v>
      </c>
      <c r="F115" s="10">
        <f t="shared" si="2"/>
        <v>1415229.03</v>
      </c>
      <c r="G115" s="9">
        <f t="shared" si="3"/>
        <v>1371459.0599999998</v>
      </c>
      <c r="H115" s="72">
        <v>884.15</v>
      </c>
      <c r="I115" s="72">
        <v>629.69000000000005</v>
      </c>
      <c r="J115" s="72">
        <v>254.46</v>
      </c>
      <c r="K115" s="8" t="s">
        <v>665</v>
      </c>
    </row>
    <row r="116" spans="1:11">
      <c r="A116" s="1">
        <v>113</v>
      </c>
      <c r="B116" s="13" t="s">
        <v>944</v>
      </c>
      <c r="C116" s="8" t="s">
        <v>4469</v>
      </c>
      <c r="D116" s="12" t="s">
        <v>24</v>
      </c>
      <c r="E116" s="11">
        <v>1904999</v>
      </c>
      <c r="F116" s="10">
        <f t="shared" si="2"/>
        <v>1847849.03</v>
      </c>
      <c r="G116" s="9">
        <f t="shared" si="3"/>
        <v>1790699.0599999998</v>
      </c>
      <c r="H116" s="72">
        <v>1055.08</v>
      </c>
      <c r="I116" s="72">
        <v>786.09</v>
      </c>
      <c r="J116" s="72">
        <v>268.99</v>
      </c>
      <c r="K116" s="8" t="s">
        <v>664</v>
      </c>
    </row>
    <row r="117" spans="1:11">
      <c r="A117" s="1">
        <v>114</v>
      </c>
      <c r="B117" s="13" t="s">
        <v>945</v>
      </c>
      <c r="C117" s="8" t="s">
        <v>4469</v>
      </c>
      <c r="D117" s="12" t="s">
        <v>36</v>
      </c>
      <c r="E117" s="11">
        <v>1359999</v>
      </c>
      <c r="F117" s="10">
        <f t="shared" ref="F117:F175" si="4">E117*0.97</f>
        <v>1319199.03</v>
      </c>
      <c r="G117" s="9">
        <f t="shared" ref="G117:G175" si="5">E117*0.94</f>
        <v>1278399.0599999998</v>
      </c>
      <c r="H117" s="72">
        <v>742.17</v>
      </c>
      <c r="I117" s="72">
        <v>591.91</v>
      </c>
      <c r="J117" s="72">
        <v>150.26</v>
      </c>
      <c r="K117" s="8" t="s">
        <v>665</v>
      </c>
    </row>
    <row r="118" spans="1:11">
      <c r="A118" s="1">
        <v>115</v>
      </c>
      <c r="B118" s="13" t="s">
        <v>946</v>
      </c>
      <c r="C118" s="8" t="s">
        <v>4469</v>
      </c>
      <c r="D118" s="12" t="s">
        <v>36</v>
      </c>
      <c r="E118" s="11">
        <v>1389999</v>
      </c>
      <c r="F118" s="10">
        <f t="shared" si="4"/>
        <v>1348299.03</v>
      </c>
      <c r="G118" s="9">
        <f t="shared" si="5"/>
        <v>1306599.0599999998</v>
      </c>
      <c r="H118" s="72">
        <v>782.11</v>
      </c>
      <c r="I118" s="72">
        <v>599.98</v>
      </c>
      <c r="J118" s="72">
        <v>182.13</v>
      </c>
      <c r="K118" s="8" t="s">
        <v>664</v>
      </c>
    </row>
    <row r="119" spans="1:11">
      <c r="A119" s="1">
        <v>116</v>
      </c>
      <c r="B119" s="13" t="s">
        <v>947</v>
      </c>
      <c r="C119" s="8" t="s">
        <v>4469</v>
      </c>
      <c r="D119" s="12" t="s">
        <v>36</v>
      </c>
      <c r="E119" s="11">
        <v>1386999</v>
      </c>
      <c r="F119" s="10">
        <f t="shared" si="4"/>
        <v>1345389.03</v>
      </c>
      <c r="G119" s="9">
        <f t="shared" si="5"/>
        <v>1303779.0599999998</v>
      </c>
      <c r="H119" s="72">
        <v>782.11</v>
      </c>
      <c r="I119" s="72">
        <v>599.98</v>
      </c>
      <c r="J119" s="72">
        <v>182.13</v>
      </c>
      <c r="K119" s="8" t="s">
        <v>666</v>
      </c>
    </row>
    <row r="120" spans="1:11">
      <c r="A120" s="1">
        <v>117</v>
      </c>
      <c r="B120" s="13" t="s">
        <v>948</v>
      </c>
      <c r="C120" s="8" t="s">
        <v>4469</v>
      </c>
      <c r="D120" s="12" t="s">
        <v>24</v>
      </c>
      <c r="E120" s="11">
        <v>1971999</v>
      </c>
      <c r="F120" s="10">
        <f t="shared" si="4"/>
        <v>1912839.03</v>
      </c>
      <c r="G120" s="9">
        <f t="shared" si="5"/>
        <v>1853679.0599999998</v>
      </c>
      <c r="H120" s="72">
        <v>1089.6300000000001</v>
      </c>
      <c r="I120" s="72">
        <v>820.64</v>
      </c>
      <c r="J120" s="72">
        <v>268.99</v>
      </c>
      <c r="K120" s="8" t="s">
        <v>666</v>
      </c>
    </row>
    <row r="121" spans="1:11">
      <c r="A121" s="1">
        <v>118</v>
      </c>
      <c r="B121" s="13" t="s">
        <v>949</v>
      </c>
      <c r="C121" s="8" t="s">
        <v>4469</v>
      </c>
      <c r="D121" s="12" t="s">
        <v>36</v>
      </c>
      <c r="E121" s="11">
        <v>1503999</v>
      </c>
      <c r="F121" s="10">
        <f t="shared" si="4"/>
        <v>1458879.03</v>
      </c>
      <c r="G121" s="9">
        <f t="shared" si="5"/>
        <v>1413759.0599999998</v>
      </c>
      <c r="H121" s="72">
        <v>934.42</v>
      </c>
      <c r="I121" s="72">
        <v>654.34</v>
      </c>
      <c r="J121" s="72">
        <v>280.08</v>
      </c>
      <c r="K121" s="8" t="s">
        <v>666</v>
      </c>
    </row>
    <row r="122" spans="1:11">
      <c r="A122" s="1">
        <v>119</v>
      </c>
      <c r="B122" s="13" t="s">
        <v>950</v>
      </c>
      <c r="C122" s="8" t="s">
        <v>4469</v>
      </c>
      <c r="D122" s="12" t="s">
        <v>36</v>
      </c>
      <c r="E122" s="11">
        <v>1509999</v>
      </c>
      <c r="F122" s="10">
        <f t="shared" si="4"/>
        <v>1464699.03</v>
      </c>
      <c r="G122" s="9">
        <f t="shared" si="5"/>
        <v>1419399.0599999998</v>
      </c>
      <c r="H122" s="72">
        <v>933.55</v>
      </c>
      <c r="I122" s="72">
        <v>654.34</v>
      </c>
      <c r="J122" s="72">
        <v>279.22000000000003</v>
      </c>
      <c r="K122" s="8" t="s">
        <v>665</v>
      </c>
    </row>
    <row r="123" spans="1:11">
      <c r="A123" s="1">
        <v>120</v>
      </c>
      <c r="B123" s="13" t="s">
        <v>951</v>
      </c>
      <c r="C123" s="8" t="s">
        <v>4469</v>
      </c>
      <c r="D123" s="12" t="s">
        <v>36</v>
      </c>
      <c r="E123" s="11">
        <v>1268999</v>
      </c>
      <c r="F123" s="10">
        <f t="shared" si="4"/>
        <v>1230929.03</v>
      </c>
      <c r="G123" s="9">
        <f t="shared" si="5"/>
        <v>1192859.0599999998</v>
      </c>
      <c r="H123" s="72">
        <v>710.63</v>
      </c>
      <c r="I123" s="72">
        <v>543.58000000000004</v>
      </c>
      <c r="J123" s="72">
        <v>167.06</v>
      </c>
      <c r="K123" s="8" t="s">
        <v>666</v>
      </c>
    </row>
    <row r="124" spans="1:11">
      <c r="A124" s="1">
        <v>121</v>
      </c>
      <c r="B124" s="13" t="s">
        <v>952</v>
      </c>
      <c r="C124" s="8" t="s">
        <v>4469</v>
      </c>
      <c r="D124" s="12" t="s">
        <v>36</v>
      </c>
      <c r="E124" s="11">
        <v>1282999</v>
      </c>
      <c r="F124" s="10">
        <f t="shared" si="4"/>
        <v>1244509.03</v>
      </c>
      <c r="G124" s="9">
        <f t="shared" si="5"/>
        <v>1206019.0599999998</v>
      </c>
      <c r="H124" s="72">
        <v>713.54</v>
      </c>
      <c r="I124" s="72">
        <v>546.48</v>
      </c>
      <c r="J124" s="72">
        <v>167.06</v>
      </c>
      <c r="K124" s="8" t="s">
        <v>665</v>
      </c>
    </row>
    <row r="125" spans="1:11">
      <c r="A125" s="1">
        <v>122</v>
      </c>
      <c r="B125" s="13" t="s">
        <v>953</v>
      </c>
      <c r="C125" s="8" t="s">
        <v>4468</v>
      </c>
      <c r="D125" s="12" t="s">
        <v>36</v>
      </c>
      <c r="E125" s="11">
        <v>1449999</v>
      </c>
      <c r="F125" s="10">
        <f t="shared" si="4"/>
        <v>1406499.03</v>
      </c>
      <c r="G125" s="9">
        <f t="shared" si="5"/>
        <v>1362999.0599999998</v>
      </c>
      <c r="H125" s="72">
        <v>817.63</v>
      </c>
      <c r="I125" s="72">
        <v>644.87</v>
      </c>
      <c r="J125" s="72">
        <v>172.76</v>
      </c>
      <c r="K125" s="8" t="s">
        <v>664</v>
      </c>
    </row>
    <row r="126" spans="1:11">
      <c r="A126" s="1">
        <v>123</v>
      </c>
      <c r="B126" s="13" t="s">
        <v>954</v>
      </c>
      <c r="C126" s="8" t="s">
        <v>4468</v>
      </c>
      <c r="D126" s="12" t="s">
        <v>36</v>
      </c>
      <c r="E126" s="11">
        <v>1481999</v>
      </c>
      <c r="F126" s="10">
        <f t="shared" si="4"/>
        <v>1437539.03</v>
      </c>
      <c r="G126" s="9">
        <f t="shared" si="5"/>
        <v>1393079.0599999998</v>
      </c>
      <c r="H126" s="72">
        <v>832.27</v>
      </c>
      <c r="I126" s="72">
        <v>659.5</v>
      </c>
      <c r="J126" s="72">
        <v>172.76</v>
      </c>
      <c r="K126" s="8" t="s">
        <v>665</v>
      </c>
    </row>
    <row r="127" spans="1:11">
      <c r="A127" s="1">
        <v>124</v>
      </c>
      <c r="B127" s="13" t="s">
        <v>955</v>
      </c>
      <c r="C127" s="8" t="s">
        <v>4468</v>
      </c>
      <c r="D127" s="12" t="s">
        <v>36</v>
      </c>
      <c r="E127" s="11">
        <v>1333999</v>
      </c>
      <c r="F127" s="10">
        <f t="shared" si="4"/>
        <v>1293979.03</v>
      </c>
      <c r="G127" s="9">
        <f t="shared" si="5"/>
        <v>1253959.0599999998</v>
      </c>
      <c r="H127" s="72">
        <v>886.73</v>
      </c>
      <c r="I127" s="72">
        <v>529.04999999999995</v>
      </c>
      <c r="J127" s="72">
        <v>357.68</v>
      </c>
      <c r="K127" s="8" t="s">
        <v>665</v>
      </c>
    </row>
    <row r="128" spans="1:11">
      <c r="A128" s="1">
        <v>125</v>
      </c>
      <c r="B128" s="13" t="s">
        <v>956</v>
      </c>
      <c r="C128" s="8" t="s">
        <v>4468</v>
      </c>
      <c r="D128" s="12" t="s">
        <v>36</v>
      </c>
      <c r="E128" s="11">
        <v>1199999</v>
      </c>
      <c r="F128" s="10">
        <f t="shared" si="4"/>
        <v>1163999.03</v>
      </c>
      <c r="G128" s="9">
        <f t="shared" si="5"/>
        <v>1127999.0599999998</v>
      </c>
      <c r="H128" s="72">
        <v>524.85</v>
      </c>
      <c r="I128" s="72">
        <v>524.85</v>
      </c>
      <c r="J128" s="72">
        <v>0</v>
      </c>
      <c r="K128" s="8" t="s">
        <v>664</v>
      </c>
    </row>
    <row r="129" spans="1:11">
      <c r="A129" s="1">
        <v>126</v>
      </c>
      <c r="B129" s="13" t="s">
        <v>957</v>
      </c>
      <c r="C129" s="8" t="s">
        <v>4468</v>
      </c>
      <c r="D129" s="12" t="s">
        <v>36</v>
      </c>
      <c r="E129" s="11">
        <v>1222999</v>
      </c>
      <c r="F129" s="10">
        <f t="shared" si="4"/>
        <v>1186309.03</v>
      </c>
      <c r="G129" s="9">
        <f t="shared" si="5"/>
        <v>1149619.0599999998</v>
      </c>
      <c r="H129" s="72">
        <v>665.96</v>
      </c>
      <c r="I129" s="72">
        <v>525.71</v>
      </c>
      <c r="J129" s="72">
        <v>140.25</v>
      </c>
      <c r="K129" s="8" t="s">
        <v>664</v>
      </c>
    </row>
    <row r="130" spans="1:11">
      <c r="A130" s="1">
        <v>127</v>
      </c>
      <c r="B130" s="13" t="s">
        <v>958</v>
      </c>
      <c r="C130" s="8" t="s">
        <v>4468</v>
      </c>
      <c r="D130" s="12" t="s">
        <v>36</v>
      </c>
      <c r="E130" s="11">
        <v>1458999</v>
      </c>
      <c r="F130" s="10">
        <f t="shared" si="4"/>
        <v>1415229.03</v>
      </c>
      <c r="G130" s="9">
        <f t="shared" si="5"/>
        <v>1371459.0599999998</v>
      </c>
      <c r="H130" s="72">
        <v>884.15</v>
      </c>
      <c r="I130" s="72">
        <v>629.69000000000005</v>
      </c>
      <c r="J130" s="72">
        <v>254.46</v>
      </c>
      <c r="K130" s="8" t="s">
        <v>665</v>
      </c>
    </row>
    <row r="131" spans="1:11">
      <c r="A131" s="1">
        <v>128</v>
      </c>
      <c r="B131" s="13" t="s">
        <v>959</v>
      </c>
      <c r="C131" s="8" t="s">
        <v>4468</v>
      </c>
      <c r="D131" s="12" t="s">
        <v>24</v>
      </c>
      <c r="E131" s="11">
        <v>1903999</v>
      </c>
      <c r="F131" s="10">
        <f t="shared" si="4"/>
        <v>1846879.03</v>
      </c>
      <c r="G131" s="9">
        <f t="shared" si="5"/>
        <v>1789759.0599999998</v>
      </c>
      <c r="H131" s="72">
        <v>1055.08</v>
      </c>
      <c r="I131" s="72">
        <v>786.09</v>
      </c>
      <c r="J131" s="72">
        <v>268.99</v>
      </c>
      <c r="K131" s="8" t="s">
        <v>664</v>
      </c>
    </row>
    <row r="132" spans="1:11">
      <c r="A132" s="1">
        <v>129</v>
      </c>
      <c r="B132" s="13" t="s">
        <v>960</v>
      </c>
      <c r="C132" s="8" t="s">
        <v>4468</v>
      </c>
      <c r="D132" s="12" t="s">
        <v>36</v>
      </c>
      <c r="E132" s="11">
        <v>1359999</v>
      </c>
      <c r="F132" s="10">
        <f t="shared" si="4"/>
        <v>1319199.03</v>
      </c>
      <c r="G132" s="9">
        <f t="shared" si="5"/>
        <v>1278399.0599999998</v>
      </c>
      <c r="H132" s="72">
        <v>742.17</v>
      </c>
      <c r="I132" s="72">
        <v>591.91</v>
      </c>
      <c r="J132" s="72">
        <v>150.26</v>
      </c>
      <c r="K132" s="8" t="s">
        <v>665</v>
      </c>
    </row>
    <row r="133" spans="1:11">
      <c r="A133" s="1">
        <v>130</v>
      </c>
      <c r="B133" s="13" t="s">
        <v>961</v>
      </c>
      <c r="C133" s="8" t="s">
        <v>4468</v>
      </c>
      <c r="D133" s="12" t="s">
        <v>36</v>
      </c>
      <c r="E133" s="11">
        <v>1408999</v>
      </c>
      <c r="F133" s="10">
        <f t="shared" si="4"/>
        <v>1366729.03</v>
      </c>
      <c r="G133" s="9">
        <f t="shared" si="5"/>
        <v>1324459.0599999998</v>
      </c>
      <c r="H133" s="72">
        <v>776.72</v>
      </c>
      <c r="I133" s="72">
        <v>626.46</v>
      </c>
      <c r="J133" s="72">
        <v>150.26</v>
      </c>
      <c r="K133" s="8" t="s">
        <v>665</v>
      </c>
    </row>
    <row r="134" spans="1:11">
      <c r="A134" s="1">
        <v>131</v>
      </c>
      <c r="B134" s="13" t="s">
        <v>962</v>
      </c>
      <c r="C134" s="8" t="s">
        <v>4468</v>
      </c>
      <c r="D134" s="12" t="s">
        <v>24</v>
      </c>
      <c r="E134" s="11">
        <v>1970999</v>
      </c>
      <c r="F134" s="10">
        <f t="shared" si="4"/>
        <v>1911869.03</v>
      </c>
      <c r="G134" s="9">
        <f t="shared" si="5"/>
        <v>1852739.0599999998</v>
      </c>
      <c r="H134" s="72">
        <v>1089.6300000000001</v>
      </c>
      <c r="I134" s="72">
        <v>820.64</v>
      </c>
      <c r="J134" s="72">
        <v>268.99</v>
      </c>
      <c r="K134" s="8" t="s">
        <v>666</v>
      </c>
    </row>
    <row r="135" spans="1:11">
      <c r="A135" s="1">
        <v>132</v>
      </c>
      <c r="B135" s="13" t="s">
        <v>963</v>
      </c>
      <c r="C135" s="8" t="s">
        <v>4468</v>
      </c>
      <c r="D135" s="12" t="s">
        <v>36</v>
      </c>
      <c r="E135" s="11">
        <v>1502999</v>
      </c>
      <c r="F135" s="10">
        <f t="shared" si="4"/>
        <v>1457909.03</v>
      </c>
      <c r="G135" s="9">
        <f t="shared" si="5"/>
        <v>1412819.0599999998</v>
      </c>
      <c r="H135" s="72">
        <v>934.42</v>
      </c>
      <c r="I135" s="72">
        <v>654.34</v>
      </c>
      <c r="J135" s="72">
        <v>280.08</v>
      </c>
      <c r="K135" s="8" t="s">
        <v>666</v>
      </c>
    </row>
    <row r="136" spans="1:11">
      <c r="A136" s="1">
        <v>133</v>
      </c>
      <c r="B136" s="13" t="s">
        <v>964</v>
      </c>
      <c r="C136" s="8" t="s">
        <v>4468</v>
      </c>
      <c r="D136" s="12" t="s">
        <v>36</v>
      </c>
      <c r="E136" s="11">
        <v>1509999</v>
      </c>
      <c r="F136" s="10">
        <f t="shared" si="4"/>
        <v>1464699.03</v>
      </c>
      <c r="G136" s="9">
        <f t="shared" si="5"/>
        <v>1419399.0599999998</v>
      </c>
      <c r="H136" s="72">
        <v>933.55</v>
      </c>
      <c r="I136" s="72">
        <v>654.34</v>
      </c>
      <c r="J136" s="72">
        <v>279.22000000000003</v>
      </c>
      <c r="K136" s="8" t="s">
        <v>665</v>
      </c>
    </row>
    <row r="137" spans="1:11">
      <c r="A137" s="1">
        <v>134</v>
      </c>
      <c r="B137" s="13" t="s">
        <v>965</v>
      </c>
      <c r="C137" s="8" t="s">
        <v>4468</v>
      </c>
      <c r="D137" s="12" t="s">
        <v>36</v>
      </c>
      <c r="E137" s="11">
        <v>1268999</v>
      </c>
      <c r="F137" s="10">
        <f t="shared" si="4"/>
        <v>1230929.03</v>
      </c>
      <c r="G137" s="9">
        <f t="shared" si="5"/>
        <v>1192859.0599999998</v>
      </c>
      <c r="H137" s="72">
        <v>710.63</v>
      </c>
      <c r="I137" s="72">
        <v>543.58000000000004</v>
      </c>
      <c r="J137" s="72">
        <v>167.06</v>
      </c>
      <c r="K137" s="8" t="s">
        <v>666</v>
      </c>
    </row>
    <row r="138" spans="1:11">
      <c r="A138" s="1">
        <v>135</v>
      </c>
      <c r="B138" s="13" t="s">
        <v>399</v>
      </c>
      <c r="C138" s="8" t="s">
        <v>4467</v>
      </c>
      <c r="D138" s="12" t="s">
        <v>36</v>
      </c>
      <c r="E138" s="11">
        <v>1333999</v>
      </c>
      <c r="F138" s="10">
        <f t="shared" si="4"/>
        <v>1293979.03</v>
      </c>
      <c r="G138" s="9">
        <f t="shared" si="5"/>
        <v>1253959.0599999998</v>
      </c>
      <c r="H138" s="72">
        <v>886.73</v>
      </c>
      <c r="I138" s="72">
        <v>529.04999999999995</v>
      </c>
      <c r="J138" s="72">
        <v>357.68</v>
      </c>
      <c r="K138" s="8" t="s">
        <v>665</v>
      </c>
    </row>
    <row r="139" spans="1:11">
      <c r="A139" s="1">
        <v>136</v>
      </c>
      <c r="B139" s="13" t="s">
        <v>400</v>
      </c>
      <c r="C139" s="8" t="s">
        <v>4467</v>
      </c>
      <c r="D139" s="12" t="s">
        <v>36</v>
      </c>
      <c r="E139" s="11">
        <v>1179798.6200000001</v>
      </c>
      <c r="F139" s="10">
        <f t="shared" si="4"/>
        <v>1144404.6614000001</v>
      </c>
      <c r="G139" s="9">
        <f t="shared" si="5"/>
        <v>1109010.7028000001</v>
      </c>
      <c r="H139" s="72">
        <v>715.48</v>
      </c>
      <c r="I139" s="72">
        <v>538.41</v>
      </c>
      <c r="J139" s="72">
        <v>177.07</v>
      </c>
      <c r="K139" s="8" t="s">
        <v>664</v>
      </c>
    </row>
    <row r="140" spans="1:11">
      <c r="A140" s="1">
        <v>137</v>
      </c>
      <c r="B140" s="13" t="s">
        <v>401</v>
      </c>
      <c r="C140" s="8" t="s">
        <v>4467</v>
      </c>
      <c r="D140" s="12" t="s">
        <v>24</v>
      </c>
      <c r="E140" s="11">
        <v>1902999</v>
      </c>
      <c r="F140" s="10">
        <f t="shared" si="4"/>
        <v>1845909.03</v>
      </c>
      <c r="G140" s="9">
        <f t="shared" si="5"/>
        <v>1788819.0599999998</v>
      </c>
      <c r="H140" s="72">
        <v>1055.08</v>
      </c>
      <c r="I140" s="72">
        <v>786.09</v>
      </c>
      <c r="J140" s="72">
        <v>268.99</v>
      </c>
      <c r="K140" s="8" t="s">
        <v>664</v>
      </c>
    </row>
    <row r="141" spans="1:11">
      <c r="A141" s="1">
        <v>138</v>
      </c>
      <c r="B141" s="13" t="s">
        <v>4881</v>
      </c>
      <c r="C141" s="8" t="s">
        <v>4467</v>
      </c>
      <c r="D141" s="12" t="s">
        <v>36</v>
      </c>
      <c r="E141" s="11">
        <v>1389999</v>
      </c>
      <c r="F141" s="10">
        <f t="shared" si="4"/>
        <v>1348299.03</v>
      </c>
      <c r="G141" s="9">
        <f t="shared" si="5"/>
        <v>1306599.0599999998</v>
      </c>
      <c r="H141" s="72">
        <v>782.11</v>
      </c>
      <c r="I141" s="72">
        <v>599.98</v>
      </c>
      <c r="J141" s="72">
        <v>182.13</v>
      </c>
      <c r="K141" s="8" t="s">
        <v>664</v>
      </c>
    </row>
    <row r="142" spans="1:11">
      <c r="A142" s="1">
        <v>139</v>
      </c>
      <c r="B142" s="13" t="s">
        <v>402</v>
      </c>
      <c r="C142" s="8" t="s">
        <v>4467</v>
      </c>
      <c r="D142" s="12" t="s">
        <v>36</v>
      </c>
      <c r="E142" s="11">
        <v>1502999</v>
      </c>
      <c r="F142" s="10">
        <f t="shared" si="4"/>
        <v>1457909.03</v>
      </c>
      <c r="G142" s="9">
        <f t="shared" si="5"/>
        <v>1412819.0599999998</v>
      </c>
      <c r="H142" s="72">
        <v>934.42</v>
      </c>
      <c r="I142" s="72">
        <v>654.34</v>
      </c>
      <c r="J142" s="72">
        <v>280.08</v>
      </c>
      <c r="K142" s="8" t="s">
        <v>666</v>
      </c>
    </row>
    <row r="143" spans="1:11">
      <c r="A143" s="1">
        <v>140</v>
      </c>
      <c r="B143" s="13" t="s">
        <v>403</v>
      </c>
      <c r="C143" s="8" t="s">
        <v>4467</v>
      </c>
      <c r="D143" s="12" t="s">
        <v>36</v>
      </c>
      <c r="E143" s="11">
        <v>1509999</v>
      </c>
      <c r="F143" s="10">
        <f t="shared" si="4"/>
        <v>1464699.03</v>
      </c>
      <c r="G143" s="9">
        <f t="shared" si="5"/>
        <v>1419399.0599999998</v>
      </c>
      <c r="H143" s="72">
        <v>933.55</v>
      </c>
      <c r="I143" s="72">
        <v>654.34</v>
      </c>
      <c r="J143" s="72">
        <v>279.22000000000003</v>
      </c>
      <c r="K143" s="8" t="s">
        <v>665</v>
      </c>
    </row>
    <row r="144" spans="1:11">
      <c r="A144" s="1">
        <v>141</v>
      </c>
      <c r="B144" s="13" t="s">
        <v>404</v>
      </c>
      <c r="C144" s="8" t="s">
        <v>4467</v>
      </c>
      <c r="D144" s="12" t="s">
        <v>36</v>
      </c>
      <c r="E144" s="11">
        <v>1524999</v>
      </c>
      <c r="F144" s="10">
        <f t="shared" si="4"/>
        <v>1479249.03</v>
      </c>
      <c r="G144" s="9">
        <f t="shared" si="5"/>
        <v>1433499.0599999998</v>
      </c>
      <c r="H144" s="72">
        <v>1638.7</v>
      </c>
      <c r="I144" s="72">
        <v>543.58000000000004</v>
      </c>
      <c r="J144" s="72">
        <v>1095.1199999999999</v>
      </c>
      <c r="K144" s="8" t="s">
        <v>666</v>
      </c>
    </row>
    <row r="145" spans="1:11">
      <c r="A145" s="1">
        <v>142</v>
      </c>
      <c r="B145" s="13" t="s">
        <v>702</v>
      </c>
      <c r="C145" s="8" t="s">
        <v>4466</v>
      </c>
      <c r="D145" s="12" t="s">
        <v>36</v>
      </c>
      <c r="E145" s="11">
        <v>1331999</v>
      </c>
      <c r="F145" s="10">
        <f t="shared" si="4"/>
        <v>1292039.03</v>
      </c>
      <c r="G145" s="9">
        <f t="shared" si="5"/>
        <v>1252079.0599999998</v>
      </c>
      <c r="H145" s="72">
        <v>886.73</v>
      </c>
      <c r="I145" s="72">
        <v>529.04999999999995</v>
      </c>
      <c r="J145" s="72">
        <v>357.68</v>
      </c>
      <c r="K145" s="8" t="s">
        <v>665</v>
      </c>
    </row>
    <row r="146" spans="1:11">
      <c r="A146" s="1">
        <v>143</v>
      </c>
      <c r="B146" s="13" t="s">
        <v>4324</v>
      </c>
      <c r="C146" s="8" t="s">
        <v>4466</v>
      </c>
      <c r="D146" s="12" t="s">
        <v>36</v>
      </c>
      <c r="E146" s="11">
        <v>1245999</v>
      </c>
      <c r="F146" s="10">
        <f t="shared" si="4"/>
        <v>1208619.03</v>
      </c>
      <c r="G146" s="9">
        <f t="shared" si="5"/>
        <v>1171239.0599999998</v>
      </c>
      <c r="H146" s="72">
        <v>713.22</v>
      </c>
      <c r="I146" s="72">
        <v>525.71</v>
      </c>
      <c r="J146" s="72">
        <v>187.51</v>
      </c>
      <c r="K146" s="8" t="s">
        <v>664</v>
      </c>
    </row>
    <row r="147" spans="1:11">
      <c r="A147" s="1">
        <v>144</v>
      </c>
      <c r="B147" s="13" t="s">
        <v>703</v>
      </c>
      <c r="C147" s="8" t="s">
        <v>4466</v>
      </c>
      <c r="D147" s="12" t="s">
        <v>36</v>
      </c>
      <c r="E147" s="11">
        <v>1456999</v>
      </c>
      <c r="F147" s="10">
        <f t="shared" si="4"/>
        <v>1413289.03</v>
      </c>
      <c r="G147" s="9">
        <f t="shared" si="5"/>
        <v>1369579.0599999998</v>
      </c>
      <c r="H147" s="72">
        <v>884.15</v>
      </c>
      <c r="I147" s="72">
        <v>629.69000000000005</v>
      </c>
      <c r="J147" s="72">
        <v>254.46</v>
      </c>
      <c r="K147" s="8" t="s">
        <v>665</v>
      </c>
    </row>
    <row r="148" spans="1:11">
      <c r="A148" s="1">
        <v>145</v>
      </c>
      <c r="B148" s="13" t="s">
        <v>704</v>
      </c>
      <c r="C148" s="8" t="s">
        <v>4466</v>
      </c>
      <c r="D148" s="12" t="s">
        <v>24</v>
      </c>
      <c r="E148" s="11">
        <v>1938999</v>
      </c>
      <c r="F148" s="10">
        <f t="shared" si="4"/>
        <v>1880829.03</v>
      </c>
      <c r="G148" s="9">
        <f t="shared" si="5"/>
        <v>1822659.0599999998</v>
      </c>
      <c r="H148" s="72">
        <v>1116.1099999999999</v>
      </c>
      <c r="I148" s="72">
        <v>791.58</v>
      </c>
      <c r="J148" s="72">
        <v>324.52999999999997</v>
      </c>
      <c r="K148" s="8" t="s">
        <v>664</v>
      </c>
    </row>
    <row r="149" spans="1:11">
      <c r="A149" s="1">
        <v>146</v>
      </c>
      <c r="B149" s="13" t="s">
        <v>405</v>
      </c>
      <c r="C149" s="8" t="s">
        <v>4465</v>
      </c>
      <c r="D149" s="12" t="s">
        <v>24</v>
      </c>
      <c r="E149" s="11">
        <v>2137999</v>
      </c>
      <c r="F149" s="10">
        <f t="shared" si="4"/>
        <v>2073859.03</v>
      </c>
      <c r="G149" s="9">
        <f t="shared" si="5"/>
        <v>2009719.0599999998</v>
      </c>
      <c r="H149" s="72">
        <v>1264.6500000000001</v>
      </c>
      <c r="I149" s="72">
        <v>1012.35</v>
      </c>
      <c r="J149" s="72">
        <v>252.31</v>
      </c>
      <c r="K149" s="8" t="s">
        <v>664</v>
      </c>
    </row>
    <row r="150" spans="1:11">
      <c r="A150" s="1">
        <v>147</v>
      </c>
      <c r="B150" s="13" t="s">
        <v>406</v>
      </c>
      <c r="C150" s="8" t="s">
        <v>4465</v>
      </c>
      <c r="D150" s="12" t="s">
        <v>36</v>
      </c>
      <c r="E150" s="11">
        <v>1178874.01</v>
      </c>
      <c r="F150" s="10">
        <f t="shared" si="4"/>
        <v>1143507.7897000001</v>
      </c>
      <c r="G150" s="9">
        <f t="shared" si="5"/>
        <v>1108141.5693999999</v>
      </c>
      <c r="H150" s="72">
        <v>715.48</v>
      </c>
      <c r="I150" s="72">
        <v>538.41</v>
      </c>
      <c r="J150" s="72">
        <v>177.07</v>
      </c>
      <c r="K150" s="8" t="s">
        <v>664</v>
      </c>
    </row>
    <row r="151" spans="1:11">
      <c r="A151" s="1">
        <v>148</v>
      </c>
      <c r="B151" s="13" t="s">
        <v>4325</v>
      </c>
      <c r="C151" s="8" t="s">
        <v>4465</v>
      </c>
      <c r="D151" s="12" t="s">
        <v>36</v>
      </c>
      <c r="E151" s="11">
        <v>1245999</v>
      </c>
      <c r="F151" s="10">
        <f t="shared" si="4"/>
        <v>1208619.03</v>
      </c>
      <c r="G151" s="9">
        <f t="shared" si="5"/>
        <v>1171239.0599999998</v>
      </c>
      <c r="H151" s="72">
        <v>713.22</v>
      </c>
      <c r="I151" s="72">
        <v>525.71</v>
      </c>
      <c r="J151" s="72">
        <v>187.51</v>
      </c>
      <c r="K151" s="8" t="s">
        <v>664</v>
      </c>
    </row>
    <row r="152" spans="1:11">
      <c r="A152" s="1">
        <v>149</v>
      </c>
      <c r="B152" s="13" t="s">
        <v>705</v>
      </c>
      <c r="C152" s="8" t="s">
        <v>4465</v>
      </c>
      <c r="D152" s="12" t="s">
        <v>36</v>
      </c>
      <c r="E152" s="11">
        <v>1455999</v>
      </c>
      <c r="F152" s="10">
        <f t="shared" si="4"/>
        <v>1412319.03</v>
      </c>
      <c r="G152" s="9">
        <f t="shared" si="5"/>
        <v>1368639.0599999998</v>
      </c>
      <c r="H152" s="72">
        <v>884.15</v>
      </c>
      <c r="I152" s="72">
        <v>629.69000000000005</v>
      </c>
      <c r="J152" s="72">
        <v>254.46</v>
      </c>
      <c r="K152" s="8" t="s">
        <v>665</v>
      </c>
    </row>
    <row r="153" spans="1:11">
      <c r="A153" s="1">
        <v>150</v>
      </c>
      <c r="B153" s="13" t="s">
        <v>407</v>
      </c>
      <c r="C153" s="8" t="s">
        <v>4465</v>
      </c>
      <c r="D153" s="12" t="s">
        <v>24</v>
      </c>
      <c r="E153" s="11">
        <v>1937999</v>
      </c>
      <c r="F153" s="10">
        <f t="shared" si="4"/>
        <v>1879859.03</v>
      </c>
      <c r="G153" s="9">
        <f t="shared" si="5"/>
        <v>1821719.0599999998</v>
      </c>
      <c r="H153" s="72">
        <v>1116.1099999999999</v>
      </c>
      <c r="I153" s="72">
        <v>791.58</v>
      </c>
      <c r="J153" s="72">
        <v>324.52999999999997</v>
      </c>
      <c r="K153" s="8" t="s">
        <v>664</v>
      </c>
    </row>
    <row r="154" spans="1:11">
      <c r="A154" s="1">
        <v>151</v>
      </c>
      <c r="B154" s="13" t="s">
        <v>408</v>
      </c>
      <c r="C154" s="8" t="s">
        <v>10</v>
      </c>
      <c r="D154" s="12" t="s">
        <v>36</v>
      </c>
      <c r="E154" s="11">
        <v>1432999</v>
      </c>
      <c r="F154" s="10">
        <f t="shared" si="4"/>
        <v>1390009.03</v>
      </c>
      <c r="G154" s="9">
        <f t="shared" si="5"/>
        <v>1347019.0599999998</v>
      </c>
      <c r="H154" s="72">
        <v>817.63</v>
      </c>
      <c r="I154" s="72">
        <v>644.87</v>
      </c>
      <c r="J154" s="72">
        <v>172.76</v>
      </c>
      <c r="K154" s="8" t="s">
        <v>664</v>
      </c>
    </row>
    <row r="155" spans="1:11">
      <c r="A155" s="1">
        <v>152</v>
      </c>
      <c r="B155" s="13" t="s">
        <v>409</v>
      </c>
      <c r="C155" s="8" t="s">
        <v>10</v>
      </c>
      <c r="D155" s="12" t="s">
        <v>36</v>
      </c>
      <c r="E155" s="11">
        <v>1463999</v>
      </c>
      <c r="F155" s="10">
        <f t="shared" si="4"/>
        <v>1420079.03</v>
      </c>
      <c r="G155" s="9">
        <f t="shared" si="5"/>
        <v>1376159.0599999998</v>
      </c>
      <c r="H155" s="72">
        <v>832.27</v>
      </c>
      <c r="I155" s="72">
        <v>659.5</v>
      </c>
      <c r="J155" s="72">
        <v>172.76</v>
      </c>
      <c r="K155" s="8" t="s">
        <v>665</v>
      </c>
    </row>
    <row r="156" spans="1:11">
      <c r="A156" s="1">
        <v>153</v>
      </c>
      <c r="B156" s="13" t="s">
        <v>410</v>
      </c>
      <c r="C156" s="8" t="s">
        <v>10</v>
      </c>
      <c r="D156" s="12" t="s">
        <v>36</v>
      </c>
      <c r="E156" s="11">
        <v>1324999</v>
      </c>
      <c r="F156" s="10">
        <f t="shared" si="4"/>
        <v>1285249.03</v>
      </c>
      <c r="G156" s="9">
        <f t="shared" si="5"/>
        <v>1245499.0599999998</v>
      </c>
      <c r="H156" s="72">
        <v>886.73</v>
      </c>
      <c r="I156" s="72">
        <v>529.04999999999995</v>
      </c>
      <c r="J156" s="72">
        <v>357.68</v>
      </c>
      <c r="K156" s="8" t="s">
        <v>665</v>
      </c>
    </row>
    <row r="157" spans="1:11">
      <c r="A157" s="1">
        <v>154</v>
      </c>
      <c r="B157" s="13" t="s">
        <v>411</v>
      </c>
      <c r="C157" s="8" t="s">
        <v>4464</v>
      </c>
      <c r="D157" s="12" t="s">
        <v>24</v>
      </c>
      <c r="E157" s="11">
        <v>2136999</v>
      </c>
      <c r="F157" s="10">
        <f t="shared" si="4"/>
        <v>2072889.03</v>
      </c>
      <c r="G157" s="9">
        <f t="shared" si="5"/>
        <v>2008779.0599999998</v>
      </c>
      <c r="H157" s="72">
        <v>1264.6500000000001</v>
      </c>
      <c r="I157" s="72">
        <v>1012.35</v>
      </c>
      <c r="J157" s="72">
        <v>252.31</v>
      </c>
      <c r="K157" s="8" t="s">
        <v>664</v>
      </c>
    </row>
    <row r="158" spans="1:11">
      <c r="A158" s="1">
        <v>155</v>
      </c>
      <c r="B158" s="13" t="s">
        <v>412</v>
      </c>
      <c r="C158" s="8" t="s">
        <v>10</v>
      </c>
      <c r="D158" s="12" t="s">
        <v>36</v>
      </c>
      <c r="E158" s="11">
        <v>1199999</v>
      </c>
      <c r="F158" s="10">
        <f t="shared" si="4"/>
        <v>1163999.03</v>
      </c>
      <c r="G158" s="9">
        <f t="shared" si="5"/>
        <v>1127999.0599999998</v>
      </c>
      <c r="H158" s="72">
        <v>524.85</v>
      </c>
      <c r="I158" s="72">
        <v>524.85</v>
      </c>
      <c r="J158" s="72">
        <v>0</v>
      </c>
      <c r="K158" s="8" t="s">
        <v>664</v>
      </c>
    </row>
    <row r="159" spans="1:11">
      <c r="A159" s="1">
        <v>156</v>
      </c>
      <c r="B159" s="13" t="s">
        <v>413</v>
      </c>
      <c r="C159" s="8" t="s">
        <v>4464</v>
      </c>
      <c r="D159" s="12" t="s">
        <v>36</v>
      </c>
      <c r="E159" s="11">
        <v>1331999</v>
      </c>
      <c r="F159" s="10">
        <f t="shared" si="4"/>
        <v>1292039.03</v>
      </c>
      <c r="G159" s="9">
        <f t="shared" si="5"/>
        <v>1252079.0599999998</v>
      </c>
      <c r="H159" s="72">
        <v>886.73</v>
      </c>
      <c r="I159" s="72">
        <v>529.04999999999995</v>
      </c>
      <c r="J159" s="72">
        <v>357.68</v>
      </c>
      <c r="K159" s="8" t="s">
        <v>665</v>
      </c>
    </row>
    <row r="160" spans="1:11">
      <c r="A160" s="1">
        <v>157</v>
      </c>
      <c r="B160" s="13" t="s">
        <v>414</v>
      </c>
      <c r="C160" s="8" t="s">
        <v>4464</v>
      </c>
      <c r="D160" s="12" t="s">
        <v>36</v>
      </c>
      <c r="E160" s="11">
        <v>1177949.3999999999</v>
      </c>
      <c r="F160" s="10">
        <f t="shared" si="4"/>
        <v>1142610.9179999998</v>
      </c>
      <c r="G160" s="9">
        <f t="shared" si="5"/>
        <v>1107272.4359999998</v>
      </c>
      <c r="H160" s="72">
        <v>715.48</v>
      </c>
      <c r="I160" s="72">
        <v>538.41</v>
      </c>
      <c r="J160" s="72">
        <v>177.07</v>
      </c>
      <c r="K160" s="8" t="s">
        <v>664</v>
      </c>
    </row>
    <row r="161" spans="1:11">
      <c r="A161" s="1">
        <v>158</v>
      </c>
      <c r="B161" s="13" t="s">
        <v>415</v>
      </c>
      <c r="C161" s="8" t="s">
        <v>4464</v>
      </c>
      <c r="D161" s="12" t="s">
        <v>24</v>
      </c>
      <c r="E161" s="11">
        <v>1936999</v>
      </c>
      <c r="F161" s="10">
        <f t="shared" si="4"/>
        <v>1878889.03</v>
      </c>
      <c r="G161" s="9">
        <f t="shared" si="5"/>
        <v>1820779.0599999998</v>
      </c>
      <c r="H161" s="72">
        <v>1116.1099999999999</v>
      </c>
      <c r="I161" s="72">
        <v>791.58</v>
      </c>
      <c r="J161" s="72">
        <v>324.52999999999997</v>
      </c>
      <c r="K161" s="8" t="s">
        <v>664</v>
      </c>
    </row>
    <row r="162" spans="1:11">
      <c r="A162" s="1">
        <v>159</v>
      </c>
      <c r="B162" s="13" t="s">
        <v>416</v>
      </c>
      <c r="C162" s="8" t="s">
        <v>10</v>
      </c>
      <c r="D162" s="12" t="s">
        <v>36</v>
      </c>
      <c r="E162" s="11">
        <v>1440999</v>
      </c>
      <c r="F162" s="10">
        <f t="shared" si="4"/>
        <v>1397769.03</v>
      </c>
      <c r="G162" s="9">
        <f t="shared" si="5"/>
        <v>1354539.0599999998</v>
      </c>
      <c r="H162" s="72">
        <v>884.15</v>
      </c>
      <c r="I162" s="72">
        <v>629.69000000000005</v>
      </c>
      <c r="J162" s="72">
        <v>254.46</v>
      </c>
      <c r="K162" s="8" t="s">
        <v>665</v>
      </c>
    </row>
    <row r="163" spans="1:11">
      <c r="A163" s="1">
        <v>160</v>
      </c>
      <c r="B163" s="13" t="s">
        <v>417</v>
      </c>
      <c r="C163" s="8" t="s">
        <v>10</v>
      </c>
      <c r="D163" s="12" t="s">
        <v>24</v>
      </c>
      <c r="E163" s="11">
        <v>1889999</v>
      </c>
      <c r="F163" s="10">
        <f t="shared" si="4"/>
        <v>1833299.03</v>
      </c>
      <c r="G163" s="9">
        <f t="shared" si="5"/>
        <v>1776599.0599999998</v>
      </c>
      <c r="H163" s="72">
        <v>1055.08</v>
      </c>
      <c r="I163" s="72">
        <v>786.09</v>
      </c>
      <c r="J163" s="72">
        <v>268.99</v>
      </c>
      <c r="K163" s="8" t="s">
        <v>664</v>
      </c>
    </row>
    <row r="164" spans="1:11">
      <c r="A164" s="1">
        <v>161</v>
      </c>
      <c r="B164" s="13" t="s">
        <v>418</v>
      </c>
      <c r="C164" s="8" t="s">
        <v>10</v>
      </c>
      <c r="D164" s="12" t="s">
        <v>36</v>
      </c>
      <c r="E164" s="11">
        <v>1349999</v>
      </c>
      <c r="F164" s="10">
        <f t="shared" si="4"/>
        <v>1309499.03</v>
      </c>
      <c r="G164" s="9">
        <f t="shared" si="5"/>
        <v>1268999.0599999998</v>
      </c>
      <c r="H164" s="72">
        <v>742.17</v>
      </c>
      <c r="I164" s="72">
        <v>591.91</v>
      </c>
      <c r="J164" s="72">
        <v>150.26</v>
      </c>
      <c r="K164" s="8" t="s">
        <v>665</v>
      </c>
    </row>
    <row r="165" spans="1:11">
      <c r="A165" s="1">
        <v>162</v>
      </c>
      <c r="B165" s="13" t="s">
        <v>419</v>
      </c>
      <c r="C165" s="8" t="s">
        <v>10</v>
      </c>
      <c r="D165" s="12" t="s">
        <v>36</v>
      </c>
      <c r="E165" s="11">
        <v>1376999</v>
      </c>
      <c r="F165" s="10">
        <f t="shared" si="4"/>
        <v>1335689.03</v>
      </c>
      <c r="G165" s="9">
        <f t="shared" si="5"/>
        <v>1294379.0599999998</v>
      </c>
      <c r="H165" s="72">
        <v>782.11</v>
      </c>
      <c r="I165" s="72">
        <v>599.98</v>
      </c>
      <c r="J165" s="72">
        <v>182.13</v>
      </c>
      <c r="K165" s="8" t="s">
        <v>664</v>
      </c>
    </row>
    <row r="166" spans="1:11">
      <c r="A166" s="1">
        <v>163</v>
      </c>
      <c r="B166" s="13" t="s">
        <v>420</v>
      </c>
      <c r="C166" s="8" t="s">
        <v>4463</v>
      </c>
      <c r="D166" s="12" t="s">
        <v>24</v>
      </c>
      <c r="E166" s="11">
        <v>2135999</v>
      </c>
      <c r="F166" s="10">
        <f t="shared" si="4"/>
        <v>2071919.03</v>
      </c>
      <c r="G166" s="9">
        <f t="shared" si="5"/>
        <v>2007839.0599999998</v>
      </c>
      <c r="H166" s="72">
        <v>1264.6500000000001</v>
      </c>
      <c r="I166" s="72">
        <v>1012.35</v>
      </c>
      <c r="J166" s="72">
        <v>252.31</v>
      </c>
      <c r="K166" s="8" t="s">
        <v>664</v>
      </c>
    </row>
    <row r="167" spans="1:11">
      <c r="A167" s="1">
        <v>164</v>
      </c>
      <c r="B167" s="13" t="s">
        <v>421</v>
      </c>
      <c r="C167" s="8" t="s">
        <v>4463</v>
      </c>
      <c r="D167" s="12" t="s">
        <v>24</v>
      </c>
      <c r="E167" s="11">
        <v>1935999</v>
      </c>
      <c r="F167" s="10">
        <f t="shared" si="4"/>
        <v>1877919.03</v>
      </c>
      <c r="G167" s="9">
        <f t="shared" si="5"/>
        <v>1819839.0599999998</v>
      </c>
      <c r="H167" s="72">
        <v>1116.1099999999999</v>
      </c>
      <c r="I167" s="72">
        <v>791.58</v>
      </c>
      <c r="J167" s="72">
        <v>324.52999999999997</v>
      </c>
      <c r="K167" s="8" t="s">
        <v>664</v>
      </c>
    </row>
    <row r="168" spans="1:11">
      <c r="A168" s="1">
        <v>165</v>
      </c>
      <c r="B168" s="13" t="s">
        <v>422</v>
      </c>
      <c r="C168" s="8" t="s">
        <v>10</v>
      </c>
      <c r="D168" s="12" t="s">
        <v>36</v>
      </c>
      <c r="E168" s="11">
        <v>1369999</v>
      </c>
      <c r="F168" s="10">
        <f t="shared" si="4"/>
        <v>1328899.03</v>
      </c>
      <c r="G168" s="9">
        <f t="shared" si="5"/>
        <v>1287799.0599999998</v>
      </c>
      <c r="H168" s="72">
        <v>782.11</v>
      </c>
      <c r="I168" s="72">
        <v>599.98</v>
      </c>
      <c r="J168" s="72">
        <v>182.13</v>
      </c>
      <c r="K168" s="8" t="s">
        <v>666</v>
      </c>
    </row>
    <row r="169" spans="1:11">
      <c r="A169" s="1">
        <v>166</v>
      </c>
      <c r="B169" s="13" t="s">
        <v>423</v>
      </c>
      <c r="C169" s="8" t="s">
        <v>10</v>
      </c>
      <c r="D169" s="12" t="s">
        <v>24</v>
      </c>
      <c r="E169" s="11">
        <v>1952999</v>
      </c>
      <c r="F169" s="10">
        <f t="shared" si="4"/>
        <v>1894409.03</v>
      </c>
      <c r="G169" s="9">
        <f t="shared" si="5"/>
        <v>1835819.0599999998</v>
      </c>
      <c r="H169" s="72">
        <v>1098.46</v>
      </c>
      <c r="I169" s="72">
        <v>820.64</v>
      </c>
      <c r="J169" s="72">
        <v>277.82</v>
      </c>
      <c r="K169" s="8" t="s">
        <v>666</v>
      </c>
    </row>
    <row r="170" spans="1:11">
      <c r="A170" s="1">
        <v>167</v>
      </c>
      <c r="B170" s="13" t="s">
        <v>424</v>
      </c>
      <c r="C170" s="8" t="s">
        <v>10</v>
      </c>
      <c r="D170" s="12" t="s">
        <v>36</v>
      </c>
      <c r="E170" s="11">
        <v>1400999</v>
      </c>
      <c r="F170" s="10">
        <f t="shared" si="4"/>
        <v>1358969.03</v>
      </c>
      <c r="G170" s="9">
        <f t="shared" si="5"/>
        <v>1316939.0599999998</v>
      </c>
      <c r="H170" s="72">
        <v>785.44</v>
      </c>
      <c r="I170" s="72">
        <v>626.46</v>
      </c>
      <c r="J170" s="72">
        <v>158.97999999999999</v>
      </c>
      <c r="K170" s="8" t="s">
        <v>665</v>
      </c>
    </row>
    <row r="171" spans="1:11">
      <c r="A171" s="1">
        <v>168</v>
      </c>
      <c r="B171" s="13" t="s">
        <v>425</v>
      </c>
      <c r="C171" s="8" t="s">
        <v>10</v>
      </c>
      <c r="D171" s="12" t="s">
        <v>36</v>
      </c>
      <c r="E171" s="11">
        <v>1494999</v>
      </c>
      <c r="F171" s="10">
        <f t="shared" si="4"/>
        <v>1450149.03</v>
      </c>
      <c r="G171" s="9">
        <f t="shared" si="5"/>
        <v>1405299.0599999998</v>
      </c>
      <c r="H171" s="72">
        <v>925.59</v>
      </c>
      <c r="I171" s="72">
        <v>654.34</v>
      </c>
      <c r="J171" s="72">
        <v>271.25</v>
      </c>
      <c r="K171" s="8" t="s">
        <v>666</v>
      </c>
    </row>
    <row r="172" spans="1:11">
      <c r="A172" s="1">
        <v>169</v>
      </c>
      <c r="B172" s="13" t="s">
        <v>426</v>
      </c>
      <c r="C172" s="8" t="s">
        <v>10</v>
      </c>
      <c r="D172" s="12" t="s">
        <v>36</v>
      </c>
      <c r="E172" s="11">
        <v>1494999</v>
      </c>
      <c r="F172" s="10">
        <f t="shared" si="4"/>
        <v>1450149.03</v>
      </c>
      <c r="G172" s="9">
        <f t="shared" si="5"/>
        <v>1405299.0599999998</v>
      </c>
      <c r="H172" s="72">
        <v>924.84</v>
      </c>
      <c r="I172" s="72">
        <v>654.45000000000005</v>
      </c>
      <c r="J172" s="72">
        <v>270.39</v>
      </c>
      <c r="K172" s="8" t="s">
        <v>665</v>
      </c>
    </row>
    <row r="173" spans="1:11">
      <c r="A173" s="1">
        <v>170</v>
      </c>
      <c r="B173" s="13" t="s">
        <v>427</v>
      </c>
      <c r="C173" s="8" t="s">
        <v>10</v>
      </c>
      <c r="D173" s="12" t="s">
        <v>36</v>
      </c>
      <c r="E173" s="11">
        <v>1304999</v>
      </c>
      <c r="F173" s="10">
        <f t="shared" si="4"/>
        <v>1265849.03</v>
      </c>
      <c r="G173" s="9">
        <f t="shared" si="5"/>
        <v>1226699.0599999998</v>
      </c>
      <c r="H173" s="72">
        <v>720.43</v>
      </c>
      <c r="I173" s="72">
        <v>566.94000000000005</v>
      </c>
      <c r="J173" s="72">
        <v>153.49</v>
      </c>
      <c r="K173" s="8" t="s">
        <v>665</v>
      </c>
    </row>
    <row r="174" spans="1:11">
      <c r="A174" s="1">
        <v>171</v>
      </c>
      <c r="B174" s="13" t="s">
        <v>428</v>
      </c>
      <c r="C174" s="8" t="s">
        <v>10</v>
      </c>
      <c r="D174" s="12" t="s">
        <v>36</v>
      </c>
      <c r="E174" s="11">
        <v>1253999</v>
      </c>
      <c r="F174" s="10">
        <f t="shared" si="4"/>
        <v>1216379.03</v>
      </c>
      <c r="G174" s="9">
        <f t="shared" si="5"/>
        <v>1178759.0599999998</v>
      </c>
      <c r="H174" s="72">
        <v>710.63</v>
      </c>
      <c r="I174" s="72">
        <v>543.58000000000004</v>
      </c>
      <c r="J174" s="72">
        <v>167.06</v>
      </c>
      <c r="K174" s="8" t="s">
        <v>666</v>
      </c>
    </row>
    <row r="175" spans="1:11">
      <c r="A175" s="1">
        <v>172</v>
      </c>
      <c r="B175" s="13" t="s">
        <v>429</v>
      </c>
      <c r="C175" s="8" t="s">
        <v>10</v>
      </c>
      <c r="D175" s="12" t="s">
        <v>36</v>
      </c>
      <c r="E175" s="11">
        <v>1266999</v>
      </c>
      <c r="F175" s="10">
        <f t="shared" si="4"/>
        <v>1228989.03</v>
      </c>
      <c r="G175" s="9">
        <f t="shared" si="5"/>
        <v>1190979.0599999998</v>
      </c>
      <c r="H175" s="72">
        <v>713.54</v>
      </c>
      <c r="I175" s="72">
        <v>546.48</v>
      </c>
      <c r="J175" s="72">
        <v>167.06</v>
      </c>
      <c r="K175" s="8" t="s">
        <v>665</v>
      </c>
    </row>
    <row r="176" spans="1:11">
      <c r="A176" s="1">
        <v>173</v>
      </c>
      <c r="B176" s="13" t="s">
        <v>966</v>
      </c>
      <c r="C176" s="8" t="s">
        <v>4495</v>
      </c>
      <c r="D176" s="12" t="s">
        <v>24</v>
      </c>
      <c r="E176" s="11">
        <v>2133999</v>
      </c>
      <c r="F176" s="10">
        <f t="shared" ref="F176:F238" si="6">E176*0.97</f>
        <v>2069979.03</v>
      </c>
      <c r="G176" s="9">
        <f t="shared" ref="G176:G238" si="7">E176*0.94</f>
        <v>2005959.0599999998</v>
      </c>
      <c r="H176" s="72">
        <v>1265.3</v>
      </c>
      <c r="I176" s="72">
        <v>1012.35</v>
      </c>
      <c r="J176" s="72">
        <v>252.95</v>
      </c>
      <c r="K176" s="8" t="s">
        <v>664</v>
      </c>
    </row>
    <row r="177" spans="1:11">
      <c r="A177" s="1">
        <v>174</v>
      </c>
      <c r="B177" s="13" t="s">
        <v>967</v>
      </c>
      <c r="C177" s="8" t="s">
        <v>4495</v>
      </c>
      <c r="D177" s="12" t="s">
        <v>36</v>
      </c>
      <c r="E177" s="11">
        <v>1331999</v>
      </c>
      <c r="F177" s="10">
        <f t="shared" si="6"/>
        <v>1292039.03</v>
      </c>
      <c r="G177" s="9">
        <f t="shared" si="7"/>
        <v>1252079.0599999998</v>
      </c>
      <c r="H177" s="72">
        <v>886.73</v>
      </c>
      <c r="I177" s="72">
        <v>529.04999999999995</v>
      </c>
      <c r="J177" s="72">
        <v>357.68</v>
      </c>
      <c r="K177" s="8" t="s">
        <v>665</v>
      </c>
    </row>
    <row r="178" spans="1:11">
      <c r="A178" s="1">
        <v>175</v>
      </c>
      <c r="B178" s="13" t="s">
        <v>968</v>
      </c>
      <c r="C178" s="8" t="s">
        <v>4495</v>
      </c>
      <c r="D178" s="12" t="s">
        <v>36</v>
      </c>
      <c r="E178" s="11">
        <v>1176100.18</v>
      </c>
      <c r="F178" s="10">
        <f t="shared" si="6"/>
        <v>1140817.1745999998</v>
      </c>
      <c r="G178" s="9">
        <f t="shared" si="7"/>
        <v>1105534.1691999999</v>
      </c>
      <c r="H178" s="72">
        <v>715.48</v>
      </c>
      <c r="I178" s="72">
        <v>538.41</v>
      </c>
      <c r="J178" s="72">
        <v>177.07</v>
      </c>
      <c r="K178" s="8" t="s">
        <v>664</v>
      </c>
    </row>
    <row r="179" spans="1:11">
      <c r="A179" s="1">
        <v>176</v>
      </c>
      <c r="B179" s="13" t="s">
        <v>969</v>
      </c>
      <c r="C179" s="8" t="s">
        <v>4495</v>
      </c>
      <c r="D179" s="12" t="s">
        <v>36</v>
      </c>
      <c r="E179" s="11">
        <v>1242999</v>
      </c>
      <c r="F179" s="10">
        <f t="shared" si="6"/>
        <v>1205709.03</v>
      </c>
      <c r="G179" s="9">
        <f t="shared" si="7"/>
        <v>1168419.0599999998</v>
      </c>
      <c r="H179" s="72">
        <v>713.22</v>
      </c>
      <c r="I179" s="72">
        <v>525.71</v>
      </c>
      <c r="J179" s="72">
        <v>187.51</v>
      </c>
      <c r="K179" s="8" t="s">
        <v>664</v>
      </c>
    </row>
    <row r="180" spans="1:11">
      <c r="A180" s="1">
        <v>177</v>
      </c>
      <c r="B180" s="13" t="s">
        <v>970</v>
      </c>
      <c r="C180" s="8" t="s">
        <v>4495</v>
      </c>
      <c r="D180" s="12" t="s">
        <v>36</v>
      </c>
      <c r="E180" s="11">
        <v>1452999</v>
      </c>
      <c r="F180" s="10">
        <f t="shared" si="6"/>
        <v>1409409.03</v>
      </c>
      <c r="G180" s="9">
        <f t="shared" si="7"/>
        <v>1365819.0599999998</v>
      </c>
      <c r="H180" s="72">
        <v>884.15</v>
      </c>
      <c r="I180" s="72">
        <v>629.69000000000005</v>
      </c>
      <c r="J180" s="72">
        <v>254.46</v>
      </c>
      <c r="K180" s="8" t="s">
        <v>665</v>
      </c>
    </row>
    <row r="181" spans="1:11">
      <c r="A181" s="1">
        <v>178</v>
      </c>
      <c r="B181" s="13" t="s">
        <v>971</v>
      </c>
      <c r="C181" s="8" t="s">
        <v>4495</v>
      </c>
      <c r="D181" s="12" t="s">
        <v>24</v>
      </c>
      <c r="E181" s="11">
        <v>2048999</v>
      </c>
      <c r="F181" s="10">
        <f t="shared" si="6"/>
        <v>1987529.03</v>
      </c>
      <c r="G181" s="9">
        <f t="shared" si="7"/>
        <v>1926059.0599999998</v>
      </c>
      <c r="H181" s="72">
        <v>1999.83</v>
      </c>
      <c r="I181" s="72">
        <v>787.7</v>
      </c>
      <c r="J181" s="72">
        <v>1212.1199999999999</v>
      </c>
      <c r="K181" s="8" t="s">
        <v>664</v>
      </c>
    </row>
    <row r="182" spans="1:11">
      <c r="A182" s="1">
        <v>179</v>
      </c>
      <c r="B182" s="13" t="s">
        <v>972</v>
      </c>
      <c r="C182" s="8" t="s">
        <v>4495</v>
      </c>
      <c r="D182" s="12" t="s">
        <v>36</v>
      </c>
      <c r="E182" s="11">
        <v>1524999</v>
      </c>
      <c r="F182" s="10">
        <f t="shared" si="6"/>
        <v>1479249.03</v>
      </c>
      <c r="G182" s="9">
        <f t="shared" si="7"/>
        <v>1433499.0599999998</v>
      </c>
      <c r="H182" s="72">
        <v>1590.15</v>
      </c>
      <c r="I182" s="72">
        <v>533.14</v>
      </c>
      <c r="J182" s="72">
        <v>1057.02</v>
      </c>
      <c r="K182" s="8" t="s">
        <v>665</v>
      </c>
    </row>
    <row r="183" spans="1:11">
      <c r="A183" s="1">
        <v>180</v>
      </c>
      <c r="B183" s="13" t="s">
        <v>973</v>
      </c>
      <c r="C183" s="8" t="s">
        <v>4494</v>
      </c>
      <c r="D183" s="12" t="s">
        <v>36</v>
      </c>
      <c r="E183" s="11">
        <v>1443999</v>
      </c>
      <c r="F183" s="10">
        <f t="shared" si="6"/>
        <v>1400679.03</v>
      </c>
      <c r="G183" s="9">
        <f t="shared" si="7"/>
        <v>1357359.0599999998</v>
      </c>
      <c r="H183" s="72">
        <v>817.63</v>
      </c>
      <c r="I183" s="72">
        <v>644.87</v>
      </c>
      <c r="J183" s="72">
        <v>172.76</v>
      </c>
      <c r="K183" s="8" t="s">
        <v>664</v>
      </c>
    </row>
    <row r="184" spans="1:11">
      <c r="A184" s="1">
        <v>181</v>
      </c>
      <c r="B184" s="13" t="s">
        <v>974</v>
      </c>
      <c r="C184" s="8" t="s">
        <v>4494</v>
      </c>
      <c r="D184" s="12" t="s">
        <v>36</v>
      </c>
      <c r="E184" s="11">
        <v>1331999</v>
      </c>
      <c r="F184" s="10">
        <f t="shared" si="6"/>
        <v>1292039.03</v>
      </c>
      <c r="G184" s="9">
        <f t="shared" si="7"/>
        <v>1252079.0599999998</v>
      </c>
      <c r="H184" s="72">
        <v>886.73</v>
      </c>
      <c r="I184" s="72">
        <v>529.04999999999995</v>
      </c>
      <c r="J184" s="72">
        <v>357.68</v>
      </c>
      <c r="K184" s="8" t="s">
        <v>665</v>
      </c>
    </row>
    <row r="185" spans="1:11">
      <c r="A185" s="1">
        <v>182</v>
      </c>
      <c r="B185" s="13" t="s">
        <v>975</v>
      </c>
      <c r="C185" s="8" t="s">
        <v>4494</v>
      </c>
      <c r="D185" s="12" t="s">
        <v>36</v>
      </c>
      <c r="E185" s="11">
        <v>1199999</v>
      </c>
      <c r="F185" s="10">
        <f t="shared" si="6"/>
        <v>1163999.03</v>
      </c>
      <c r="G185" s="9">
        <f t="shared" si="7"/>
        <v>1127999.0599999998</v>
      </c>
      <c r="H185" s="72">
        <v>524.85</v>
      </c>
      <c r="I185" s="72">
        <v>524.85</v>
      </c>
      <c r="J185" s="72">
        <v>0</v>
      </c>
      <c r="K185" s="8" t="s">
        <v>664</v>
      </c>
    </row>
    <row r="186" spans="1:11">
      <c r="A186" s="1">
        <v>183</v>
      </c>
      <c r="B186" s="13" t="s">
        <v>976</v>
      </c>
      <c r="C186" s="8" t="s">
        <v>4494</v>
      </c>
      <c r="D186" s="12" t="s">
        <v>36</v>
      </c>
      <c r="E186" s="11">
        <v>1217999</v>
      </c>
      <c r="F186" s="10">
        <f t="shared" si="6"/>
        <v>1181459.03</v>
      </c>
      <c r="G186" s="9">
        <f t="shared" si="7"/>
        <v>1144919.0599999998</v>
      </c>
      <c r="H186" s="72">
        <v>665.96</v>
      </c>
      <c r="I186" s="72">
        <v>525.71</v>
      </c>
      <c r="J186" s="72">
        <v>140.25</v>
      </c>
      <c r="K186" s="8" t="s">
        <v>664</v>
      </c>
    </row>
    <row r="187" spans="1:11">
      <c r="A187" s="1">
        <v>184</v>
      </c>
      <c r="B187" s="13" t="s">
        <v>977</v>
      </c>
      <c r="C187" s="8" t="s">
        <v>4494</v>
      </c>
      <c r="D187" s="12" t="s">
        <v>36</v>
      </c>
      <c r="E187" s="11">
        <v>1452999</v>
      </c>
      <c r="F187" s="10">
        <f t="shared" si="6"/>
        <v>1409409.03</v>
      </c>
      <c r="G187" s="9">
        <f t="shared" si="7"/>
        <v>1365819.0599999998</v>
      </c>
      <c r="H187" s="72">
        <v>884.15</v>
      </c>
      <c r="I187" s="72">
        <v>629.69000000000005</v>
      </c>
      <c r="J187" s="72">
        <v>254.46</v>
      </c>
      <c r="K187" s="8" t="s">
        <v>665</v>
      </c>
    </row>
    <row r="188" spans="1:11">
      <c r="A188" s="1">
        <v>185</v>
      </c>
      <c r="B188" s="13" t="s">
        <v>978</v>
      </c>
      <c r="C188" s="8" t="s">
        <v>4494</v>
      </c>
      <c r="D188" s="12" t="s">
        <v>24</v>
      </c>
      <c r="E188" s="11">
        <v>1896999</v>
      </c>
      <c r="F188" s="10">
        <f t="shared" si="6"/>
        <v>1840089.03</v>
      </c>
      <c r="G188" s="9">
        <f t="shared" si="7"/>
        <v>1783179.0599999998</v>
      </c>
      <c r="H188" s="72">
        <v>1055.08</v>
      </c>
      <c r="I188" s="72">
        <v>786.09</v>
      </c>
      <c r="J188" s="72">
        <v>268.99</v>
      </c>
      <c r="K188" s="8" t="s">
        <v>664</v>
      </c>
    </row>
    <row r="189" spans="1:11">
      <c r="A189" s="1">
        <v>186</v>
      </c>
      <c r="B189" s="13" t="s">
        <v>979</v>
      </c>
      <c r="C189" s="8" t="s">
        <v>4494</v>
      </c>
      <c r="D189" s="12" t="s">
        <v>36</v>
      </c>
      <c r="E189" s="11">
        <v>1354999</v>
      </c>
      <c r="F189" s="10">
        <f t="shared" si="6"/>
        <v>1314349.03</v>
      </c>
      <c r="G189" s="9">
        <f t="shared" si="7"/>
        <v>1273699.0599999998</v>
      </c>
      <c r="H189" s="72">
        <v>742.17</v>
      </c>
      <c r="I189" s="72">
        <v>591.91</v>
      </c>
      <c r="J189" s="72">
        <v>150.26</v>
      </c>
      <c r="K189" s="8" t="s">
        <v>665</v>
      </c>
    </row>
    <row r="190" spans="1:11">
      <c r="A190" s="1">
        <v>187</v>
      </c>
      <c r="B190" s="13" t="s">
        <v>980</v>
      </c>
      <c r="C190" s="8" t="s">
        <v>4494</v>
      </c>
      <c r="D190" s="12" t="s">
        <v>36</v>
      </c>
      <c r="E190" s="11">
        <v>1407999</v>
      </c>
      <c r="F190" s="10">
        <f t="shared" si="6"/>
        <v>1365759.03</v>
      </c>
      <c r="G190" s="9">
        <f t="shared" si="7"/>
        <v>1323519.0599999998</v>
      </c>
      <c r="H190" s="72">
        <v>776.72</v>
      </c>
      <c r="I190" s="72">
        <v>626.46</v>
      </c>
      <c r="J190" s="72">
        <v>150.26</v>
      </c>
      <c r="K190" s="8" t="s">
        <v>665</v>
      </c>
    </row>
    <row r="191" spans="1:11">
      <c r="A191" s="1">
        <v>188</v>
      </c>
      <c r="B191" s="13" t="s">
        <v>981</v>
      </c>
      <c r="C191" s="8" t="s">
        <v>4494</v>
      </c>
      <c r="D191" s="12" t="s">
        <v>24</v>
      </c>
      <c r="E191" s="11">
        <v>1962999</v>
      </c>
      <c r="F191" s="10">
        <f t="shared" si="6"/>
        <v>1904109.03</v>
      </c>
      <c r="G191" s="9">
        <f t="shared" si="7"/>
        <v>1845219.0599999998</v>
      </c>
      <c r="H191" s="72">
        <v>1089.6300000000001</v>
      </c>
      <c r="I191" s="72">
        <v>820.64</v>
      </c>
      <c r="J191" s="72">
        <v>268.99</v>
      </c>
      <c r="K191" s="8" t="s">
        <v>666</v>
      </c>
    </row>
    <row r="192" spans="1:11">
      <c r="A192" s="1">
        <v>189</v>
      </c>
      <c r="B192" s="13" t="s">
        <v>982</v>
      </c>
      <c r="C192" s="8" t="s">
        <v>4494</v>
      </c>
      <c r="D192" s="12" t="s">
        <v>36</v>
      </c>
      <c r="E192" s="11">
        <v>1496999</v>
      </c>
      <c r="F192" s="10">
        <f t="shared" si="6"/>
        <v>1452089.03</v>
      </c>
      <c r="G192" s="9">
        <f t="shared" si="7"/>
        <v>1407179.0599999998</v>
      </c>
      <c r="H192" s="72">
        <v>934.42</v>
      </c>
      <c r="I192" s="72">
        <v>654.34</v>
      </c>
      <c r="J192" s="72">
        <v>280.08</v>
      </c>
      <c r="K192" s="8" t="s">
        <v>666</v>
      </c>
    </row>
    <row r="193" spans="1:11">
      <c r="A193" s="1">
        <v>190</v>
      </c>
      <c r="B193" s="13" t="s">
        <v>983</v>
      </c>
      <c r="C193" s="8" t="s">
        <v>4494</v>
      </c>
      <c r="D193" s="12" t="s">
        <v>36</v>
      </c>
      <c r="E193" s="11">
        <v>1503999</v>
      </c>
      <c r="F193" s="10">
        <f t="shared" si="6"/>
        <v>1458879.03</v>
      </c>
      <c r="G193" s="9">
        <f t="shared" si="7"/>
        <v>1413759.0599999998</v>
      </c>
      <c r="H193" s="72">
        <v>933.55</v>
      </c>
      <c r="I193" s="72">
        <v>654.34</v>
      </c>
      <c r="J193" s="72">
        <v>279.22000000000003</v>
      </c>
      <c r="K193" s="8" t="s">
        <v>665</v>
      </c>
    </row>
    <row r="194" spans="1:11">
      <c r="A194" s="1">
        <v>191</v>
      </c>
      <c r="B194" s="13" t="s">
        <v>984</v>
      </c>
      <c r="C194" s="8" t="s">
        <v>4494</v>
      </c>
      <c r="D194" s="12" t="s">
        <v>36</v>
      </c>
      <c r="E194" s="11">
        <v>1319999</v>
      </c>
      <c r="F194" s="10">
        <f t="shared" si="6"/>
        <v>1280399.03</v>
      </c>
      <c r="G194" s="9">
        <f t="shared" si="7"/>
        <v>1240799.0599999998</v>
      </c>
      <c r="H194" s="72">
        <v>722.8</v>
      </c>
      <c r="I194" s="72">
        <v>569.29999999999995</v>
      </c>
      <c r="J194" s="72">
        <v>153.49</v>
      </c>
      <c r="K194" s="8" t="s">
        <v>665</v>
      </c>
    </row>
    <row r="195" spans="1:11">
      <c r="A195" s="1">
        <v>192</v>
      </c>
      <c r="B195" s="13" t="s">
        <v>985</v>
      </c>
      <c r="C195" s="8" t="s">
        <v>4494</v>
      </c>
      <c r="D195" s="12" t="s">
        <v>36</v>
      </c>
      <c r="E195" s="11">
        <v>1263999</v>
      </c>
      <c r="F195" s="10">
        <f t="shared" si="6"/>
        <v>1226079.03</v>
      </c>
      <c r="G195" s="9">
        <f t="shared" si="7"/>
        <v>1188159.0599999998</v>
      </c>
      <c r="H195" s="72">
        <v>710.63</v>
      </c>
      <c r="I195" s="72">
        <v>543.58000000000004</v>
      </c>
      <c r="J195" s="72">
        <v>167.06</v>
      </c>
      <c r="K195" s="8" t="s">
        <v>666</v>
      </c>
    </row>
    <row r="196" spans="1:11">
      <c r="A196" s="1">
        <v>193</v>
      </c>
      <c r="B196" s="13" t="s">
        <v>986</v>
      </c>
      <c r="C196" s="8" t="s">
        <v>4494</v>
      </c>
      <c r="D196" s="12" t="s">
        <v>36</v>
      </c>
      <c r="E196" s="11">
        <v>1276999</v>
      </c>
      <c r="F196" s="10">
        <f t="shared" si="6"/>
        <v>1238689.03</v>
      </c>
      <c r="G196" s="9">
        <f t="shared" si="7"/>
        <v>1200379.0599999998</v>
      </c>
      <c r="H196" s="72">
        <v>713.54</v>
      </c>
      <c r="I196" s="72">
        <v>546.48</v>
      </c>
      <c r="J196" s="72">
        <v>167.06</v>
      </c>
      <c r="K196" s="8" t="s">
        <v>665</v>
      </c>
    </row>
    <row r="197" spans="1:11">
      <c r="A197" s="1">
        <v>194</v>
      </c>
      <c r="B197" s="13" t="s">
        <v>987</v>
      </c>
      <c r="C197" s="8" t="s">
        <v>33</v>
      </c>
      <c r="D197" s="12" t="s">
        <v>36</v>
      </c>
      <c r="E197" s="11">
        <v>1443999</v>
      </c>
      <c r="F197" s="10">
        <f t="shared" si="6"/>
        <v>1400679.03</v>
      </c>
      <c r="G197" s="9">
        <f t="shared" si="7"/>
        <v>1357359.0599999998</v>
      </c>
      <c r="H197" s="72">
        <v>817.63</v>
      </c>
      <c r="I197" s="72">
        <v>644.87</v>
      </c>
      <c r="J197" s="72">
        <v>172.76</v>
      </c>
      <c r="K197" s="8" t="s">
        <v>664</v>
      </c>
    </row>
    <row r="198" spans="1:11">
      <c r="A198" s="1">
        <v>195</v>
      </c>
      <c r="B198" s="13" t="s">
        <v>988</v>
      </c>
      <c r="C198" s="8" t="s">
        <v>33</v>
      </c>
      <c r="D198" s="12" t="s">
        <v>36</v>
      </c>
      <c r="E198" s="11">
        <v>1331999</v>
      </c>
      <c r="F198" s="10">
        <f t="shared" si="6"/>
        <v>1292039.03</v>
      </c>
      <c r="G198" s="9">
        <f t="shared" si="7"/>
        <v>1252079.0599999998</v>
      </c>
      <c r="H198" s="72">
        <v>886.73</v>
      </c>
      <c r="I198" s="72">
        <v>529.04999999999995</v>
      </c>
      <c r="J198" s="72">
        <v>357.68</v>
      </c>
      <c r="K198" s="8" t="s">
        <v>665</v>
      </c>
    </row>
    <row r="199" spans="1:11">
      <c r="A199" s="1">
        <v>196</v>
      </c>
      <c r="B199" s="13" t="s">
        <v>989</v>
      </c>
      <c r="C199" s="8" t="s">
        <v>33</v>
      </c>
      <c r="D199" s="12" t="s">
        <v>36</v>
      </c>
      <c r="E199" s="11">
        <v>1199999</v>
      </c>
      <c r="F199" s="10">
        <f t="shared" si="6"/>
        <v>1163999.03</v>
      </c>
      <c r="G199" s="9">
        <f t="shared" si="7"/>
        <v>1127999.0599999998</v>
      </c>
      <c r="H199" s="72">
        <v>524.85</v>
      </c>
      <c r="I199" s="72">
        <v>524.85</v>
      </c>
      <c r="J199" s="72">
        <v>0</v>
      </c>
      <c r="K199" s="8" t="s">
        <v>664</v>
      </c>
    </row>
    <row r="200" spans="1:11">
      <c r="A200" s="1">
        <v>197</v>
      </c>
      <c r="B200" s="13" t="s">
        <v>990</v>
      </c>
      <c r="C200" s="8" t="s">
        <v>33</v>
      </c>
      <c r="D200" s="12" t="s">
        <v>36</v>
      </c>
      <c r="E200" s="11">
        <v>1451999</v>
      </c>
      <c r="F200" s="10">
        <f t="shared" si="6"/>
        <v>1408439.03</v>
      </c>
      <c r="G200" s="9">
        <f t="shared" si="7"/>
        <v>1364879.0599999998</v>
      </c>
      <c r="H200" s="72">
        <v>884.15</v>
      </c>
      <c r="I200" s="72">
        <v>629.69000000000005</v>
      </c>
      <c r="J200" s="72">
        <v>254.46</v>
      </c>
      <c r="K200" s="8" t="s">
        <v>665</v>
      </c>
    </row>
    <row r="201" spans="1:11">
      <c r="A201" s="1">
        <v>198</v>
      </c>
      <c r="B201" s="13" t="s">
        <v>991</v>
      </c>
      <c r="C201" s="8" t="s">
        <v>33</v>
      </c>
      <c r="D201" s="12" t="s">
        <v>24</v>
      </c>
      <c r="E201" s="11">
        <v>1895999</v>
      </c>
      <c r="F201" s="10">
        <f t="shared" si="6"/>
        <v>1839119.03</v>
      </c>
      <c r="G201" s="9">
        <f t="shared" si="7"/>
        <v>1782239.0599999998</v>
      </c>
      <c r="H201" s="72">
        <v>1055.08</v>
      </c>
      <c r="I201" s="72">
        <v>786.09</v>
      </c>
      <c r="J201" s="72">
        <v>268.99</v>
      </c>
      <c r="K201" s="8" t="s">
        <v>664</v>
      </c>
    </row>
    <row r="202" spans="1:11">
      <c r="A202" s="1">
        <v>199</v>
      </c>
      <c r="B202" s="13" t="s">
        <v>992</v>
      </c>
      <c r="C202" s="8" t="s">
        <v>33</v>
      </c>
      <c r="D202" s="12" t="s">
        <v>36</v>
      </c>
      <c r="E202" s="11">
        <v>1354999</v>
      </c>
      <c r="F202" s="10">
        <f t="shared" si="6"/>
        <v>1314349.03</v>
      </c>
      <c r="G202" s="9">
        <f t="shared" si="7"/>
        <v>1273699.0599999998</v>
      </c>
      <c r="H202" s="72">
        <v>742.17</v>
      </c>
      <c r="I202" s="72">
        <v>591.91</v>
      </c>
      <c r="J202" s="72">
        <v>150.26</v>
      </c>
      <c r="K202" s="8" t="s">
        <v>665</v>
      </c>
    </row>
    <row r="203" spans="1:11">
      <c r="A203" s="1">
        <v>200</v>
      </c>
      <c r="B203" s="13" t="s">
        <v>4882</v>
      </c>
      <c r="C203" s="8" t="s">
        <v>33</v>
      </c>
      <c r="D203" s="12" t="s">
        <v>36</v>
      </c>
      <c r="E203" s="11">
        <v>1406999</v>
      </c>
      <c r="F203" s="10">
        <f t="shared" si="6"/>
        <v>1364789.03</v>
      </c>
      <c r="G203" s="9">
        <f t="shared" si="7"/>
        <v>1322579.0599999998</v>
      </c>
      <c r="H203" s="72">
        <v>776.72</v>
      </c>
      <c r="I203" s="72">
        <v>626.46</v>
      </c>
      <c r="J203" s="72">
        <v>150.26</v>
      </c>
      <c r="K203" s="8" t="s">
        <v>665</v>
      </c>
    </row>
    <row r="204" spans="1:11">
      <c r="A204" s="1">
        <v>201</v>
      </c>
      <c r="B204" s="13" t="s">
        <v>993</v>
      </c>
      <c r="C204" s="8" t="s">
        <v>33</v>
      </c>
      <c r="D204" s="12" t="s">
        <v>24</v>
      </c>
      <c r="E204" s="11">
        <v>1961999</v>
      </c>
      <c r="F204" s="10">
        <f t="shared" si="6"/>
        <v>1903139.03</v>
      </c>
      <c r="G204" s="9">
        <f t="shared" si="7"/>
        <v>1844279.0599999998</v>
      </c>
      <c r="H204" s="72">
        <v>1089.6300000000001</v>
      </c>
      <c r="I204" s="72">
        <v>820.64</v>
      </c>
      <c r="J204" s="72">
        <v>268.99</v>
      </c>
      <c r="K204" s="8" t="s">
        <v>666</v>
      </c>
    </row>
    <row r="205" spans="1:11">
      <c r="A205" s="1">
        <v>202</v>
      </c>
      <c r="B205" s="13" t="s">
        <v>994</v>
      </c>
      <c r="C205" s="8" t="s">
        <v>33</v>
      </c>
      <c r="D205" s="12" t="s">
        <v>36</v>
      </c>
      <c r="E205" s="11">
        <v>1495999</v>
      </c>
      <c r="F205" s="10">
        <f t="shared" si="6"/>
        <v>1451119.03</v>
      </c>
      <c r="G205" s="9">
        <f t="shared" si="7"/>
        <v>1406239.0599999998</v>
      </c>
      <c r="H205" s="72">
        <v>934.42</v>
      </c>
      <c r="I205" s="72">
        <v>654.34</v>
      </c>
      <c r="J205" s="72">
        <v>280.08</v>
      </c>
      <c r="K205" s="8" t="s">
        <v>666</v>
      </c>
    </row>
    <row r="206" spans="1:11">
      <c r="A206" s="1">
        <v>203</v>
      </c>
      <c r="B206" s="13" t="s">
        <v>995</v>
      </c>
      <c r="C206" s="8" t="s">
        <v>33</v>
      </c>
      <c r="D206" s="12" t="s">
        <v>36</v>
      </c>
      <c r="E206" s="11">
        <v>1502999</v>
      </c>
      <c r="F206" s="10">
        <f t="shared" si="6"/>
        <v>1457909.03</v>
      </c>
      <c r="G206" s="9">
        <f t="shared" si="7"/>
        <v>1412819.0599999998</v>
      </c>
      <c r="H206" s="72">
        <v>933.55</v>
      </c>
      <c r="I206" s="72">
        <v>654.34</v>
      </c>
      <c r="J206" s="72">
        <v>279.22000000000003</v>
      </c>
      <c r="K206" s="8" t="s">
        <v>665</v>
      </c>
    </row>
    <row r="207" spans="1:11">
      <c r="A207" s="1">
        <v>204</v>
      </c>
      <c r="B207" s="13" t="s">
        <v>996</v>
      </c>
      <c r="C207" s="8" t="s">
        <v>33</v>
      </c>
      <c r="D207" s="12" t="s">
        <v>36</v>
      </c>
      <c r="E207" s="11">
        <v>1318999</v>
      </c>
      <c r="F207" s="10">
        <f t="shared" si="6"/>
        <v>1279429.03</v>
      </c>
      <c r="G207" s="9">
        <f t="shared" si="7"/>
        <v>1239859.0599999998</v>
      </c>
      <c r="H207" s="72">
        <v>722.8</v>
      </c>
      <c r="I207" s="72">
        <v>569.29999999999995</v>
      </c>
      <c r="J207" s="72">
        <v>153.49</v>
      </c>
      <c r="K207" s="8" t="s">
        <v>665</v>
      </c>
    </row>
    <row r="208" spans="1:11">
      <c r="A208" s="1">
        <v>205</v>
      </c>
      <c r="B208" s="13" t="s">
        <v>997</v>
      </c>
      <c r="C208" s="8" t="s">
        <v>33</v>
      </c>
      <c r="D208" s="12" t="s">
        <v>36</v>
      </c>
      <c r="E208" s="11">
        <v>1262999</v>
      </c>
      <c r="F208" s="10">
        <f t="shared" si="6"/>
        <v>1225109.03</v>
      </c>
      <c r="G208" s="9">
        <f t="shared" si="7"/>
        <v>1187219.0599999998</v>
      </c>
      <c r="H208" s="72">
        <v>710.63</v>
      </c>
      <c r="I208" s="72">
        <v>543.58000000000004</v>
      </c>
      <c r="J208" s="72">
        <v>167.06</v>
      </c>
      <c r="K208" s="8" t="s">
        <v>666</v>
      </c>
    </row>
    <row r="209" spans="1:11">
      <c r="A209" s="1">
        <v>206</v>
      </c>
      <c r="B209" s="13" t="s">
        <v>998</v>
      </c>
      <c r="C209" s="8" t="s">
        <v>33</v>
      </c>
      <c r="D209" s="12" t="s">
        <v>36</v>
      </c>
      <c r="E209" s="11">
        <v>1276999</v>
      </c>
      <c r="F209" s="10">
        <f t="shared" si="6"/>
        <v>1238689.03</v>
      </c>
      <c r="G209" s="9">
        <f t="shared" si="7"/>
        <v>1200379.0599999998</v>
      </c>
      <c r="H209" s="72">
        <v>713.54</v>
      </c>
      <c r="I209" s="72">
        <v>546.48</v>
      </c>
      <c r="J209" s="72">
        <v>167.06</v>
      </c>
      <c r="K209" s="8" t="s">
        <v>665</v>
      </c>
    </row>
    <row r="210" spans="1:11">
      <c r="A210" s="1">
        <v>207</v>
      </c>
      <c r="B210" s="13" t="s">
        <v>999</v>
      </c>
      <c r="C210" s="8" t="s">
        <v>34</v>
      </c>
      <c r="D210" s="12" t="s">
        <v>36</v>
      </c>
      <c r="E210" s="11">
        <v>1442999</v>
      </c>
      <c r="F210" s="10">
        <f t="shared" si="6"/>
        <v>1399709.03</v>
      </c>
      <c r="G210" s="9">
        <f t="shared" si="7"/>
        <v>1356419.0599999998</v>
      </c>
      <c r="H210" s="72">
        <v>817.63</v>
      </c>
      <c r="I210" s="72">
        <v>644.87</v>
      </c>
      <c r="J210" s="72">
        <v>172.76</v>
      </c>
      <c r="K210" s="8" t="s">
        <v>664</v>
      </c>
    </row>
    <row r="211" spans="1:11">
      <c r="A211" s="1">
        <v>208</v>
      </c>
      <c r="B211" s="13" t="s">
        <v>1000</v>
      </c>
      <c r="C211" s="8" t="s">
        <v>34</v>
      </c>
      <c r="D211" s="12" t="s">
        <v>36</v>
      </c>
      <c r="E211" s="11">
        <v>1330999</v>
      </c>
      <c r="F211" s="10">
        <f t="shared" si="6"/>
        <v>1291069.03</v>
      </c>
      <c r="G211" s="9">
        <f t="shared" si="7"/>
        <v>1251139.0599999998</v>
      </c>
      <c r="H211" s="72">
        <v>886.73</v>
      </c>
      <c r="I211" s="72">
        <v>529.04999999999995</v>
      </c>
      <c r="J211" s="72">
        <v>357.68</v>
      </c>
      <c r="K211" s="8" t="s">
        <v>665</v>
      </c>
    </row>
    <row r="212" spans="1:11">
      <c r="A212" s="1">
        <v>209</v>
      </c>
      <c r="B212" s="13" t="s">
        <v>1001</v>
      </c>
      <c r="C212" s="8" t="s">
        <v>34</v>
      </c>
      <c r="D212" s="12" t="s">
        <v>36</v>
      </c>
      <c r="E212" s="11">
        <v>1199999</v>
      </c>
      <c r="F212" s="10">
        <f t="shared" si="6"/>
        <v>1163999.03</v>
      </c>
      <c r="G212" s="9">
        <f t="shared" si="7"/>
        <v>1127999.0599999998</v>
      </c>
      <c r="H212" s="72">
        <v>524.85</v>
      </c>
      <c r="I212" s="72">
        <v>524.85</v>
      </c>
      <c r="J212" s="72">
        <v>0</v>
      </c>
      <c r="K212" s="8" t="s">
        <v>664</v>
      </c>
    </row>
    <row r="213" spans="1:11">
      <c r="A213" s="1">
        <v>210</v>
      </c>
      <c r="B213" s="13" t="s">
        <v>1002</v>
      </c>
      <c r="C213" s="8" t="s">
        <v>34</v>
      </c>
      <c r="D213" s="12" t="s">
        <v>36</v>
      </c>
      <c r="E213" s="11">
        <v>1216999</v>
      </c>
      <c r="F213" s="10">
        <f t="shared" si="6"/>
        <v>1180489.03</v>
      </c>
      <c r="G213" s="9">
        <f t="shared" si="7"/>
        <v>1143979.0599999998</v>
      </c>
      <c r="H213" s="72">
        <v>665.96</v>
      </c>
      <c r="I213" s="72">
        <v>525.71</v>
      </c>
      <c r="J213" s="72">
        <v>140.25</v>
      </c>
      <c r="K213" s="8" t="s">
        <v>664</v>
      </c>
    </row>
    <row r="214" spans="1:11">
      <c r="A214" s="1">
        <v>211</v>
      </c>
      <c r="B214" s="13" t="s">
        <v>1003</v>
      </c>
      <c r="C214" s="8" t="s">
        <v>34</v>
      </c>
      <c r="D214" s="12" t="s">
        <v>36</v>
      </c>
      <c r="E214" s="11">
        <v>1450999</v>
      </c>
      <c r="F214" s="10">
        <f t="shared" si="6"/>
        <v>1407469.03</v>
      </c>
      <c r="G214" s="9">
        <f t="shared" si="7"/>
        <v>1363939.0599999998</v>
      </c>
      <c r="H214" s="72">
        <v>884.15</v>
      </c>
      <c r="I214" s="72">
        <v>629.69000000000005</v>
      </c>
      <c r="J214" s="72">
        <v>254.46</v>
      </c>
      <c r="K214" s="8" t="s">
        <v>665</v>
      </c>
    </row>
    <row r="215" spans="1:11">
      <c r="A215" s="1">
        <v>212</v>
      </c>
      <c r="B215" s="13" t="s">
        <v>1004</v>
      </c>
      <c r="C215" s="8" t="s">
        <v>34</v>
      </c>
      <c r="D215" s="12" t="s">
        <v>24</v>
      </c>
      <c r="E215" s="11">
        <v>1894999</v>
      </c>
      <c r="F215" s="10">
        <f t="shared" si="6"/>
        <v>1838149.03</v>
      </c>
      <c r="G215" s="9">
        <f t="shared" si="7"/>
        <v>1781299.0599999998</v>
      </c>
      <c r="H215" s="72">
        <v>1055.08</v>
      </c>
      <c r="I215" s="72">
        <v>786.09</v>
      </c>
      <c r="J215" s="72">
        <v>268.99</v>
      </c>
      <c r="K215" s="8" t="s">
        <v>664</v>
      </c>
    </row>
    <row r="216" spans="1:11">
      <c r="A216" s="1">
        <v>213</v>
      </c>
      <c r="B216" s="13" t="s">
        <v>1005</v>
      </c>
      <c r="C216" s="8" t="s">
        <v>34</v>
      </c>
      <c r="D216" s="12" t="s">
        <v>36</v>
      </c>
      <c r="E216" s="11">
        <v>1354999</v>
      </c>
      <c r="F216" s="10">
        <f t="shared" si="6"/>
        <v>1314349.03</v>
      </c>
      <c r="G216" s="9">
        <f t="shared" si="7"/>
        <v>1273699.0599999998</v>
      </c>
      <c r="H216" s="72">
        <v>742.17</v>
      </c>
      <c r="I216" s="72">
        <v>591.91</v>
      </c>
      <c r="J216" s="72">
        <v>150.26</v>
      </c>
      <c r="K216" s="8" t="s">
        <v>665</v>
      </c>
    </row>
    <row r="217" spans="1:11">
      <c r="A217" s="1">
        <v>214</v>
      </c>
      <c r="B217" s="13" t="s">
        <v>4883</v>
      </c>
      <c r="C217" s="8" t="s">
        <v>34</v>
      </c>
      <c r="D217" s="12" t="s">
        <v>36</v>
      </c>
      <c r="E217" s="11">
        <v>1405999</v>
      </c>
      <c r="F217" s="10">
        <f t="shared" si="6"/>
        <v>1363819.03</v>
      </c>
      <c r="G217" s="9">
        <f t="shared" si="7"/>
        <v>1321639.0599999998</v>
      </c>
      <c r="H217" s="72">
        <v>776.72</v>
      </c>
      <c r="I217" s="72">
        <v>626.46</v>
      </c>
      <c r="J217" s="72">
        <v>150.26</v>
      </c>
      <c r="K217" s="8" t="s">
        <v>665</v>
      </c>
    </row>
    <row r="218" spans="1:11">
      <c r="A218" s="1">
        <v>215</v>
      </c>
      <c r="B218" s="13" t="s">
        <v>1006</v>
      </c>
      <c r="C218" s="8" t="s">
        <v>34</v>
      </c>
      <c r="D218" s="12" t="s">
        <v>24</v>
      </c>
      <c r="E218" s="11">
        <v>1960999</v>
      </c>
      <c r="F218" s="10">
        <f t="shared" si="6"/>
        <v>1902169.03</v>
      </c>
      <c r="G218" s="9">
        <f t="shared" si="7"/>
        <v>1843339.0599999998</v>
      </c>
      <c r="H218" s="72">
        <v>1089.6300000000001</v>
      </c>
      <c r="I218" s="72">
        <v>820.64</v>
      </c>
      <c r="J218" s="72">
        <v>268.99</v>
      </c>
      <c r="K218" s="8" t="s">
        <v>666</v>
      </c>
    </row>
    <row r="219" spans="1:11">
      <c r="A219" s="1">
        <v>216</v>
      </c>
      <c r="B219" s="13" t="s">
        <v>1007</v>
      </c>
      <c r="C219" s="8" t="s">
        <v>34</v>
      </c>
      <c r="D219" s="12" t="s">
        <v>36</v>
      </c>
      <c r="E219" s="11">
        <v>1495999</v>
      </c>
      <c r="F219" s="10">
        <f t="shared" si="6"/>
        <v>1451119.03</v>
      </c>
      <c r="G219" s="9">
        <f t="shared" si="7"/>
        <v>1406239.0599999998</v>
      </c>
      <c r="H219" s="72">
        <v>934.42</v>
      </c>
      <c r="I219" s="72">
        <v>654.34</v>
      </c>
      <c r="J219" s="72">
        <v>280.08</v>
      </c>
      <c r="K219" s="8" t="s">
        <v>666</v>
      </c>
    </row>
    <row r="220" spans="1:11">
      <c r="A220" s="1">
        <v>217</v>
      </c>
      <c r="B220" s="13" t="s">
        <v>1008</v>
      </c>
      <c r="C220" s="8" t="s">
        <v>34</v>
      </c>
      <c r="D220" s="12" t="s">
        <v>36</v>
      </c>
      <c r="E220" s="11">
        <v>1502999</v>
      </c>
      <c r="F220" s="10">
        <f t="shared" si="6"/>
        <v>1457909.03</v>
      </c>
      <c r="G220" s="9">
        <f t="shared" si="7"/>
        <v>1412819.0599999998</v>
      </c>
      <c r="H220" s="72">
        <v>933.55</v>
      </c>
      <c r="I220" s="72">
        <v>654.34</v>
      </c>
      <c r="J220" s="72">
        <v>279.22000000000003</v>
      </c>
      <c r="K220" s="8" t="s">
        <v>665</v>
      </c>
    </row>
    <row r="221" spans="1:11">
      <c r="A221" s="1">
        <v>218</v>
      </c>
      <c r="B221" s="13" t="s">
        <v>1009</v>
      </c>
      <c r="C221" s="8" t="s">
        <v>34</v>
      </c>
      <c r="D221" s="12" t="s">
        <v>36</v>
      </c>
      <c r="E221" s="11">
        <v>1318999</v>
      </c>
      <c r="F221" s="10">
        <f t="shared" si="6"/>
        <v>1279429.03</v>
      </c>
      <c r="G221" s="9">
        <f t="shared" si="7"/>
        <v>1239859.0599999998</v>
      </c>
      <c r="H221" s="72">
        <v>722.8</v>
      </c>
      <c r="I221" s="72">
        <v>569.29999999999995</v>
      </c>
      <c r="J221" s="72">
        <v>153.49</v>
      </c>
      <c r="K221" s="8" t="s">
        <v>665</v>
      </c>
    </row>
    <row r="222" spans="1:11">
      <c r="A222" s="1">
        <v>219</v>
      </c>
      <c r="B222" s="13" t="s">
        <v>1010</v>
      </c>
      <c r="C222" s="8" t="s">
        <v>34</v>
      </c>
      <c r="D222" s="12" t="s">
        <v>36</v>
      </c>
      <c r="E222" s="11">
        <v>1261999</v>
      </c>
      <c r="F222" s="10">
        <f t="shared" si="6"/>
        <v>1224139.03</v>
      </c>
      <c r="G222" s="9">
        <f t="shared" si="7"/>
        <v>1186279.0599999998</v>
      </c>
      <c r="H222" s="72">
        <v>710.63</v>
      </c>
      <c r="I222" s="72">
        <v>543.58000000000004</v>
      </c>
      <c r="J222" s="72">
        <v>167.06</v>
      </c>
      <c r="K222" s="8" t="s">
        <v>666</v>
      </c>
    </row>
    <row r="223" spans="1:11">
      <c r="A223" s="1">
        <v>220</v>
      </c>
      <c r="B223" s="13" t="s">
        <v>1011</v>
      </c>
      <c r="C223" s="8" t="s">
        <v>34</v>
      </c>
      <c r="D223" s="12" t="s">
        <v>36</v>
      </c>
      <c r="E223" s="11">
        <v>1275999</v>
      </c>
      <c r="F223" s="10">
        <f t="shared" si="6"/>
        <v>1237719.03</v>
      </c>
      <c r="G223" s="9">
        <f t="shared" si="7"/>
        <v>1199439.0599999998</v>
      </c>
      <c r="H223" s="72">
        <v>713.54</v>
      </c>
      <c r="I223" s="72">
        <v>546.48</v>
      </c>
      <c r="J223" s="72">
        <v>167.06</v>
      </c>
      <c r="K223" s="8" t="s">
        <v>665</v>
      </c>
    </row>
    <row r="224" spans="1:11">
      <c r="A224" s="1">
        <v>221</v>
      </c>
      <c r="B224" s="13" t="s">
        <v>430</v>
      </c>
      <c r="C224" s="8" t="s">
        <v>4461</v>
      </c>
      <c r="D224" s="12" t="s">
        <v>36</v>
      </c>
      <c r="E224" s="11">
        <v>1441999</v>
      </c>
      <c r="F224" s="10">
        <f t="shared" si="6"/>
        <v>1398739.03</v>
      </c>
      <c r="G224" s="9">
        <f t="shared" si="7"/>
        <v>1355479.0599999998</v>
      </c>
      <c r="H224" s="72">
        <v>817.63</v>
      </c>
      <c r="I224" s="72">
        <v>644.87</v>
      </c>
      <c r="J224" s="72">
        <v>172.76</v>
      </c>
      <c r="K224" s="8" t="s">
        <v>664</v>
      </c>
    </row>
    <row r="225" spans="1:11">
      <c r="A225" s="1">
        <v>222</v>
      </c>
      <c r="B225" s="13" t="s">
        <v>431</v>
      </c>
      <c r="C225" s="8" t="s">
        <v>4461</v>
      </c>
      <c r="D225" s="12" t="s">
        <v>36</v>
      </c>
      <c r="E225" s="11">
        <v>1199999</v>
      </c>
      <c r="F225" s="10">
        <f t="shared" si="6"/>
        <v>1163999.03</v>
      </c>
      <c r="G225" s="9">
        <f t="shared" si="7"/>
        <v>1127999.0599999998</v>
      </c>
      <c r="H225" s="72">
        <v>524.85</v>
      </c>
      <c r="I225" s="72">
        <v>524.85</v>
      </c>
      <c r="J225" s="72">
        <v>0</v>
      </c>
      <c r="K225" s="8" t="s">
        <v>664</v>
      </c>
    </row>
    <row r="226" spans="1:11">
      <c r="A226" s="1">
        <v>223</v>
      </c>
      <c r="B226" s="13" t="s">
        <v>432</v>
      </c>
      <c r="C226" s="8" t="s">
        <v>4461</v>
      </c>
      <c r="D226" s="12" t="s">
        <v>36</v>
      </c>
      <c r="E226" s="11">
        <v>1450999</v>
      </c>
      <c r="F226" s="10">
        <f t="shared" si="6"/>
        <v>1407469.03</v>
      </c>
      <c r="G226" s="9">
        <f t="shared" si="7"/>
        <v>1363939.0599999998</v>
      </c>
      <c r="H226" s="72">
        <v>884.15</v>
      </c>
      <c r="I226" s="72">
        <v>629.69000000000005</v>
      </c>
      <c r="J226" s="72">
        <v>254.46</v>
      </c>
      <c r="K226" s="8" t="s">
        <v>665</v>
      </c>
    </row>
    <row r="227" spans="1:11">
      <c r="A227" s="1">
        <v>224</v>
      </c>
      <c r="B227" s="13" t="s">
        <v>433</v>
      </c>
      <c r="C227" s="8" t="s">
        <v>4461</v>
      </c>
      <c r="D227" s="12" t="s">
        <v>24</v>
      </c>
      <c r="E227" s="11">
        <v>1893999</v>
      </c>
      <c r="F227" s="10">
        <f t="shared" si="6"/>
        <v>1837179.03</v>
      </c>
      <c r="G227" s="9">
        <f t="shared" si="7"/>
        <v>1780359.0599999998</v>
      </c>
      <c r="H227" s="72">
        <v>1055.08</v>
      </c>
      <c r="I227" s="72">
        <v>786.09</v>
      </c>
      <c r="J227" s="72">
        <v>268.99</v>
      </c>
      <c r="K227" s="8" t="s">
        <v>664</v>
      </c>
    </row>
    <row r="228" spans="1:11">
      <c r="A228" s="1">
        <v>225</v>
      </c>
      <c r="B228" s="13" t="s">
        <v>434</v>
      </c>
      <c r="C228" s="8" t="s">
        <v>4461</v>
      </c>
      <c r="D228" s="12" t="s">
        <v>36</v>
      </c>
      <c r="E228" s="11">
        <v>1354999</v>
      </c>
      <c r="F228" s="10">
        <f t="shared" si="6"/>
        <v>1314349.03</v>
      </c>
      <c r="G228" s="9">
        <f t="shared" si="7"/>
        <v>1273699.0599999998</v>
      </c>
      <c r="H228" s="72">
        <v>742.17</v>
      </c>
      <c r="I228" s="72">
        <v>591.91</v>
      </c>
      <c r="J228" s="72">
        <v>150.26</v>
      </c>
      <c r="K228" s="8" t="s">
        <v>665</v>
      </c>
    </row>
    <row r="229" spans="1:11">
      <c r="A229" s="1">
        <v>226</v>
      </c>
      <c r="B229" s="13" t="s">
        <v>435</v>
      </c>
      <c r="C229" s="8" t="s">
        <v>4461</v>
      </c>
      <c r="D229" s="12" t="s">
        <v>36</v>
      </c>
      <c r="E229" s="11">
        <v>1378999</v>
      </c>
      <c r="F229" s="10">
        <f t="shared" si="6"/>
        <v>1337629.03</v>
      </c>
      <c r="G229" s="9">
        <f t="shared" si="7"/>
        <v>1296259.0599999998</v>
      </c>
      <c r="H229" s="72">
        <v>782.11</v>
      </c>
      <c r="I229" s="72">
        <v>599.98</v>
      </c>
      <c r="J229" s="72">
        <v>182.13</v>
      </c>
      <c r="K229" s="8" t="s">
        <v>666</v>
      </c>
    </row>
    <row r="230" spans="1:11">
      <c r="A230" s="1">
        <v>227</v>
      </c>
      <c r="B230" s="13" t="s">
        <v>436</v>
      </c>
      <c r="C230" s="8" t="s">
        <v>4461</v>
      </c>
      <c r="D230" s="12" t="s">
        <v>36</v>
      </c>
      <c r="E230" s="11">
        <v>1405999</v>
      </c>
      <c r="F230" s="10">
        <f t="shared" si="6"/>
        <v>1363819.03</v>
      </c>
      <c r="G230" s="9">
        <f t="shared" si="7"/>
        <v>1321639.0599999998</v>
      </c>
      <c r="H230" s="72">
        <v>776.72</v>
      </c>
      <c r="I230" s="72">
        <v>626.46</v>
      </c>
      <c r="J230" s="72">
        <v>150.26</v>
      </c>
      <c r="K230" s="8" t="s">
        <v>665</v>
      </c>
    </row>
    <row r="231" spans="1:11">
      <c r="A231" s="1">
        <v>228</v>
      </c>
      <c r="B231" s="13" t="s">
        <v>437</v>
      </c>
      <c r="C231" s="8" t="s">
        <v>4461</v>
      </c>
      <c r="D231" s="12" t="s">
        <v>24</v>
      </c>
      <c r="E231" s="11">
        <v>1959999</v>
      </c>
      <c r="F231" s="10">
        <f t="shared" si="6"/>
        <v>1901199.03</v>
      </c>
      <c r="G231" s="9">
        <f t="shared" si="7"/>
        <v>1842399.0599999998</v>
      </c>
      <c r="H231" s="72">
        <v>1089.6300000000001</v>
      </c>
      <c r="I231" s="72">
        <v>820.64</v>
      </c>
      <c r="J231" s="72">
        <v>268.99</v>
      </c>
      <c r="K231" s="8" t="s">
        <v>666</v>
      </c>
    </row>
    <row r="232" spans="1:11">
      <c r="A232" s="1">
        <v>229</v>
      </c>
      <c r="B232" s="13" t="s">
        <v>438</v>
      </c>
      <c r="C232" s="8" t="s">
        <v>4461</v>
      </c>
      <c r="D232" s="12" t="s">
        <v>36</v>
      </c>
      <c r="E232" s="11">
        <v>1494999</v>
      </c>
      <c r="F232" s="10">
        <f t="shared" si="6"/>
        <v>1450149.03</v>
      </c>
      <c r="G232" s="9">
        <f t="shared" si="7"/>
        <v>1405299.0599999998</v>
      </c>
      <c r="H232" s="72">
        <v>934.42</v>
      </c>
      <c r="I232" s="72">
        <v>654.34</v>
      </c>
      <c r="J232" s="72">
        <v>280.08</v>
      </c>
      <c r="K232" s="8" t="s">
        <v>666</v>
      </c>
    </row>
    <row r="233" spans="1:11">
      <c r="A233" s="1">
        <v>230</v>
      </c>
      <c r="B233" s="13" t="s">
        <v>439</v>
      </c>
      <c r="C233" s="8" t="s">
        <v>4461</v>
      </c>
      <c r="D233" s="12" t="s">
        <v>36</v>
      </c>
      <c r="E233" s="11">
        <v>1501999</v>
      </c>
      <c r="F233" s="10">
        <f t="shared" si="6"/>
        <v>1456939.03</v>
      </c>
      <c r="G233" s="9">
        <f t="shared" si="7"/>
        <v>1411879.0599999998</v>
      </c>
      <c r="H233" s="72">
        <v>933.55</v>
      </c>
      <c r="I233" s="72">
        <v>654.34</v>
      </c>
      <c r="J233" s="72">
        <v>279.22000000000003</v>
      </c>
      <c r="K233" s="8" t="s">
        <v>665</v>
      </c>
    </row>
    <row r="234" spans="1:11">
      <c r="A234" s="1">
        <v>231</v>
      </c>
      <c r="B234" s="13" t="s">
        <v>440</v>
      </c>
      <c r="C234" s="8" t="s">
        <v>4461</v>
      </c>
      <c r="D234" s="12" t="s">
        <v>36</v>
      </c>
      <c r="E234" s="11">
        <v>1261999</v>
      </c>
      <c r="F234" s="10">
        <f t="shared" si="6"/>
        <v>1224139.03</v>
      </c>
      <c r="G234" s="9">
        <f t="shared" si="7"/>
        <v>1186279.0599999998</v>
      </c>
      <c r="H234" s="72">
        <v>710.63</v>
      </c>
      <c r="I234" s="72">
        <v>543.58000000000004</v>
      </c>
      <c r="J234" s="72">
        <v>167.06</v>
      </c>
      <c r="K234" s="8" t="s">
        <v>666</v>
      </c>
    </row>
    <row r="235" spans="1:11">
      <c r="A235" s="1">
        <v>232</v>
      </c>
      <c r="B235" s="13" t="s">
        <v>1012</v>
      </c>
      <c r="C235" s="8" t="s">
        <v>4461</v>
      </c>
      <c r="D235" s="12" t="s">
        <v>36</v>
      </c>
      <c r="E235" s="11">
        <v>1275999</v>
      </c>
      <c r="F235" s="10">
        <f t="shared" si="6"/>
        <v>1237719.03</v>
      </c>
      <c r="G235" s="9">
        <f t="shared" si="7"/>
        <v>1199439.0599999998</v>
      </c>
      <c r="H235" s="72">
        <v>713.54</v>
      </c>
      <c r="I235" s="72">
        <v>546.48</v>
      </c>
      <c r="J235" s="72">
        <v>167.06</v>
      </c>
      <c r="K235" s="8" t="s">
        <v>665</v>
      </c>
    </row>
    <row r="236" spans="1:11">
      <c r="A236" s="1">
        <v>233</v>
      </c>
      <c r="B236" s="13" t="s">
        <v>4884</v>
      </c>
      <c r="C236" s="8" t="s">
        <v>4460</v>
      </c>
      <c r="D236" s="12" t="s">
        <v>36</v>
      </c>
      <c r="E236" s="11">
        <v>1472999</v>
      </c>
      <c r="F236" s="10">
        <f t="shared" si="6"/>
        <v>1428809.03</v>
      </c>
      <c r="G236" s="9">
        <f t="shared" si="7"/>
        <v>1384619.0599999998</v>
      </c>
      <c r="H236" s="72">
        <v>832.27</v>
      </c>
      <c r="I236" s="72">
        <v>659.5</v>
      </c>
      <c r="J236" s="72">
        <v>172.76</v>
      </c>
      <c r="K236" s="8" t="s">
        <v>665</v>
      </c>
    </row>
    <row r="237" spans="1:11">
      <c r="A237" s="1">
        <v>234</v>
      </c>
      <c r="B237" s="13" t="s">
        <v>706</v>
      </c>
      <c r="C237" s="8" t="s">
        <v>4460</v>
      </c>
      <c r="D237" s="12" t="s">
        <v>36</v>
      </c>
      <c r="E237" s="11">
        <v>1329999</v>
      </c>
      <c r="F237" s="10">
        <f t="shared" si="6"/>
        <v>1290099.03</v>
      </c>
      <c r="G237" s="9">
        <f t="shared" si="7"/>
        <v>1250199.0599999998</v>
      </c>
      <c r="H237" s="72">
        <v>886.73</v>
      </c>
      <c r="I237" s="72">
        <v>529.04999999999995</v>
      </c>
      <c r="J237" s="72">
        <v>357.68</v>
      </c>
      <c r="K237" s="8" t="s">
        <v>665</v>
      </c>
    </row>
    <row r="238" spans="1:11">
      <c r="A238" s="1">
        <v>235</v>
      </c>
      <c r="B238" s="13" t="s">
        <v>707</v>
      </c>
      <c r="C238" s="8" t="s">
        <v>4460</v>
      </c>
      <c r="D238" s="12" t="s">
        <v>36</v>
      </c>
      <c r="E238" s="11">
        <v>1199999</v>
      </c>
      <c r="F238" s="10">
        <f t="shared" si="6"/>
        <v>1163999.03</v>
      </c>
      <c r="G238" s="9">
        <f t="shared" si="7"/>
        <v>1127999.0599999998</v>
      </c>
      <c r="H238" s="72">
        <v>524.85</v>
      </c>
      <c r="I238" s="72">
        <v>524.85</v>
      </c>
      <c r="J238" s="72">
        <v>0</v>
      </c>
      <c r="K238" s="8" t="s">
        <v>664</v>
      </c>
    </row>
    <row r="239" spans="1:11">
      <c r="A239" s="1">
        <v>236</v>
      </c>
      <c r="B239" s="13" t="s">
        <v>1013</v>
      </c>
      <c r="C239" s="8" t="s">
        <v>4460</v>
      </c>
      <c r="D239" s="12" t="s">
        <v>36</v>
      </c>
      <c r="E239" s="11">
        <v>1214999</v>
      </c>
      <c r="F239" s="10">
        <f t="shared" ref="F239:F301" si="8">E239*0.97</f>
        <v>1178549.03</v>
      </c>
      <c r="G239" s="9">
        <f t="shared" ref="G239:G301" si="9">E239*0.94</f>
        <v>1142099.0599999998</v>
      </c>
      <c r="H239" s="72">
        <v>665.96</v>
      </c>
      <c r="I239" s="72">
        <v>525.71</v>
      </c>
      <c r="J239" s="72">
        <v>140.25</v>
      </c>
      <c r="K239" s="8" t="s">
        <v>664</v>
      </c>
    </row>
    <row r="240" spans="1:11">
      <c r="A240" s="1">
        <v>237</v>
      </c>
      <c r="B240" s="13" t="s">
        <v>708</v>
      </c>
      <c r="C240" s="8" t="s">
        <v>4460</v>
      </c>
      <c r="D240" s="12" t="s">
        <v>36</v>
      </c>
      <c r="E240" s="11">
        <v>1449999</v>
      </c>
      <c r="F240" s="10">
        <f t="shared" si="8"/>
        <v>1406499.03</v>
      </c>
      <c r="G240" s="9">
        <f t="shared" si="9"/>
        <v>1362999.0599999998</v>
      </c>
      <c r="H240" s="72">
        <v>884.15</v>
      </c>
      <c r="I240" s="72">
        <v>629.69000000000005</v>
      </c>
      <c r="J240" s="72">
        <v>254.46</v>
      </c>
      <c r="K240" s="8" t="s">
        <v>665</v>
      </c>
    </row>
    <row r="241" spans="1:11">
      <c r="A241" s="1">
        <v>238</v>
      </c>
      <c r="B241" s="13" t="s">
        <v>4326</v>
      </c>
      <c r="C241" s="8" t="s">
        <v>4460</v>
      </c>
      <c r="D241" s="12" t="s">
        <v>24</v>
      </c>
      <c r="E241" s="11">
        <v>1892999</v>
      </c>
      <c r="F241" s="10">
        <f t="shared" si="8"/>
        <v>1836209.03</v>
      </c>
      <c r="G241" s="9">
        <f t="shared" si="9"/>
        <v>1779419.0599999998</v>
      </c>
      <c r="H241" s="72">
        <v>1055.08</v>
      </c>
      <c r="I241" s="72">
        <v>786.09</v>
      </c>
      <c r="J241" s="72">
        <v>268.99</v>
      </c>
      <c r="K241" s="8" t="s">
        <v>664</v>
      </c>
    </row>
    <row r="242" spans="1:11">
      <c r="A242" s="1">
        <v>239</v>
      </c>
      <c r="B242" s="13" t="s">
        <v>709</v>
      </c>
      <c r="C242" s="8" t="s">
        <v>4460</v>
      </c>
      <c r="D242" s="12" t="s">
        <v>36</v>
      </c>
      <c r="E242" s="11">
        <v>1354999</v>
      </c>
      <c r="F242" s="10">
        <f t="shared" si="8"/>
        <v>1314349.03</v>
      </c>
      <c r="G242" s="9">
        <f t="shared" si="9"/>
        <v>1273699.0599999998</v>
      </c>
      <c r="H242" s="72">
        <v>742.17</v>
      </c>
      <c r="I242" s="72">
        <v>591.91</v>
      </c>
      <c r="J242" s="72">
        <v>150.26</v>
      </c>
      <c r="K242" s="8" t="s">
        <v>665</v>
      </c>
    </row>
    <row r="243" spans="1:11">
      <c r="A243" s="1">
        <v>240</v>
      </c>
      <c r="B243" s="13" t="s">
        <v>710</v>
      </c>
      <c r="C243" s="8" t="s">
        <v>4460</v>
      </c>
      <c r="D243" s="12" t="s">
        <v>36</v>
      </c>
      <c r="E243" s="11">
        <v>1377999</v>
      </c>
      <c r="F243" s="10">
        <f t="shared" si="8"/>
        <v>1336659.03</v>
      </c>
      <c r="G243" s="9">
        <f t="shared" si="9"/>
        <v>1295319.0599999998</v>
      </c>
      <c r="H243" s="72">
        <v>782.11</v>
      </c>
      <c r="I243" s="72">
        <v>599.98</v>
      </c>
      <c r="J243" s="72">
        <v>182.13</v>
      </c>
      <c r="K243" s="8" t="s">
        <v>666</v>
      </c>
    </row>
    <row r="244" spans="1:11">
      <c r="A244" s="1">
        <v>241</v>
      </c>
      <c r="B244" s="13" t="s">
        <v>4327</v>
      </c>
      <c r="C244" s="8" t="s">
        <v>4460</v>
      </c>
      <c r="D244" s="12" t="s">
        <v>24</v>
      </c>
      <c r="E244" s="11">
        <v>1958999</v>
      </c>
      <c r="F244" s="10">
        <f t="shared" si="8"/>
        <v>1900229.03</v>
      </c>
      <c r="G244" s="9">
        <f t="shared" si="9"/>
        <v>1841459.0599999998</v>
      </c>
      <c r="H244" s="72">
        <v>1089.6300000000001</v>
      </c>
      <c r="I244" s="72">
        <v>820.64</v>
      </c>
      <c r="J244" s="72">
        <v>268.99</v>
      </c>
      <c r="K244" s="8" t="s">
        <v>666</v>
      </c>
    </row>
    <row r="245" spans="1:11">
      <c r="A245" s="1">
        <v>242</v>
      </c>
      <c r="B245" s="13" t="s">
        <v>711</v>
      </c>
      <c r="C245" s="8" t="s">
        <v>4460</v>
      </c>
      <c r="D245" s="12" t="s">
        <v>36</v>
      </c>
      <c r="E245" s="11">
        <v>1494999</v>
      </c>
      <c r="F245" s="10">
        <f t="shared" si="8"/>
        <v>1450149.03</v>
      </c>
      <c r="G245" s="9">
        <f t="shared" si="9"/>
        <v>1405299.0599999998</v>
      </c>
      <c r="H245" s="72">
        <v>934.42</v>
      </c>
      <c r="I245" s="72">
        <v>654.34</v>
      </c>
      <c r="J245" s="72">
        <v>280.08</v>
      </c>
      <c r="K245" s="8" t="s">
        <v>666</v>
      </c>
    </row>
    <row r="246" spans="1:11">
      <c r="A246" s="1">
        <v>243</v>
      </c>
      <c r="B246" s="13" t="s">
        <v>712</v>
      </c>
      <c r="C246" s="8" t="s">
        <v>4460</v>
      </c>
      <c r="D246" s="12" t="s">
        <v>36</v>
      </c>
      <c r="E246" s="11">
        <v>1500999</v>
      </c>
      <c r="F246" s="10">
        <f t="shared" si="8"/>
        <v>1455969.03</v>
      </c>
      <c r="G246" s="9">
        <f t="shared" si="9"/>
        <v>1410939.0599999998</v>
      </c>
      <c r="H246" s="72">
        <v>933.55</v>
      </c>
      <c r="I246" s="72">
        <v>654.34</v>
      </c>
      <c r="J246" s="72">
        <v>279.22000000000003</v>
      </c>
      <c r="K246" s="8" t="s">
        <v>665</v>
      </c>
    </row>
    <row r="247" spans="1:11">
      <c r="A247" s="1">
        <v>244</v>
      </c>
      <c r="B247" s="13" t="s">
        <v>713</v>
      </c>
      <c r="C247" s="8" t="s">
        <v>4460</v>
      </c>
      <c r="D247" s="12" t="s">
        <v>36</v>
      </c>
      <c r="E247" s="11">
        <v>1260999</v>
      </c>
      <c r="F247" s="10">
        <f t="shared" si="8"/>
        <v>1223169.03</v>
      </c>
      <c r="G247" s="9">
        <f t="shared" si="9"/>
        <v>1185339.0599999998</v>
      </c>
      <c r="H247" s="72">
        <v>710.63</v>
      </c>
      <c r="I247" s="72">
        <v>543.58000000000004</v>
      </c>
      <c r="J247" s="72">
        <v>167.06</v>
      </c>
      <c r="K247" s="8" t="s">
        <v>666</v>
      </c>
    </row>
    <row r="248" spans="1:11">
      <c r="A248" s="1">
        <v>245</v>
      </c>
      <c r="B248" s="13" t="s">
        <v>441</v>
      </c>
      <c r="C248" s="8" t="s">
        <v>11</v>
      </c>
      <c r="D248" s="12" t="s">
        <v>36</v>
      </c>
      <c r="E248" s="11">
        <v>1328999</v>
      </c>
      <c r="F248" s="10">
        <f t="shared" si="8"/>
        <v>1289129.03</v>
      </c>
      <c r="G248" s="9">
        <f t="shared" si="9"/>
        <v>1249259.0599999998</v>
      </c>
      <c r="H248" s="72">
        <v>886.73</v>
      </c>
      <c r="I248" s="72">
        <v>529.04999999999995</v>
      </c>
      <c r="J248" s="72">
        <v>357.68</v>
      </c>
      <c r="K248" s="8" t="s">
        <v>665</v>
      </c>
    </row>
    <row r="249" spans="1:11">
      <c r="A249" s="1">
        <v>246</v>
      </c>
      <c r="B249" s="13" t="s">
        <v>442</v>
      </c>
      <c r="C249" s="8" t="s">
        <v>11</v>
      </c>
      <c r="D249" s="12" t="s">
        <v>36</v>
      </c>
      <c r="E249" s="11">
        <v>1173326.3600000001</v>
      </c>
      <c r="F249" s="10">
        <f t="shared" si="8"/>
        <v>1138126.5692</v>
      </c>
      <c r="G249" s="9">
        <f t="shared" si="9"/>
        <v>1102926.7784</v>
      </c>
      <c r="H249" s="72">
        <v>715.48</v>
      </c>
      <c r="I249" s="72">
        <v>538.41</v>
      </c>
      <c r="J249" s="72">
        <v>177.07</v>
      </c>
      <c r="K249" s="8" t="s">
        <v>664</v>
      </c>
    </row>
    <row r="250" spans="1:11">
      <c r="A250" s="1">
        <v>247</v>
      </c>
      <c r="B250" s="13" t="s">
        <v>443</v>
      </c>
      <c r="C250" s="8" t="s">
        <v>11</v>
      </c>
      <c r="D250" s="12" t="s">
        <v>36</v>
      </c>
      <c r="E250" s="11">
        <v>1448999</v>
      </c>
      <c r="F250" s="10">
        <f t="shared" si="8"/>
        <v>1405529.03</v>
      </c>
      <c r="G250" s="9">
        <f t="shared" si="9"/>
        <v>1362059.0599999998</v>
      </c>
      <c r="H250" s="72">
        <v>884.15</v>
      </c>
      <c r="I250" s="72">
        <v>629.69000000000005</v>
      </c>
      <c r="J250" s="72">
        <v>254.46</v>
      </c>
      <c r="K250" s="8" t="s">
        <v>665</v>
      </c>
    </row>
    <row r="251" spans="1:11">
      <c r="A251" s="1">
        <v>248</v>
      </c>
      <c r="B251" s="13" t="s">
        <v>4328</v>
      </c>
      <c r="C251" s="8" t="s">
        <v>11</v>
      </c>
      <c r="D251" s="12" t="s">
        <v>24</v>
      </c>
      <c r="E251" s="11">
        <v>1891999</v>
      </c>
      <c r="F251" s="10">
        <f t="shared" si="8"/>
        <v>1835239.03</v>
      </c>
      <c r="G251" s="9">
        <f t="shared" si="9"/>
        <v>1778479.0599999998</v>
      </c>
      <c r="H251" s="72">
        <v>1055.08</v>
      </c>
      <c r="I251" s="72">
        <v>786.09</v>
      </c>
      <c r="J251" s="72">
        <v>268.99</v>
      </c>
      <c r="K251" s="8" t="s">
        <v>664</v>
      </c>
    </row>
    <row r="252" spans="1:11">
      <c r="A252" s="1">
        <v>249</v>
      </c>
      <c r="B252" s="13" t="s">
        <v>444</v>
      </c>
      <c r="C252" s="8" t="s">
        <v>11</v>
      </c>
      <c r="D252" s="12" t="s">
        <v>36</v>
      </c>
      <c r="E252" s="11">
        <v>1353999</v>
      </c>
      <c r="F252" s="10">
        <f t="shared" si="8"/>
        <v>1313379.03</v>
      </c>
      <c r="G252" s="9">
        <f t="shared" si="9"/>
        <v>1272759.0599999998</v>
      </c>
      <c r="H252" s="72">
        <v>742.17</v>
      </c>
      <c r="I252" s="72">
        <v>591.91</v>
      </c>
      <c r="J252" s="72">
        <v>150.26</v>
      </c>
      <c r="K252" s="8" t="s">
        <v>665</v>
      </c>
    </row>
    <row r="253" spans="1:11">
      <c r="A253" s="1">
        <v>250</v>
      </c>
      <c r="B253" s="13" t="s">
        <v>445</v>
      </c>
      <c r="C253" s="8" t="s">
        <v>11</v>
      </c>
      <c r="D253" s="12" t="s">
        <v>36</v>
      </c>
      <c r="E253" s="11">
        <v>1383999</v>
      </c>
      <c r="F253" s="10">
        <f t="shared" si="8"/>
        <v>1342479.03</v>
      </c>
      <c r="G253" s="9">
        <f t="shared" si="9"/>
        <v>1300959.0599999998</v>
      </c>
      <c r="H253" s="72">
        <v>782.11</v>
      </c>
      <c r="I253" s="72">
        <v>599.98</v>
      </c>
      <c r="J253" s="72">
        <v>182.13</v>
      </c>
      <c r="K253" s="8" t="s">
        <v>664</v>
      </c>
    </row>
    <row r="254" spans="1:11">
      <c r="A254" s="1">
        <v>251</v>
      </c>
      <c r="B254" s="13" t="s">
        <v>446</v>
      </c>
      <c r="C254" s="8" t="s">
        <v>11</v>
      </c>
      <c r="D254" s="12" t="s">
        <v>36</v>
      </c>
      <c r="E254" s="11">
        <v>1376999</v>
      </c>
      <c r="F254" s="10">
        <f t="shared" si="8"/>
        <v>1335689.03</v>
      </c>
      <c r="G254" s="9">
        <f t="shared" si="9"/>
        <v>1294379.0599999998</v>
      </c>
      <c r="H254" s="72">
        <v>782.11</v>
      </c>
      <c r="I254" s="72">
        <v>599.98</v>
      </c>
      <c r="J254" s="72">
        <v>182.13</v>
      </c>
      <c r="K254" s="8" t="s">
        <v>666</v>
      </c>
    </row>
    <row r="255" spans="1:11">
      <c r="A255" s="1">
        <v>252</v>
      </c>
      <c r="B255" s="13" t="s">
        <v>447</v>
      </c>
      <c r="C255" s="8" t="s">
        <v>11</v>
      </c>
      <c r="D255" s="12" t="s">
        <v>24</v>
      </c>
      <c r="E255" s="11">
        <v>1957999</v>
      </c>
      <c r="F255" s="10">
        <f t="shared" si="8"/>
        <v>1899259.03</v>
      </c>
      <c r="G255" s="9">
        <f t="shared" si="9"/>
        <v>1840519.0599999998</v>
      </c>
      <c r="H255" s="72">
        <v>1089.6300000000001</v>
      </c>
      <c r="I255" s="72">
        <v>820.64</v>
      </c>
      <c r="J255" s="72">
        <v>268.99</v>
      </c>
      <c r="K255" s="8" t="s">
        <v>666</v>
      </c>
    </row>
    <row r="256" spans="1:11">
      <c r="A256" s="1">
        <v>253</v>
      </c>
      <c r="B256" s="13" t="s">
        <v>448</v>
      </c>
      <c r="C256" s="8" t="s">
        <v>11</v>
      </c>
      <c r="D256" s="12" t="s">
        <v>36</v>
      </c>
      <c r="E256" s="11">
        <v>1494999</v>
      </c>
      <c r="F256" s="10">
        <f t="shared" si="8"/>
        <v>1450149.03</v>
      </c>
      <c r="G256" s="9">
        <f t="shared" si="9"/>
        <v>1405299.0599999998</v>
      </c>
      <c r="H256" s="72">
        <v>934.42</v>
      </c>
      <c r="I256" s="72">
        <v>654.34</v>
      </c>
      <c r="J256" s="72">
        <v>280.08</v>
      </c>
      <c r="K256" s="8" t="s">
        <v>666</v>
      </c>
    </row>
    <row r="257" spans="1:11">
      <c r="A257" s="1">
        <v>254</v>
      </c>
      <c r="B257" s="13" t="s">
        <v>449</v>
      </c>
      <c r="C257" s="8" t="s">
        <v>11</v>
      </c>
      <c r="D257" s="12" t="s">
        <v>36</v>
      </c>
      <c r="E257" s="11">
        <v>1499999</v>
      </c>
      <c r="F257" s="10">
        <f t="shared" si="8"/>
        <v>1454999.03</v>
      </c>
      <c r="G257" s="9">
        <f t="shared" si="9"/>
        <v>1409999.0599999998</v>
      </c>
      <c r="H257" s="72">
        <v>933.55</v>
      </c>
      <c r="I257" s="72">
        <v>654.34</v>
      </c>
      <c r="J257" s="72">
        <v>279.22000000000003</v>
      </c>
      <c r="K257" s="8" t="s">
        <v>665</v>
      </c>
    </row>
    <row r="258" spans="1:11">
      <c r="A258" s="1">
        <v>255</v>
      </c>
      <c r="B258" s="13" t="s">
        <v>1014</v>
      </c>
      <c r="C258" s="8" t="s">
        <v>11</v>
      </c>
      <c r="D258" s="12" t="s">
        <v>36</v>
      </c>
      <c r="E258" s="11">
        <v>1316999</v>
      </c>
      <c r="F258" s="10">
        <f t="shared" si="8"/>
        <v>1277489.03</v>
      </c>
      <c r="G258" s="9">
        <f t="shared" si="9"/>
        <v>1237979.0599999998</v>
      </c>
      <c r="H258" s="72">
        <v>722.8</v>
      </c>
      <c r="I258" s="72">
        <v>569.29999999999995</v>
      </c>
      <c r="J258" s="72">
        <v>153.49</v>
      </c>
      <c r="K258" s="8" t="s">
        <v>665</v>
      </c>
    </row>
    <row r="259" spans="1:11">
      <c r="A259" s="1">
        <v>256</v>
      </c>
      <c r="B259" s="13" t="s">
        <v>450</v>
      </c>
      <c r="C259" s="8" t="s">
        <v>11</v>
      </c>
      <c r="D259" s="12" t="s">
        <v>36</v>
      </c>
      <c r="E259" s="11">
        <v>1524999</v>
      </c>
      <c r="F259" s="10">
        <f t="shared" si="8"/>
        <v>1479249.03</v>
      </c>
      <c r="G259" s="9">
        <f t="shared" si="9"/>
        <v>1433499.0599999998</v>
      </c>
      <c r="H259" s="72">
        <v>1638.7</v>
      </c>
      <c r="I259" s="72">
        <v>543.58000000000004</v>
      </c>
      <c r="J259" s="72">
        <v>1095.1199999999999</v>
      </c>
      <c r="K259" s="8" t="s">
        <v>666</v>
      </c>
    </row>
    <row r="260" spans="1:11">
      <c r="A260" s="1">
        <v>257</v>
      </c>
      <c r="B260" s="13" t="s">
        <v>1015</v>
      </c>
      <c r="C260" s="8" t="s">
        <v>3</v>
      </c>
      <c r="D260" s="12" t="s">
        <v>36</v>
      </c>
      <c r="E260" s="11">
        <v>1524999</v>
      </c>
      <c r="F260" s="10">
        <f t="shared" si="8"/>
        <v>1479249.03</v>
      </c>
      <c r="G260" s="9">
        <f t="shared" si="9"/>
        <v>1433499.0599999998</v>
      </c>
      <c r="H260" s="72">
        <v>1262.3900000000001</v>
      </c>
      <c r="I260" s="72">
        <v>659.5</v>
      </c>
      <c r="J260" s="72">
        <v>602.89</v>
      </c>
      <c r="K260" s="8" t="s">
        <v>665</v>
      </c>
    </row>
    <row r="261" spans="1:11">
      <c r="A261" s="1">
        <v>258</v>
      </c>
      <c r="B261" s="13" t="s">
        <v>451</v>
      </c>
      <c r="C261" s="8" t="s">
        <v>3</v>
      </c>
      <c r="D261" s="12" t="s">
        <v>36</v>
      </c>
      <c r="E261" s="11">
        <v>1524999</v>
      </c>
      <c r="F261" s="10">
        <f t="shared" si="8"/>
        <v>1479249.03</v>
      </c>
      <c r="G261" s="9">
        <f t="shared" si="9"/>
        <v>1433499.0599999998</v>
      </c>
      <c r="H261" s="72">
        <v>1252.17</v>
      </c>
      <c r="I261" s="72">
        <v>644.87</v>
      </c>
      <c r="J261" s="72">
        <v>607.29999999999995</v>
      </c>
      <c r="K261" s="8" t="s">
        <v>664</v>
      </c>
    </row>
    <row r="262" spans="1:11">
      <c r="A262" s="1">
        <v>259</v>
      </c>
      <c r="B262" s="13" t="s">
        <v>714</v>
      </c>
      <c r="C262" s="8" t="s">
        <v>12</v>
      </c>
      <c r="D262" s="12" t="s">
        <v>24</v>
      </c>
      <c r="E262" s="11">
        <v>2125999</v>
      </c>
      <c r="F262" s="10">
        <f t="shared" si="8"/>
        <v>2062219.03</v>
      </c>
      <c r="G262" s="9">
        <f t="shared" si="9"/>
        <v>1998439.0599999998</v>
      </c>
      <c r="H262" s="72">
        <v>1264.76</v>
      </c>
      <c r="I262" s="72">
        <v>1012.45</v>
      </c>
      <c r="J262" s="72">
        <v>252.31</v>
      </c>
      <c r="K262" s="8" t="s">
        <v>664</v>
      </c>
    </row>
    <row r="263" spans="1:11">
      <c r="A263" s="1">
        <v>260</v>
      </c>
      <c r="B263" s="13" t="s">
        <v>452</v>
      </c>
      <c r="C263" s="8" t="s">
        <v>3</v>
      </c>
      <c r="D263" s="12" t="s">
        <v>36</v>
      </c>
      <c r="E263" s="11">
        <v>1312999</v>
      </c>
      <c r="F263" s="10">
        <f t="shared" si="8"/>
        <v>1273609.03</v>
      </c>
      <c r="G263" s="9">
        <f t="shared" si="9"/>
        <v>1234219.0599999998</v>
      </c>
      <c r="H263" s="72">
        <v>882.21</v>
      </c>
      <c r="I263" s="72">
        <v>524.53</v>
      </c>
      <c r="J263" s="72">
        <v>357.68</v>
      </c>
      <c r="K263" s="8" t="s">
        <v>665</v>
      </c>
    </row>
    <row r="264" spans="1:11">
      <c r="A264" s="1">
        <v>261</v>
      </c>
      <c r="B264" s="13" t="s">
        <v>715</v>
      </c>
      <c r="C264" s="8" t="s">
        <v>12</v>
      </c>
      <c r="D264" s="12" t="s">
        <v>36</v>
      </c>
      <c r="E264" s="11">
        <v>1327999</v>
      </c>
      <c r="F264" s="10">
        <f t="shared" si="8"/>
        <v>1288159.03</v>
      </c>
      <c r="G264" s="9">
        <f t="shared" si="9"/>
        <v>1248319.0599999998</v>
      </c>
      <c r="H264" s="72">
        <v>886.73</v>
      </c>
      <c r="I264" s="72">
        <v>529.04999999999995</v>
      </c>
      <c r="J264" s="72">
        <v>357.68</v>
      </c>
      <c r="K264" s="8" t="s">
        <v>665</v>
      </c>
    </row>
    <row r="265" spans="1:11">
      <c r="A265" s="1">
        <v>262</v>
      </c>
      <c r="B265" s="13" t="s">
        <v>4329</v>
      </c>
      <c r="C265" s="8" t="s">
        <v>12</v>
      </c>
      <c r="D265" s="12" t="s">
        <v>36</v>
      </c>
      <c r="E265" s="11">
        <v>1172401.75</v>
      </c>
      <c r="F265" s="10">
        <f t="shared" si="8"/>
        <v>1137229.6975</v>
      </c>
      <c r="G265" s="9">
        <f t="shared" si="9"/>
        <v>1102057.645</v>
      </c>
      <c r="H265" s="72">
        <v>715.48</v>
      </c>
      <c r="I265" s="72">
        <v>538.41</v>
      </c>
      <c r="J265" s="72">
        <v>177.07</v>
      </c>
      <c r="K265" s="8" t="s">
        <v>664</v>
      </c>
    </row>
    <row r="266" spans="1:11">
      <c r="A266" s="1">
        <v>263</v>
      </c>
      <c r="B266" s="13" t="s">
        <v>716</v>
      </c>
      <c r="C266" s="8" t="s">
        <v>12</v>
      </c>
      <c r="D266" s="12" t="s">
        <v>36</v>
      </c>
      <c r="E266" s="11">
        <v>1447999</v>
      </c>
      <c r="F266" s="10">
        <f t="shared" si="8"/>
        <v>1404559.03</v>
      </c>
      <c r="G266" s="9">
        <f t="shared" si="9"/>
        <v>1361119.0599999998</v>
      </c>
      <c r="H266" s="72">
        <v>884.15</v>
      </c>
      <c r="I266" s="72">
        <v>629.69000000000005</v>
      </c>
      <c r="J266" s="72">
        <v>254.46</v>
      </c>
      <c r="K266" s="8" t="s">
        <v>665</v>
      </c>
    </row>
    <row r="267" spans="1:11">
      <c r="A267" s="1">
        <v>264</v>
      </c>
      <c r="B267" s="13" t="s">
        <v>717</v>
      </c>
      <c r="C267" s="8" t="s">
        <v>12</v>
      </c>
      <c r="D267" s="12" t="s">
        <v>24</v>
      </c>
      <c r="E267" s="11">
        <v>1927999</v>
      </c>
      <c r="F267" s="10">
        <f t="shared" si="8"/>
        <v>1870159.03</v>
      </c>
      <c r="G267" s="9">
        <f t="shared" si="9"/>
        <v>1812319.0599999998</v>
      </c>
      <c r="H267" s="72">
        <v>1116.8599999999999</v>
      </c>
      <c r="I267" s="72">
        <v>791.58</v>
      </c>
      <c r="J267" s="72">
        <v>325.29000000000002</v>
      </c>
      <c r="K267" s="8" t="s">
        <v>664</v>
      </c>
    </row>
    <row r="268" spans="1:11">
      <c r="A268" s="1">
        <v>265</v>
      </c>
      <c r="B268" s="13" t="s">
        <v>1016</v>
      </c>
      <c r="C268" s="8" t="s">
        <v>12</v>
      </c>
      <c r="D268" s="12" t="s">
        <v>36</v>
      </c>
      <c r="E268" s="11">
        <v>1211999</v>
      </c>
      <c r="F268" s="10">
        <f t="shared" si="8"/>
        <v>1175639.03</v>
      </c>
      <c r="G268" s="9">
        <f t="shared" si="9"/>
        <v>1139279.0599999998</v>
      </c>
      <c r="H268" s="72">
        <v>639.48</v>
      </c>
      <c r="I268" s="72">
        <v>533.14</v>
      </c>
      <c r="J268" s="72">
        <v>106.35</v>
      </c>
      <c r="K268" s="8" t="s">
        <v>665</v>
      </c>
    </row>
    <row r="269" spans="1:11">
      <c r="A269" s="1">
        <v>266</v>
      </c>
      <c r="B269" s="13" t="s">
        <v>453</v>
      </c>
      <c r="C269" s="8" t="s">
        <v>3</v>
      </c>
      <c r="D269" s="12" t="s">
        <v>36</v>
      </c>
      <c r="E269" s="11">
        <v>1165929.5</v>
      </c>
      <c r="F269" s="10">
        <f t="shared" si="8"/>
        <v>1130951.615</v>
      </c>
      <c r="G269" s="9">
        <f t="shared" si="9"/>
        <v>1095973.73</v>
      </c>
      <c r="H269" s="72">
        <v>715.48</v>
      </c>
      <c r="I269" s="72">
        <v>538.41</v>
      </c>
      <c r="J269" s="72">
        <v>177.07</v>
      </c>
      <c r="K269" s="8" t="s">
        <v>664</v>
      </c>
    </row>
    <row r="270" spans="1:11">
      <c r="A270" s="1">
        <v>267</v>
      </c>
      <c r="B270" s="13" t="s">
        <v>454</v>
      </c>
      <c r="C270" s="8" t="s">
        <v>3</v>
      </c>
      <c r="D270" s="12" t="s">
        <v>36</v>
      </c>
      <c r="E270" s="11">
        <v>1231999</v>
      </c>
      <c r="F270" s="10">
        <f t="shared" si="8"/>
        <v>1195039.03</v>
      </c>
      <c r="G270" s="9">
        <f t="shared" si="9"/>
        <v>1158079.0599999998</v>
      </c>
      <c r="H270" s="72">
        <v>713.22</v>
      </c>
      <c r="I270" s="72">
        <v>525.71</v>
      </c>
      <c r="J270" s="72">
        <v>187.51</v>
      </c>
      <c r="K270" s="8" t="s">
        <v>664</v>
      </c>
    </row>
    <row r="271" spans="1:11">
      <c r="A271" s="1">
        <v>268</v>
      </c>
      <c r="B271" s="13" t="s">
        <v>455</v>
      </c>
      <c r="C271" s="8" t="s">
        <v>3</v>
      </c>
      <c r="D271" s="12" t="s">
        <v>24</v>
      </c>
      <c r="E271" s="11">
        <v>1889999</v>
      </c>
      <c r="F271" s="10">
        <f t="shared" si="8"/>
        <v>1833299.03</v>
      </c>
      <c r="G271" s="9">
        <f t="shared" si="9"/>
        <v>1776599.0599999998</v>
      </c>
      <c r="H271" s="72">
        <v>1055.08</v>
      </c>
      <c r="I271" s="72">
        <v>786.09</v>
      </c>
      <c r="J271" s="72">
        <v>268.99</v>
      </c>
      <c r="K271" s="8" t="s">
        <v>664</v>
      </c>
    </row>
    <row r="272" spans="1:11">
      <c r="A272" s="1">
        <v>269</v>
      </c>
      <c r="B272" s="13" t="s">
        <v>456</v>
      </c>
      <c r="C272" s="8" t="s">
        <v>3</v>
      </c>
      <c r="D272" s="12" t="s">
        <v>36</v>
      </c>
      <c r="E272" s="11">
        <v>1349999</v>
      </c>
      <c r="F272" s="10">
        <f t="shared" si="8"/>
        <v>1309499.03</v>
      </c>
      <c r="G272" s="9">
        <f t="shared" si="9"/>
        <v>1268999.0599999998</v>
      </c>
      <c r="H272" s="72">
        <v>742.17</v>
      </c>
      <c r="I272" s="72">
        <v>591.91</v>
      </c>
      <c r="J272" s="72">
        <v>150.26</v>
      </c>
      <c r="K272" s="8" t="s">
        <v>665</v>
      </c>
    </row>
    <row r="273" spans="1:11">
      <c r="A273" s="1">
        <v>270</v>
      </c>
      <c r="B273" s="13" t="s">
        <v>457</v>
      </c>
      <c r="C273" s="8" t="s">
        <v>3</v>
      </c>
      <c r="D273" s="12" t="s">
        <v>36</v>
      </c>
      <c r="E273" s="11">
        <v>1368999</v>
      </c>
      <c r="F273" s="10">
        <f t="shared" si="8"/>
        <v>1327929.03</v>
      </c>
      <c r="G273" s="9">
        <f t="shared" si="9"/>
        <v>1286859.0599999998</v>
      </c>
      <c r="H273" s="72">
        <v>782.11</v>
      </c>
      <c r="I273" s="72">
        <v>599.98</v>
      </c>
      <c r="J273" s="72">
        <v>182.13</v>
      </c>
      <c r="K273" s="8" t="s">
        <v>666</v>
      </c>
    </row>
    <row r="274" spans="1:11">
      <c r="A274" s="1">
        <v>271</v>
      </c>
      <c r="B274" s="13" t="s">
        <v>458</v>
      </c>
      <c r="C274" s="8" t="s">
        <v>32</v>
      </c>
      <c r="D274" s="12" t="s">
        <v>24</v>
      </c>
      <c r="E274" s="11">
        <v>2124999</v>
      </c>
      <c r="F274" s="10">
        <f t="shared" si="8"/>
        <v>2061249.03</v>
      </c>
      <c r="G274" s="9">
        <f t="shared" si="9"/>
        <v>1997499.0599999998</v>
      </c>
      <c r="H274" s="72">
        <v>1264.76</v>
      </c>
      <c r="I274" s="72">
        <v>1012.45</v>
      </c>
      <c r="J274" s="72">
        <v>252.31</v>
      </c>
      <c r="K274" s="8" t="s">
        <v>665</v>
      </c>
    </row>
    <row r="275" spans="1:11">
      <c r="A275" s="1">
        <v>272</v>
      </c>
      <c r="B275" s="13" t="s">
        <v>459</v>
      </c>
      <c r="C275" s="8" t="s">
        <v>32</v>
      </c>
      <c r="D275" s="12" t="s">
        <v>36</v>
      </c>
      <c r="E275" s="11">
        <v>1327999</v>
      </c>
      <c r="F275" s="10">
        <f t="shared" si="8"/>
        <v>1288159.03</v>
      </c>
      <c r="G275" s="9">
        <f t="shared" si="9"/>
        <v>1248319.0599999998</v>
      </c>
      <c r="H275" s="72">
        <v>886.73</v>
      </c>
      <c r="I275" s="72">
        <v>529.04999999999995</v>
      </c>
      <c r="J275" s="72">
        <v>357.68</v>
      </c>
      <c r="K275" s="8" t="s">
        <v>665</v>
      </c>
    </row>
    <row r="276" spans="1:11">
      <c r="A276" s="1">
        <v>273</v>
      </c>
      <c r="B276" s="13" t="s">
        <v>4330</v>
      </c>
      <c r="C276" s="8" t="s">
        <v>32</v>
      </c>
      <c r="D276" s="12" t="s">
        <v>36</v>
      </c>
      <c r="E276" s="11">
        <v>1171477.1499999999</v>
      </c>
      <c r="F276" s="10">
        <f t="shared" si="8"/>
        <v>1136332.8354999998</v>
      </c>
      <c r="G276" s="9">
        <f t="shared" si="9"/>
        <v>1101188.5209999999</v>
      </c>
      <c r="H276" s="72">
        <v>715.48</v>
      </c>
      <c r="I276" s="72">
        <v>538.41</v>
      </c>
      <c r="J276" s="72">
        <v>177.07</v>
      </c>
      <c r="K276" s="8" t="s">
        <v>664</v>
      </c>
    </row>
    <row r="277" spans="1:11">
      <c r="A277" s="1">
        <v>274</v>
      </c>
      <c r="B277" s="13" t="s">
        <v>460</v>
      </c>
      <c r="C277" s="8" t="s">
        <v>32</v>
      </c>
      <c r="D277" s="12" t="s">
        <v>36</v>
      </c>
      <c r="E277" s="11">
        <v>1447999</v>
      </c>
      <c r="F277" s="10">
        <f t="shared" si="8"/>
        <v>1404559.03</v>
      </c>
      <c r="G277" s="9">
        <f t="shared" si="9"/>
        <v>1361119.0599999998</v>
      </c>
      <c r="H277" s="72">
        <v>884.15</v>
      </c>
      <c r="I277" s="72">
        <v>629.69000000000005</v>
      </c>
      <c r="J277" s="72">
        <v>254.46</v>
      </c>
      <c r="K277" s="8" t="s">
        <v>665</v>
      </c>
    </row>
    <row r="278" spans="1:11">
      <c r="A278" s="1">
        <v>275</v>
      </c>
      <c r="B278" s="13" t="s">
        <v>461</v>
      </c>
      <c r="C278" s="8" t="s">
        <v>32</v>
      </c>
      <c r="D278" s="12" t="s">
        <v>24</v>
      </c>
      <c r="E278" s="11">
        <v>1927999</v>
      </c>
      <c r="F278" s="10">
        <f t="shared" si="8"/>
        <v>1870159.03</v>
      </c>
      <c r="G278" s="9">
        <f t="shared" si="9"/>
        <v>1812319.0599999998</v>
      </c>
      <c r="H278" s="72">
        <v>1116.8599999999999</v>
      </c>
      <c r="I278" s="72">
        <v>791.58</v>
      </c>
      <c r="J278" s="72">
        <v>325.29000000000002</v>
      </c>
      <c r="K278" s="8" t="s">
        <v>664</v>
      </c>
    </row>
    <row r="279" spans="1:11">
      <c r="A279" s="1">
        <v>276</v>
      </c>
      <c r="B279" s="13" t="s">
        <v>462</v>
      </c>
      <c r="C279" s="8" t="s">
        <v>3</v>
      </c>
      <c r="D279" s="12" t="s">
        <v>36</v>
      </c>
      <c r="E279" s="11">
        <v>1368999</v>
      </c>
      <c r="F279" s="10">
        <f t="shared" si="8"/>
        <v>1327929.03</v>
      </c>
      <c r="G279" s="9">
        <f t="shared" si="9"/>
        <v>1286859.0599999998</v>
      </c>
      <c r="H279" s="72">
        <v>782.11</v>
      </c>
      <c r="I279" s="72">
        <v>599.98</v>
      </c>
      <c r="J279" s="72">
        <v>182.13</v>
      </c>
      <c r="K279" s="8" t="s">
        <v>666</v>
      </c>
    </row>
    <row r="280" spans="1:11">
      <c r="A280" s="1">
        <v>277</v>
      </c>
      <c r="B280" s="13" t="s">
        <v>463</v>
      </c>
      <c r="C280" s="8" t="s">
        <v>3</v>
      </c>
      <c r="D280" s="12" t="s">
        <v>24</v>
      </c>
      <c r="E280" s="11">
        <v>1951999</v>
      </c>
      <c r="F280" s="10">
        <f t="shared" si="8"/>
        <v>1893439.03</v>
      </c>
      <c r="G280" s="9">
        <f t="shared" si="9"/>
        <v>1834879.0599999998</v>
      </c>
      <c r="H280" s="72">
        <v>1098.46</v>
      </c>
      <c r="I280" s="72">
        <v>820.64</v>
      </c>
      <c r="J280" s="72">
        <v>277.82</v>
      </c>
      <c r="K280" s="8" t="s">
        <v>666</v>
      </c>
    </row>
    <row r="281" spans="1:11">
      <c r="A281" s="1">
        <v>278</v>
      </c>
      <c r="B281" s="13" t="s">
        <v>464</v>
      </c>
      <c r="C281" s="8" t="s">
        <v>3</v>
      </c>
      <c r="D281" s="12" t="s">
        <v>36</v>
      </c>
      <c r="E281" s="11">
        <v>1399999</v>
      </c>
      <c r="F281" s="10">
        <f t="shared" si="8"/>
        <v>1357999.03</v>
      </c>
      <c r="G281" s="9">
        <f t="shared" si="9"/>
        <v>1315999.0599999998</v>
      </c>
      <c r="H281" s="72">
        <v>785.44</v>
      </c>
      <c r="I281" s="72">
        <v>626.46</v>
      </c>
      <c r="J281" s="72">
        <v>158.97999999999999</v>
      </c>
      <c r="K281" s="8" t="s">
        <v>665</v>
      </c>
    </row>
    <row r="282" spans="1:11">
      <c r="A282" s="1">
        <v>279</v>
      </c>
      <c r="B282" s="13" t="s">
        <v>465</v>
      </c>
      <c r="C282" s="8" t="s">
        <v>3</v>
      </c>
      <c r="D282" s="12" t="s">
        <v>36</v>
      </c>
      <c r="E282" s="11">
        <v>1494999</v>
      </c>
      <c r="F282" s="10">
        <f t="shared" si="8"/>
        <v>1450149.03</v>
      </c>
      <c r="G282" s="9">
        <f t="shared" si="9"/>
        <v>1405299.0599999998</v>
      </c>
      <c r="H282" s="72">
        <v>925.59</v>
      </c>
      <c r="I282" s="72">
        <v>654.34</v>
      </c>
      <c r="J282" s="72">
        <v>271.25</v>
      </c>
      <c r="K282" s="8" t="s">
        <v>666</v>
      </c>
    </row>
    <row r="283" spans="1:11">
      <c r="A283" s="1">
        <v>280</v>
      </c>
      <c r="B283" s="13" t="s">
        <v>466</v>
      </c>
      <c r="C283" s="8" t="s">
        <v>3</v>
      </c>
      <c r="D283" s="12" t="s">
        <v>36</v>
      </c>
      <c r="E283" s="11">
        <v>1494999</v>
      </c>
      <c r="F283" s="10">
        <f t="shared" si="8"/>
        <v>1450149.03</v>
      </c>
      <c r="G283" s="9">
        <f t="shared" si="9"/>
        <v>1405299.0599999998</v>
      </c>
      <c r="H283" s="72">
        <v>924.84</v>
      </c>
      <c r="I283" s="72">
        <v>654.45000000000005</v>
      </c>
      <c r="J283" s="72">
        <v>270.39</v>
      </c>
      <c r="K283" s="8" t="s">
        <v>665</v>
      </c>
    </row>
    <row r="284" spans="1:11">
      <c r="A284" s="1">
        <v>281</v>
      </c>
      <c r="B284" s="13" t="s">
        <v>467</v>
      </c>
      <c r="C284" s="8" t="s">
        <v>3</v>
      </c>
      <c r="D284" s="12" t="s">
        <v>36</v>
      </c>
      <c r="E284" s="11">
        <v>1252999</v>
      </c>
      <c r="F284" s="10">
        <f t="shared" si="8"/>
        <v>1215409.03</v>
      </c>
      <c r="G284" s="9">
        <f t="shared" si="9"/>
        <v>1177819.0599999998</v>
      </c>
      <c r="H284" s="72">
        <v>710.63</v>
      </c>
      <c r="I284" s="72">
        <v>543.58000000000004</v>
      </c>
      <c r="J284" s="72">
        <v>167.06</v>
      </c>
      <c r="K284" s="8" t="s">
        <v>666</v>
      </c>
    </row>
    <row r="285" spans="1:11">
      <c r="A285" s="1">
        <v>282</v>
      </c>
      <c r="B285" s="13" t="s">
        <v>4885</v>
      </c>
      <c r="C285" s="8" t="s">
        <v>4459</v>
      </c>
      <c r="D285" s="12" t="s">
        <v>24</v>
      </c>
      <c r="E285" s="11">
        <v>2155999</v>
      </c>
      <c r="F285" s="10">
        <f t="shared" si="8"/>
        <v>2091319.03</v>
      </c>
      <c r="G285" s="9">
        <f t="shared" si="9"/>
        <v>2026639.0599999998</v>
      </c>
      <c r="H285" s="72">
        <v>1279.4000000000001</v>
      </c>
      <c r="I285" s="72">
        <v>1027.0899999999999</v>
      </c>
      <c r="J285" s="72">
        <v>252.31</v>
      </c>
      <c r="K285" s="8" t="s">
        <v>664</v>
      </c>
    </row>
    <row r="286" spans="1:11">
      <c r="A286" s="1">
        <v>283</v>
      </c>
      <c r="B286" s="13" t="s">
        <v>468</v>
      </c>
      <c r="C286" s="8" t="s">
        <v>3</v>
      </c>
      <c r="D286" s="12" t="s">
        <v>36</v>
      </c>
      <c r="E286" s="11">
        <v>1266999</v>
      </c>
      <c r="F286" s="10">
        <f t="shared" si="8"/>
        <v>1228989.03</v>
      </c>
      <c r="G286" s="9">
        <f t="shared" si="9"/>
        <v>1190979.0599999998</v>
      </c>
      <c r="H286" s="72">
        <v>713.54</v>
      </c>
      <c r="I286" s="72">
        <v>546.48</v>
      </c>
      <c r="J286" s="72">
        <v>167.06</v>
      </c>
      <c r="K286" s="8" t="s">
        <v>665</v>
      </c>
    </row>
    <row r="287" spans="1:11">
      <c r="A287" s="1">
        <v>284</v>
      </c>
      <c r="B287" s="13" t="s">
        <v>1017</v>
      </c>
      <c r="C287" s="8" t="s">
        <v>4459</v>
      </c>
      <c r="D287" s="12" t="s">
        <v>36</v>
      </c>
      <c r="E287" s="11">
        <v>1327999</v>
      </c>
      <c r="F287" s="10">
        <f t="shared" si="8"/>
        <v>1288159.03</v>
      </c>
      <c r="G287" s="9">
        <f t="shared" si="9"/>
        <v>1248319.0599999998</v>
      </c>
      <c r="H287" s="72">
        <v>886.73</v>
      </c>
      <c r="I287" s="72">
        <v>529.04999999999995</v>
      </c>
      <c r="J287" s="72">
        <v>357.68</v>
      </c>
      <c r="K287" s="8" t="s">
        <v>665</v>
      </c>
    </row>
    <row r="288" spans="1:11">
      <c r="A288" s="1">
        <v>285</v>
      </c>
      <c r="B288" s="13" t="s">
        <v>1018</v>
      </c>
      <c r="C288" s="8" t="s">
        <v>4459</v>
      </c>
      <c r="D288" s="12" t="s">
        <v>36</v>
      </c>
      <c r="E288" s="11">
        <v>1171477.1499999999</v>
      </c>
      <c r="F288" s="10">
        <f t="shared" si="8"/>
        <v>1136332.8354999998</v>
      </c>
      <c r="G288" s="9">
        <f t="shared" si="9"/>
        <v>1101188.5209999999</v>
      </c>
      <c r="H288" s="72">
        <v>715.48</v>
      </c>
      <c r="I288" s="72">
        <v>538.41</v>
      </c>
      <c r="J288" s="72">
        <v>177.07</v>
      </c>
      <c r="K288" s="8" t="s">
        <v>664</v>
      </c>
    </row>
    <row r="289" spans="1:11">
      <c r="A289" s="1">
        <v>286</v>
      </c>
      <c r="B289" s="13" t="s">
        <v>1019</v>
      </c>
      <c r="C289" s="8" t="s">
        <v>4459</v>
      </c>
      <c r="D289" s="12" t="s">
        <v>36</v>
      </c>
      <c r="E289" s="11">
        <v>1237999</v>
      </c>
      <c r="F289" s="10">
        <f t="shared" si="8"/>
        <v>1200859.03</v>
      </c>
      <c r="G289" s="9">
        <f t="shared" si="9"/>
        <v>1163719.0599999998</v>
      </c>
      <c r="H289" s="72">
        <v>713.22</v>
      </c>
      <c r="I289" s="72">
        <v>525.71</v>
      </c>
      <c r="J289" s="72">
        <v>187.51</v>
      </c>
      <c r="K289" s="8" t="s">
        <v>664</v>
      </c>
    </row>
    <row r="290" spans="1:11">
      <c r="A290" s="1">
        <v>287</v>
      </c>
      <c r="B290" s="13" t="s">
        <v>1020</v>
      </c>
      <c r="C290" s="8" t="s">
        <v>4459</v>
      </c>
      <c r="D290" s="12" t="s">
        <v>36</v>
      </c>
      <c r="E290" s="11">
        <v>1446999</v>
      </c>
      <c r="F290" s="10">
        <f t="shared" si="8"/>
        <v>1403589.03</v>
      </c>
      <c r="G290" s="9">
        <f t="shared" si="9"/>
        <v>1360179.0599999998</v>
      </c>
      <c r="H290" s="72">
        <v>884.15</v>
      </c>
      <c r="I290" s="72">
        <v>629.69000000000005</v>
      </c>
      <c r="J290" s="72">
        <v>254.46</v>
      </c>
      <c r="K290" s="8" t="s">
        <v>665</v>
      </c>
    </row>
    <row r="291" spans="1:11">
      <c r="A291" s="1">
        <v>288</v>
      </c>
      <c r="B291" s="13" t="s">
        <v>1021</v>
      </c>
      <c r="C291" s="8" t="s">
        <v>4459</v>
      </c>
      <c r="D291" s="12" t="s">
        <v>24</v>
      </c>
      <c r="E291" s="11">
        <v>1926999</v>
      </c>
      <c r="F291" s="10">
        <f t="shared" si="8"/>
        <v>1869189.03</v>
      </c>
      <c r="G291" s="9">
        <f t="shared" si="9"/>
        <v>1811379.0599999998</v>
      </c>
      <c r="H291" s="72">
        <v>1116.8599999999999</v>
      </c>
      <c r="I291" s="72">
        <v>791.58</v>
      </c>
      <c r="J291" s="72">
        <v>325.29000000000002</v>
      </c>
      <c r="K291" s="8" t="s">
        <v>664</v>
      </c>
    </row>
    <row r="292" spans="1:11">
      <c r="A292" s="1">
        <v>289</v>
      </c>
      <c r="B292" s="13" t="s">
        <v>4998</v>
      </c>
      <c r="C292" s="8" t="s">
        <v>4459</v>
      </c>
      <c r="D292" s="12" t="s">
        <v>36</v>
      </c>
      <c r="E292" s="11">
        <v>1210999</v>
      </c>
      <c r="F292" s="10">
        <f t="shared" si="8"/>
        <v>1174669.03</v>
      </c>
      <c r="G292" s="9">
        <f t="shared" si="9"/>
        <v>1138339.0599999998</v>
      </c>
      <c r="H292" s="72">
        <v>639.48</v>
      </c>
      <c r="I292" s="72">
        <v>533.14</v>
      </c>
      <c r="J292" s="72">
        <v>106.35</v>
      </c>
      <c r="K292" s="8" t="s">
        <v>665</v>
      </c>
    </row>
    <row r="293" spans="1:11">
      <c r="A293" s="1">
        <v>290</v>
      </c>
      <c r="B293" s="13" t="s">
        <v>1022</v>
      </c>
      <c r="C293" s="8" t="s">
        <v>5</v>
      </c>
      <c r="D293" s="12" t="s">
        <v>36</v>
      </c>
      <c r="E293" s="11">
        <v>1289999</v>
      </c>
      <c r="F293" s="10">
        <f t="shared" si="8"/>
        <v>1251299.03</v>
      </c>
      <c r="G293" s="9">
        <f t="shared" si="9"/>
        <v>1212599.0599999998</v>
      </c>
      <c r="H293" s="72">
        <v>682.86</v>
      </c>
      <c r="I293" s="72">
        <v>567.69000000000005</v>
      </c>
      <c r="J293" s="72">
        <v>115.17</v>
      </c>
      <c r="K293" s="8" t="s">
        <v>665</v>
      </c>
    </row>
    <row r="294" spans="1:11">
      <c r="A294" s="1">
        <v>291</v>
      </c>
      <c r="B294" s="13" t="s">
        <v>1023</v>
      </c>
      <c r="C294" s="8" t="s">
        <v>5</v>
      </c>
      <c r="D294" s="12" t="s">
        <v>24</v>
      </c>
      <c r="E294" s="11">
        <v>1993999</v>
      </c>
      <c r="F294" s="10">
        <f t="shared" si="8"/>
        <v>1934179.03</v>
      </c>
      <c r="G294" s="9">
        <f t="shared" si="9"/>
        <v>1874359.0599999998</v>
      </c>
      <c r="H294" s="72">
        <v>1152.49</v>
      </c>
      <c r="I294" s="72">
        <v>826.13</v>
      </c>
      <c r="J294" s="72">
        <v>326.36</v>
      </c>
      <c r="K294" s="8" t="s">
        <v>669</v>
      </c>
    </row>
    <row r="295" spans="1:11">
      <c r="A295" s="1">
        <v>292</v>
      </c>
      <c r="B295" s="13" t="s">
        <v>1024</v>
      </c>
      <c r="C295" s="8" t="s">
        <v>5</v>
      </c>
      <c r="D295" s="12" t="s">
        <v>36</v>
      </c>
      <c r="E295" s="11">
        <v>1499999</v>
      </c>
      <c r="F295" s="10">
        <f t="shared" si="8"/>
        <v>1454999.03</v>
      </c>
      <c r="G295" s="9">
        <f t="shared" si="9"/>
        <v>1409999.0599999998</v>
      </c>
      <c r="H295" s="72">
        <v>952.28</v>
      </c>
      <c r="I295" s="72">
        <v>654.45000000000005</v>
      </c>
      <c r="J295" s="72">
        <v>297.83999999999997</v>
      </c>
      <c r="K295" s="8" t="s">
        <v>666</v>
      </c>
    </row>
    <row r="296" spans="1:11">
      <c r="A296" s="1">
        <v>293</v>
      </c>
      <c r="B296" s="13" t="s">
        <v>1025</v>
      </c>
      <c r="C296" s="8" t="s">
        <v>5</v>
      </c>
      <c r="D296" s="12" t="s">
        <v>36</v>
      </c>
      <c r="E296" s="11">
        <v>1494999</v>
      </c>
      <c r="F296" s="10">
        <f t="shared" si="8"/>
        <v>1450149.03</v>
      </c>
      <c r="G296" s="9">
        <f t="shared" si="9"/>
        <v>1405299.0599999998</v>
      </c>
      <c r="H296" s="72">
        <v>924.84</v>
      </c>
      <c r="I296" s="72">
        <v>654.45000000000005</v>
      </c>
      <c r="J296" s="72">
        <v>270.39</v>
      </c>
      <c r="K296" s="8" t="s">
        <v>665</v>
      </c>
    </row>
    <row r="297" spans="1:11">
      <c r="A297" s="1">
        <v>294</v>
      </c>
      <c r="B297" s="13" t="s">
        <v>1026</v>
      </c>
      <c r="C297" s="8" t="s">
        <v>5</v>
      </c>
      <c r="D297" s="12" t="s">
        <v>36</v>
      </c>
      <c r="E297" s="11">
        <v>1313999</v>
      </c>
      <c r="F297" s="10">
        <f t="shared" si="8"/>
        <v>1274579.03</v>
      </c>
      <c r="G297" s="9">
        <f t="shared" si="9"/>
        <v>1235159.0599999998</v>
      </c>
      <c r="H297" s="72">
        <v>722.8</v>
      </c>
      <c r="I297" s="72">
        <v>569.29999999999995</v>
      </c>
      <c r="J297" s="72">
        <v>153.49</v>
      </c>
      <c r="K297" s="8" t="s">
        <v>665</v>
      </c>
    </row>
    <row r="298" spans="1:11">
      <c r="A298" s="1">
        <v>295</v>
      </c>
      <c r="B298" s="13" t="s">
        <v>1027</v>
      </c>
      <c r="C298" s="8" t="s">
        <v>5</v>
      </c>
      <c r="D298" s="12" t="s">
        <v>36</v>
      </c>
      <c r="E298" s="11">
        <v>1251999</v>
      </c>
      <c r="F298" s="10">
        <f t="shared" si="8"/>
        <v>1214439.03</v>
      </c>
      <c r="G298" s="9">
        <f t="shared" si="9"/>
        <v>1176879.0599999998</v>
      </c>
      <c r="H298" s="72">
        <v>703.31</v>
      </c>
      <c r="I298" s="72">
        <v>541.64</v>
      </c>
      <c r="J298" s="72">
        <v>161.66999999999999</v>
      </c>
      <c r="K298" s="8" t="s">
        <v>666</v>
      </c>
    </row>
    <row r="299" spans="1:11">
      <c r="A299" s="1">
        <v>296</v>
      </c>
      <c r="B299" s="13" t="s">
        <v>1028</v>
      </c>
      <c r="C299" s="8" t="s">
        <v>5</v>
      </c>
      <c r="D299" s="12" t="s">
        <v>36</v>
      </c>
      <c r="E299" s="11">
        <v>1261999</v>
      </c>
      <c r="F299" s="10">
        <f t="shared" si="8"/>
        <v>1224139.03</v>
      </c>
      <c r="G299" s="9">
        <f t="shared" si="9"/>
        <v>1186279.0599999998</v>
      </c>
      <c r="H299" s="72">
        <v>700.62</v>
      </c>
      <c r="I299" s="72">
        <v>544.87</v>
      </c>
      <c r="J299" s="72">
        <v>155.75</v>
      </c>
      <c r="K299" s="8" t="s">
        <v>665</v>
      </c>
    </row>
    <row r="300" spans="1:11">
      <c r="A300" s="1">
        <v>297</v>
      </c>
      <c r="B300" s="13" t="s">
        <v>1029</v>
      </c>
      <c r="C300" s="8" t="s">
        <v>5</v>
      </c>
      <c r="D300" s="12" t="s">
        <v>35</v>
      </c>
      <c r="E300" s="11">
        <v>830999</v>
      </c>
      <c r="F300" s="10">
        <f t="shared" si="8"/>
        <v>806069.03</v>
      </c>
      <c r="G300" s="9">
        <f t="shared" si="9"/>
        <v>781139.05999999994</v>
      </c>
      <c r="H300" s="72">
        <v>332.39</v>
      </c>
      <c r="I300" s="72">
        <v>332.39</v>
      </c>
      <c r="J300" s="72">
        <v>0</v>
      </c>
      <c r="K300" s="8" t="s">
        <v>665</v>
      </c>
    </row>
    <row r="301" spans="1:11">
      <c r="A301" s="1">
        <v>298</v>
      </c>
      <c r="B301" s="13" t="s">
        <v>1030</v>
      </c>
      <c r="C301" s="8" t="s">
        <v>5</v>
      </c>
      <c r="D301" s="12" t="s">
        <v>35</v>
      </c>
      <c r="E301" s="11">
        <v>777999</v>
      </c>
      <c r="F301" s="10">
        <f t="shared" si="8"/>
        <v>754659.03</v>
      </c>
      <c r="G301" s="9">
        <f t="shared" si="9"/>
        <v>731319.05999999994</v>
      </c>
      <c r="H301" s="72">
        <v>311.39999999999998</v>
      </c>
      <c r="I301" s="72">
        <v>311.39999999999998</v>
      </c>
      <c r="J301" s="72">
        <v>0</v>
      </c>
      <c r="K301" s="8" t="s">
        <v>665</v>
      </c>
    </row>
    <row r="302" spans="1:11">
      <c r="A302" s="1">
        <v>299</v>
      </c>
      <c r="B302" s="13" t="s">
        <v>1031</v>
      </c>
      <c r="C302" s="8" t="s">
        <v>5</v>
      </c>
      <c r="D302" s="12" t="s">
        <v>36</v>
      </c>
      <c r="E302" s="11">
        <v>1427999</v>
      </c>
      <c r="F302" s="10">
        <f t="shared" ref="F302:F365" si="10">E302*0.97</f>
        <v>1385159.03</v>
      </c>
      <c r="G302" s="9">
        <f t="shared" ref="G302:G365" si="11">E302*0.94</f>
        <v>1342319.0599999998</v>
      </c>
      <c r="H302" s="72">
        <v>850.24</v>
      </c>
      <c r="I302" s="72">
        <v>628.94000000000005</v>
      </c>
      <c r="J302" s="72">
        <v>221.31</v>
      </c>
      <c r="K302" s="8" t="s">
        <v>665</v>
      </c>
    </row>
    <row r="303" spans="1:11">
      <c r="A303" s="1">
        <v>300</v>
      </c>
      <c r="B303" s="13" t="s">
        <v>1032</v>
      </c>
      <c r="C303" s="8" t="s">
        <v>5</v>
      </c>
      <c r="D303" s="12" t="s">
        <v>36</v>
      </c>
      <c r="E303" s="11">
        <v>1317999</v>
      </c>
      <c r="F303" s="10">
        <f t="shared" si="10"/>
        <v>1278459.03</v>
      </c>
      <c r="G303" s="9">
        <f t="shared" si="11"/>
        <v>1238919.0599999998</v>
      </c>
      <c r="H303" s="72">
        <v>612.36</v>
      </c>
      <c r="I303" s="72">
        <v>612.36</v>
      </c>
      <c r="J303" s="72">
        <v>0</v>
      </c>
      <c r="K303" s="8" t="s">
        <v>666</v>
      </c>
    </row>
    <row r="304" spans="1:11">
      <c r="A304" s="1">
        <v>301</v>
      </c>
      <c r="B304" s="13" t="s">
        <v>1033</v>
      </c>
      <c r="C304" s="8" t="s">
        <v>5</v>
      </c>
      <c r="D304" s="12" t="s">
        <v>36</v>
      </c>
      <c r="E304" s="11">
        <v>1302999</v>
      </c>
      <c r="F304" s="10">
        <f t="shared" si="10"/>
        <v>1263909.03</v>
      </c>
      <c r="G304" s="9">
        <f t="shared" si="11"/>
        <v>1224819.0599999998</v>
      </c>
      <c r="H304" s="72">
        <v>725.92</v>
      </c>
      <c r="I304" s="72">
        <v>565.42999999999995</v>
      </c>
      <c r="J304" s="72">
        <v>160.49</v>
      </c>
      <c r="K304" s="8" t="s">
        <v>666</v>
      </c>
    </row>
    <row r="305" spans="1:11">
      <c r="A305" s="1">
        <v>302</v>
      </c>
      <c r="B305" s="13" t="s">
        <v>1034</v>
      </c>
      <c r="C305" s="8" t="s">
        <v>5</v>
      </c>
      <c r="D305" s="12" t="s">
        <v>36</v>
      </c>
      <c r="E305" s="11">
        <v>1425999</v>
      </c>
      <c r="F305" s="10">
        <f t="shared" si="10"/>
        <v>1383219.03</v>
      </c>
      <c r="G305" s="9">
        <f t="shared" si="11"/>
        <v>1340439.0599999998</v>
      </c>
      <c r="H305" s="72">
        <v>1044.31</v>
      </c>
      <c r="I305" s="72">
        <v>574.79</v>
      </c>
      <c r="J305" s="72">
        <v>469.52</v>
      </c>
      <c r="K305" s="8" t="s">
        <v>667</v>
      </c>
    </row>
    <row r="306" spans="1:11">
      <c r="A306" s="1">
        <v>303</v>
      </c>
      <c r="B306" s="13" t="s">
        <v>1035</v>
      </c>
      <c r="C306" s="8" t="s">
        <v>5</v>
      </c>
      <c r="D306" s="12" t="s">
        <v>36</v>
      </c>
      <c r="E306" s="11">
        <v>1372999</v>
      </c>
      <c r="F306" s="10">
        <f t="shared" si="10"/>
        <v>1331809.03</v>
      </c>
      <c r="G306" s="9">
        <f t="shared" si="11"/>
        <v>1290619.0599999998</v>
      </c>
      <c r="H306" s="72">
        <v>827.1</v>
      </c>
      <c r="I306" s="72">
        <v>585.13</v>
      </c>
      <c r="J306" s="72">
        <v>241.97</v>
      </c>
      <c r="K306" s="8" t="s">
        <v>668</v>
      </c>
    </row>
    <row r="307" spans="1:11">
      <c r="A307" s="1">
        <v>304</v>
      </c>
      <c r="B307" s="13" t="s">
        <v>1036</v>
      </c>
      <c r="C307" s="8" t="s">
        <v>5</v>
      </c>
      <c r="D307" s="12" t="s">
        <v>36</v>
      </c>
      <c r="E307" s="11">
        <v>1330999</v>
      </c>
      <c r="F307" s="10">
        <f t="shared" si="10"/>
        <v>1291069.03</v>
      </c>
      <c r="G307" s="9">
        <f t="shared" si="11"/>
        <v>1251139.0599999998</v>
      </c>
      <c r="H307" s="72">
        <v>770.05</v>
      </c>
      <c r="I307" s="72">
        <v>571.03</v>
      </c>
      <c r="J307" s="72">
        <v>199.02</v>
      </c>
      <c r="K307" s="8" t="s">
        <v>668</v>
      </c>
    </row>
    <row r="308" spans="1:11">
      <c r="A308" s="1">
        <v>305</v>
      </c>
      <c r="B308" s="13" t="s">
        <v>1037</v>
      </c>
      <c r="C308" s="8" t="s">
        <v>5</v>
      </c>
      <c r="D308" s="12" t="s">
        <v>36</v>
      </c>
      <c r="E308" s="11">
        <v>1349999</v>
      </c>
      <c r="F308" s="10">
        <f t="shared" si="10"/>
        <v>1309499.03</v>
      </c>
      <c r="G308" s="9">
        <f t="shared" si="11"/>
        <v>1268999.0599999998</v>
      </c>
      <c r="H308" s="72">
        <v>750.78</v>
      </c>
      <c r="I308" s="72">
        <v>590.72</v>
      </c>
      <c r="J308" s="72">
        <v>160.06</v>
      </c>
      <c r="K308" s="8" t="s">
        <v>668</v>
      </c>
    </row>
    <row r="309" spans="1:11">
      <c r="A309" s="1">
        <v>306</v>
      </c>
      <c r="B309" s="13" t="s">
        <v>1038</v>
      </c>
      <c r="C309" s="8" t="s">
        <v>5</v>
      </c>
      <c r="D309" s="12" t="s">
        <v>36</v>
      </c>
      <c r="E309" s="11">
        <v>1349999</v>
      </c>
      <c r="F309" s="10">
        <f t="shared" si="10"/>
        <v>1309499.03</v>
      </c>
      <c r="G309" s="9">
        <f t="shared" si="11"/>
        <v>1268999.0599999998</v>
      </c>
      <c r="H309" s="72">
        <v>750.78</v>
      </c>
      <c r="I309" s="72">
        <v>590.72</v>
      </c>
      <c r="J309" s="72">
        <v>160.06</v>
      </c>
      <c r="K309" s="8" t="s">
        <v>668</v>
      </c>
    </row>
    <row r="310" spans="1:11">
      <c r="A310" s="1">
        <v>307</v>
      </c>
      <c r="B310" s="13" t="s">
        <v>1039</v>
      </c>
      <c r="C310" s="8" t="s">
        <v>5</v>
      </c>
      <c r="D310" s="12" t="s">
        <v>36</v>
      </c>
      <c r="E310" s="11">
        <v>1344999</v>
      </c>
      <c r="F310" s="10">
        <f t="shared" si="10"/>
        <v>1304649.03</v>
      </c>
      <c r="G310" s="9">
        <f t="shared" si="11"/>
        <v>1264299.0599999998</v>
      </c>
      <c r="H310" s="72">
        <v>738.62</v>
      </c>
      <c r="I310" s="72">
        <v>590.72</v>
      </c>
      <c r="J310" s="72">
        <v>147.9</v>
      </c>
      <c r="K310" s="8" t="s">
        <v>668</v>
      </c>
    </row>
    <row r="311" spans="1:11">
      <c r="A311" s="1">
        <v>308</v>
      </c>
      <c r="B311" s="13" t="s">
        <v>1040</v>
      </c>
      <c r="C311" s="8" t="s">
        <v>5</v>
      </c>
      <c r="D311" s="12" t="s">
        <v>35</v>
      </c>
      <c r="E311" s="11">
        <v>798999</v>
      </c>
      <c r="F311" s="10">
        <f t="shared" si="10"/>
        <v>775029.03</v>
      </c>
      <c r="G311" s="9">
        <f t="shared" si="11"/>
        <v>751059.05999999994</v>
      </c>
      <c r="H311" s="72">
        <v>376.74</v>
      </c>
      <c r="I311" s="72">
        <v>308.27999999999997</v>
      </c>
      <c r="J311" s="72">
        <v>68.459999999999994</v>
      </c>
      <c r="K311" s="8" t="s">
        <v>668</v>
      </c>
    </row>
    <row r="312" spans="1:11">
      <c r="A312" s="1">
        <v>309</v>
      </c>
      <c r="B312" s="13" t="s">
        <v>1041</v>
      </c>
      <c r="C312" s="8" t="s">
        <v>5</v>
      </c>
      <c r="D312" s="12" t="s">
        <v>36</v>
      </c>
      <c r="E312" s="11">
        <v>1426999</v>
      </c>
      <c r="F312" s="10">
        <f t="shared" si="10"/>
        <v>1384189.03</v>
      </c>
      <c r="G312" s="9">
        <f t="shared" si="11"/>
        <v>1341379.0599999998</v>
      </c>
      <c r="H312" s="72">
        <v>815.69</v>
      </c>
      <c r="I312" s="72">
        <v>643.36</v>
      </c>
      <c r="J312" s="72">
        <v>172.33</v>
      </c>
      <c r="K312" s="8" t="s">
        <v>668</v>
      </c>
    </row>
    <row r="313" spans="1:11">
      <c r="A313" s="1">
        <v>310</v>
      </c>
      <c r="B313" s="13" t="s">
        <v>1042</v>
      </c>
      <c r="C313" s="8" t="s">
        <v>5</v>
      </c>
      <c r="D313" s="12" t="s">
        <v>36</v>
      </c>
      <c r="E313" s="11">
        <v>1440999</v>
      </c>
      <c r="F313" s="10">
        <f t="shared" si="10"/>
        <v>1397769.03</v>
      </c>
      <c r="G313" s="9">
        <f t="shared" si="11"/>
        <v>1354539.0599999998</v>
      </c>
      <c r="H313" s="72">
        <v>818.81</v>
      </c>
      <c r="I313" s="72">
        <v>646.48</v>
      </c>
      <c r="J313" s="72">
        <v>172.33</v>
      </c>
      <c r="K313" s="8" t="s">
        <v>665</v>
      </c>
    </row>
    <row r="314" spans="1:11">
      <c r="A314" s="1">
        <v>311</v>
      </c>
      <c r="B314" s="13" t="s">
        <v>1043</v>
      </c>
      <c r="C314" s="8" t="s">
        <v>5</v>
      </c>
      <c r="D314" s="12" t="s">
        <v>36</v>
      </c>
      <c r="E314" s="11">
        <v>1359999</v>
      </c>
      <c r="F314" s="10">
        <f t="shared" si="10"/>
        <v>1319199.03</v>
      </c>
      <c r="G314" s="9">
        <f t="shared" si="11"/>
        <v>1278399.0599999998</v>
      </c>
      <c r="H314" s="72">
        <v>754.33</v>
      </c>
      <c r="I314" s="72">
        <v>594.28</v>
      </c>
      <c r="J314" s="72">
        <v>160.06</v>
      </c>
      <c r="K314" s="8" t="s">
        <v>665</v>
      </c>
    </row>
    <row r="315" spans="1:11">
      <c r="A315" s="1">
        <v>312</v>
      </c>
      <c r="B315" s="13" t="s">
        <v>1044</v>
      </c>
      <c r="C315" s="8" t="s">
        <v>5</v>
      </c>
      <c r="D315" s="12" t="s">
        <v>36</v>
      </c>
      <c r="E315" s="11">
        <v>1363999</v>
      </c>
      <c r="F315" s="10">
        <f t="shared" si="10"/>
        <v>1323079.03</v>
      </c>
      <c r="G315" s="9">
        <f t="shared" si="11"/>
        <v>1282159.0599999998</v>
      </c>
      <c r="H315" s="72">
        <v>757.35</v>
      </c>
      <c r="I315" s="72">
        <v>597.29</v>
      </c>
      <c r="J315" s="72">
        <v>160.06</v>
      </c>
      <c r="K315" s="8" t="s">
        <v>665</v>
      </c>
    </row>
    <row r="316" spans="1:11">
      <c r="A316" s="1">
        <v>313</v>
      </c>
      <c r="B316" s="13" t="s">
        <v>1045</v>
      </c>
      <c r="C316" s="8" t="s">
        <v>5</v>
      </c>
      <c r="D316" s="12" t="s">
        <v>36</v>
      </c>
      <c r="E316" s="11">
        <v>1363999</v>
      </c>
      <c r="F316" s="10">
        <f t="shared" si="10"/>
        <v>1323079.03</v>
      </c>
      <c r="G316" s="9">
        <f t="shared" si="11"/>
        <v>1282159.0599999998</v>
      </c>
      <c r="H316" s="72">
        <v>757.35</v>
      </c>
      <c r="I316" s="72">
        <v>597.29</v>
      </c>
      <c r="J316" s="72">
        <v>160.06</v>
      </c>
      <c r="K316" s="8" t="s">
        <v>665</v>
      </c>
    </row>
    <row r="317" spans="1:11">
      <c r="A317" s="1">
        <v>314</v>
      </c>
      <c r="B317" s="13" t="s">
        <v>1046</v>
      </c>
      <c r="C317" s="8" t="s">
        <v>5</v>
      </c>
      <c r="D317" s="12" t="s">
        <v>36</v>
      </c>
      <c r="E317" s="11">
        <v>1363999</v>
      </c>
      <c r="F317" s="10">
        <f t="shared" si="10"/>
        <v>1323079.03</v>
      </c>
      <c r="G317" s="9">
        <f t="shared" si="11"/>
        <v>1282159.0599999998</v>
      </c>
      <c r="H317" s="72">
        <v>757.35</v>
      </c>
      <c r="I317" s="72">
        <v>597.29</v>
      </c>
      <c r="J317" s="72">
        <v>160.06</v>
      </c>
      <c r="K317" s="8" t="s">
        <v>665</v>
      </c>
    </row>
    <row r="318" spans="1:11">
      <c r="A318" s="1">
        <v>315</v>
      </c>
      <c r="B318" s="13" t="s">
        <v>1047</v>
      </c>
      <c r="C318" s="8" t="s">
        <v>5</v>
      </c>
      <c r="D318" s="12" t="s">
        <v>36</v>
      </c>
      <c r="E318" s="11">
        <v>1363999</v>
      </c>
      <c r="F318" s="10">
        <f t="shared" si="10"/>
        <v>1323079.03</v>
      </c>
      <c r="G318" s="9">
        <f t="shared" si="11"/>
        <v>1282159.0599999998</v>
      </c>
      <c r="H318" s="72">
        <v>757.13</v>
      </c>
      <c r="I318" s="72">
        <v>597.07000000000005</v>
      </c>
      <c r="J318" s="72">
        <v>160.06</v>
      </c>
      <c r="K318" s="8" t="s">
        <v>665</v>
      </c>
    </row>
    <row r="319" spans="1:11">
      <c r="A319" s="1">
        <v>316</v>
      </c>
      <c r="B319" s="13" t="s">
        <v>1048</v>
      </c>
      <c r="C319" s="8" t="s">
        <v>4</v>
      </c>
      <c r="D319" s="12" t="s">
        <v>36</v>
      </c>
      <c r="E319" s="11">
        <v>1524999</v>
      </c>
      <c r="F319" s="10">
        <f t="shared" si="10"/>
        <v>1479249.03</v>
      </c>
      <c r="G319" s="9">
        <f t="shared" si="11"/>
        <v>1433499.0599999998</v>
      </c>
      <c r="H319" s="72">
        <v>1633.42</v>
      </c>
      <c r="I319" s="72">
        <v>567.69000000000005</v>
      </c>
      <c r="J319" s="72">
        <v>1065.73</v>
      </c>
      <c r="K319" s="8" t="s">
        <v>665</v>
      </c>
    </row>
    <row r="320" spans="1:11">
      <c r="A320" s="1">
        <v>317</v>
      </c>
      <c r="B320" s="13" t="s">
        <v>1049</v>
      </c>
      <c r="C320" s="8" t="s">
        <v>4</v>
      </c>
      <c r="D320" s="12" t="s">
        <v>24</v>
      </c>
      <c r="E320" s="11">
        <v>2128999</v>
      </c>
      <c r="F320" s="10">
        <f t="shared" si="10"/>
        <v>2065129.03</v>
      </c>
      <c r="G320" s="9">
        <f t="shared" si="11"/>
        <v>2001259.0599999998</v>
      </c>
      <c r="H320" s="72">
        <v>2047.08</v>
      </c>
      <c r="I320" s="72">
        <v>826.13</v>
      </c>
      <c r="J320" s="72">
        <v>1220.95</v>
      </c>
      <c r="K320" s="8" t="s">
        <v>669</v>
      </c>
    </row>
    <row r="321" spans="1:11">
      <c r="A321" s="1">
        <v>318</v>
      </c>
      <c r="B321" s="13" t="s">
        <v>1050</v>
      </c>
      <c r="C321" s="8" t="s">
        <v>4</v>
      </c>
      <c r="D321" s="12" t="s">
        <v>36</v>
      </c>
      <c r="E321" s="11">
        <v>1494999</v>
      </c>
      <c r="F321" s="10">
        <f t="shared" si="10"/>
        <v>1450149.03</v>
      </c>
      <c r="G321" s="9">
        <f t="shared" si="11"/>
        <v>1405299.0599999998</v>
      </c>
      <c r="H321" s="72">
        <v>925.59</v>
      </c>
      <c r="I321" s="72">
        <v>654.34</v>
      </c>
      <c r="J321" s="72">
        <v>271.25</v>
      </c>
      <c r="K321" s="8" t="s">
        <v>666</v>
      </c>
    </row>
    <row r="322" spans="1:11">
      <c r="A322" s="1">
        <v>319</v>
      </c>
      <c r="B322" s="13" t="s">
        <v>1051</v>
      </c>
      <c r="C322" s="8" t="s">
        <v>4</v>
      </c>
      <c r="D322" s="12" t="s">
        <v>36</v>
      </c>
      <c r="E322" s="11">
        <v>1494999</v>
      </c>
      <c r="F322" s="10">
        <f t="shared" si="10"/>
        <v>1450149.03</v>
      </c>
      <c r="G322" s="9">
        <f t="shared" si="11"/>
        <v>1405299.0599999998</v>
      </c>
      <c r="H322" s="72">
        <v>924.84</v>
      </c>
      <c r="I322" s="72">
        <v>654.45000000000005</v>
      </c>
      <c r="J322" s="72">
        <v>270.39</v>
      </c>
      <c r="K322" s="8" t="s">
        <v>665</v>
      </c>
    </row>
    <row r="323" spans="1:11">
      <c r="A323" s="1">
        <v>320</v>
      </c>
      <c r="B323" s="13" t="s">
        <v>1052</v>
      </c>
      <c r="C323" s="8" t="s">
        <v>4</v>
      </c>
      <c r="D323" s="12" t="s">
        <v>36</v>
      </c>
      <c r="E323" s="11">
        <v>1312999</v>
      </c>
      <c r="F323" s="10">
        <f t="shared" si="10"/>
        <v>1273609.03</v>
      </c>
      <c r="G323" s="9">
        <f t="shared" si="11"/>
        <v>1234219.0599999998</v>
      </c>
      <c r="H323" s="72">
        <v>722.8</v>
      </c>
      <c r="I323" s="72">
        <v>569.29999999999995</v>
      </c>
      <c r="J323" s="72">
        <v>153.49</v>
      </c>
      <c r="K323" s="8" t="s">
        <v>665</v>
      </c>
    </row>
    <row r="324" spans="1:11">
      <c r="A324" s="1">
        <v>321</v>
      </c>
      <c r="B324" s="13" t="s">
        <v>1053</v>
      </c>
      <c r="C324" s="8" t="s">
        <v>4</v>
      </c>
      <c r="D324" s="12" t="s">
        <v>36</v>
      </c>
      <c r="E324" s="11">
        <v>1252999</v>
      </c>
      <c r="F324" s="10">
        <f t="shared" si="10"/>
        <v>1215409.03</v>
      </c>
      <c r="G324" s="9">
        <f t="shared" si="11"/>
        <v>1177819.0599999998</v>
      </c>
      <c r="H324" s="72">
        <v>705.47</v>
      </c>
      <c r="I324" s="72">
        <v>541.64</v>
      </c>
      <c r="J324" s="72">
        <v>163.83000000000001</v>
      </c>
      <c r="K324" s="8" t="s">
        <v>666</v>
      </c>
    </row>
    <row r="325" spans="1:11">
      <c r="A325" s="1">
        <v>322</v>
      </c>
      <c r="B325" s="13" t="s">
        <v>1054</v>
      </c>
      <c r="C325" s="8" t="s">
        <v>4</v>
      </c>
      <c r="D325" s="12" t="s">
        <v>36</v>
      </c>
      <c r="E325" s="11">
        <v>1261999</v>
      </c>
      <c r="F325" s="10">
        <f t="shared" si="10"/>
        <v>1224139.03</v>
      </c>
      <c r="G325" s="9">
        <f t="shared" si="11"/>
        <v>1186279.0599999998</v>
      </c>
      <c r="H325" s="72">
        <v>700.62</v>
      </c>
      <c r="I325" s="72">
        <v>544.87</v>
      </c>
      <c r="J325" s="72">
        <v>155.75</v>
      </c>
      <c r="K325" s="8" t="s">
        <v>665</v>
      </c>
    </row>
    <row r="326" spans="1:11">
      <c r="A326" s="1">
        <v>323</v>
      </c>
      <c r="B326" s="13" t="s">
        <v>1055</v>
      </c>
      <c r="C326" s="8" t="s">
        <v>4</v>
      </c>
      <c r="D326" s="12" t="s">
        <v>35</v>
      </c>
      <c r="E326" s="11">
        <v>777999</v>
      </c>
      <c r="F326" s="10">
        <f t="shared" si="10"/>
        <v>754659.03</v>
      </c>
      <c r="G326" s="9">
        <f t="shared" si="11"/>
        <v>731319.05999999994</v>
      </c>
      <c r="H326" s="72">
        <v>311.39999999999998</v>
      </c>
      <c r="I326" s="72">
        <v>311.39999999999998</v>
      </c>
      <c r="J326" s="72">
        <v>0</v>
      </c>
      <c r="K326" s="8" t="s">
        <v>665</v>
      </c>
    </row>
    <row r="327" spans="1:11">
      <c r="A327" s="1">
        <v>324</v>
      </c>
      <c r="B327" s="13" t="s">
        <v>1056</v>
      </c>
      <c r="C327" s="8" t="s">
        <v>4</v>
      </c>
      <c r="D327" s="12" t="s">
        <v>36</v>
      </c>
      <c r="E327" s="11">
        <v>1426999</v>
      </c>
      <c r="F327" s="10">
        <f t="shared" si="10"/>
        <v>1384189.03</v>
      </c>
      <c r="G327" s="9">
        <f t="shared" si="11"/>
        <v>1341379.0599999998</v>
      </c>
      <c r="H327" s="72">
        <v>850.24</v>
      </c>
      <c r="I327" s="72">
        <v>628.94000000000005</v>
      </c>
      <c r="J327" s="72">
        <v>221.31</v>
      </c>
      <c r="K327" s="8" t="s">
        <v>665</v>
      </c>
    </row>
    <row r="328" spans="1:11">
      <c r="A328" s="1">
        <v>325</v>
      </c>
      <c r="B328" s="13" t="s">
        <v>1057</v>
      </c>
      <c r="C328" s="8" t="s">
        <v>4</v>
      </c>
      <c r="D328" s="12" t="s">
        <v>36</v>
      </c>
      <c r="E328" s="11">
        <v>1316999</v>
      </c>
      <c r="F328" s="10">
        <f t="shared" si="10"/>
        <v>1277489.03</v>
      </c>
      <c r="G328" s="9">
        <f t="shared" si="11"/>
        <v>1237979.0599999998</v>
      </c>
      <c r="H328" s="72">
        <v>612.36</v>
      </c>
      <c r="I328" s="72">
        <v>612.36</v>
      </c>
      <c r="J328" s="72">
        <v>0</v>
      </c>
      <c r="K328" s="8" t="s">
        <v>666</v>
      </c>
    </row>
    <row r="329" spans="1:11">
      <c r="A329" s="1">
        <v>326</v>
      </c>
      <c r="B329" s="13" t="s">
        <v>1058</v>
      </c>
      <c r="C329" s="8" t="s">
        <v>4</v>
      </c>
      <c r="D329" s="12" t="s">
        <v>36</v>
      </c>
      <c r="E329" s="11">
        <v>1305999</v>
      </c>
      <c r="F329" s="10">
        <f t="shared" si="10"/>
        <v>1266819.03</v>
      </c>
      <c r="G329" s="9">
        <f t="shared" si="11"/>
        <v>1227639.0599999998</v>
      </c>
      <c r="H329" s="72">
        <v>727.96</v>
      </c>
      <c r="I329" s="72">
        <v>567.47</v>
      </c>
      <c r="J329" s="72">
        <v>160.49</v>
      </c>
      <c r="K329" s="8" t="s">
        <v>666</v>
      </c>
    </row>
    <row r="330" spans="1:11">
      <c r="A330" s="1">
        <v>327</v>
      </c>
      <c r="B330" s="13" t="s">
        <v>1059</v>
      </c>
      <c r="C330" s="8" t="s">
        <v>4</v>
      </c>
      <c r="D330" s="12" t="s">
        <v>36</v>
      </c>
      <c r="E330" s="11">
        <v>1424999</v>
      </c>
      <c r="F330" s="10">
        <f t="shared" si="10"/>
        <v>1382249.03</v>
      </c>
      <c r="G330" s="9">
        <f t="shared" si="11"/>
        <v>1339499.0599999998</v>
      </c>
      <c r="H330" s="72">
        <v>1044.31</v>
      </c>
      <c r="I330" s="72">
        <v>574.79</v>
      </c>
      <c r="J330" s="72">
        <v>469.52</v>
      </c>
      <c r="K330" s="8" t="s">
        <v>667</v>
      </c>
    </row>
    <row r="331" spans="1:11">
      <c r="A331" s="1">
        <v>328</v>
      </c>
      <c r="B331" s="13" t="s">
        <v>1060</v>
      </c>
      <c r="C331" s="8" t="s">
        <v>4</v>
      </c>
      <c r="D331" s="12" t="s">
        <v>36</v>
      </c>
      <c r="E331" s="11">
        <v>1368999</v>
      </c>
      <c r="F331" s="10">
        <f t="shared" si="10"/>
        <v>1327929.03</v>
      </c>
      <c r="G331" s="9">
        <f t="shared" si="11"/>
        <v>1286859.0599999998</v>
      </c>
      <c r="H331" s="72">
        <v>821.61</v>
      </c>
      <c r="I331" s="72">
        <v>585.13</v>
      </c>
      <c r="J331" s="72">
        <v>236.48</v>
      </c>
      <c r="K331" s="8" t="s">
        <v>668</v>
      </c>
    </row>
    <row r="332" spans="1:11">
      <c r="A332" s="1">
        <v>329</v>
      </c>
      <c r="B332" s="13" t="s">
        <v>1061</v>
      </c>
      <c r="C332" s="8" t="s">
        <v>4</v>
      </c>
      <c r="D332" s="12" t="s">
        <v>36</v>
      </c>
      <c r="E332" s="11">
        <v>1331999</v>
      </c>
      <c r="F332" s="10">
        <f t="shared" si="10"/>
        <v>1292039.03</v>
      </c>
      <c r="G332" s="9">
        <f t="shared" si="11"/>
        <v>1252079.0599999998</v>
      </c>
      <c r="H332" s="72">
        <v>775.54</v>
      </c>
      <c r="I332" s="72">
        <v>571.03</v>
      </c>
      <c r="J332" s="72">
        <v>204.51</v>
      </c>
      <c r="K332" s="8" t="s">
        <v>668</v>
      </c>
    </row>
    <row r="333" spans="1:11">
      <c r="A333" s="1">
        <v>330</v>
      </c>
      <c r="B333" s="13" t="s">
        <v>1062</v>
      </c>
      <c r="C333" s="8" t="s">
        <v>4</v>
      </c>
      <c r="D333" s="12" t="s">
        <v>36</v>
      </c>
      <c r="E333" s="11">
        <v>1349999</v>
      </c>
      <c r="F333" s="10">
        <f t="shared" si="10"/>
        <v>1309499.03</v>
      </c>
      <c r="G333" s="9">
        <f t="shared" si="11"/>
        <v>1268999.0599999998</v>
      </c>
      <c r="H333" s="72">
        <v>750.78</v>
      </c>
      <c r="I333" s="72">
        <v>590.72</v>
      </c>
      <c r="J333" s="72">
        <v>160.06</v>
      </c>
      <c r="K333" s="8" t="s">
        <v>668</v>
      </c>
    </row>
    <row r="334" spans="1:11">
      <c r="A334" s="1">
        <v>331</v>
      </c>
      <c r="B334" s="13" t="s">
        <v>1063</v>
      </c>
      <c r="C334" s="8" t="s">
        <v>4</v>
      </c>
      <c r="D334" s="12" t="s">
        <v>36</v>
      </c>
      <c r="E334" s="11">
        <v>1349999</v>
      </c>
      <c r="F334" s="10">
        <f t="shared" si="10"/>
        <v>1309499.03</v>
      </c>
      <c r="G334" s="9">
        <f t="shared" si="11"/>
        <v>1268999.0599999998</v>
      </c>
      <c r="H334" s="72">
        <v>750.78</v>
      </c>
      <c r="I334" s="72">
        <v>590.72</v>
      </c>
      <c r="J334" s="72">
        <v>160.06</v>
      </c>
      <c r="K334" s="8" t="s">
        <v>668</v>
      </c>
    </row>
    <row r="335" spans="1:11">
      <c r="A335" s="1">
        <v>332</v>
      </c>
      <c r="B335" s="13" t="s">
        <v>1064</v>
      </c>
      <c r="C335" s="8" t="s">
        <v>4</v>
      </c>
      <c r="D335" s="12" t="s">
        <v>36</v>
      </c>
      <c r="E335" s="11">
        <v>1343999</v>
      </c>
      <c r="F335" s="10">
        <f t="shared" si="10"/>
        <v>1303679.03</v>
      </c>
      <c r="G335" s="9">
        <f t="shared" si="11"/>
        <v>1263359.0599999998</v>
      </c>
      <c r="H335" s="72">
        <v>738.62</v>
      </c>
      <c r="I335" s="72">
        <v>590.72</v>
      </c>
      <c r="J335" s="72">
        <v>147.9</v>
      </c>
      <c r="K335" s="8" t="s">
        <v>668</v>
      </c>
    </row>
    <row r="336" spans="1:11">
      <c r="A336" s="1">
        <v>333</v>
      </c>
      <c r="B336" s="13" t="s">
        <v>1065</v>
      </c>
      <c r="C336" s="8" t="s">
        <v>4</v>
      </c>
      <c r="D336" s="12" t="s">
        <v>35</v>
      </c>
      <c r="E336" s="11">
        <v>798999</v>
      </c>
      <c r="F336" s="10">
        <f t="shared" si="10"/>
        <v>775029.03</v>
      </c>
      <c r="G336" s="9">
        <f t="shared" si="11"/>
        <v>751059.05999999994</v>
      </c>
      <c r="H336" s="72">
        <v>376.74</v>
      </c>
      <c r="I336" s="72">
        <v>308.27999999999997</v>
      </c>
      <c r="J336" s="72">
        <v>68.459999999999994</v>
      </c>
      <c r="K336" s="8" t="s">
        <v>668</v>
      </c>
    </row>
    <row r="337" spans="1:11">
      <c r="A337" s="1">
        <v>334</v>
      </c>
      <c r="B337" s="13" t="s">
        <v>4331</v>
      </c>
      <c r="C337" s="8" t="s">
        <v>4</v>
      </c>
      <c r="D337" s="12" t="s">
        <v>35</v>
      </c>
      <c r="E337" s="11">
        <v>791999</v>
      </c>
      <c r="F337" s="10">
        <f t="shared" si="10"/>
        <v>768239.03</v>
      </c>
      <c r="G337" s="9">
        <f t="shared" si="11"/>
        <v>744479.05999999994</v>
      </c>
      <c r="H337" s="72">
        <v>383.95</v>
      </c>
      <c r="I337" s="72">
        <v>303.33</v>
      </c>
      <c r="J337" s="72">
        <v>80.62</v>
      </c>
      <c r="K337" s="8" t="s">
        <v>668</v>
      </c>
    </row>
    <row r="338" spans="1:11">
      <c r="A338" s="1">
        <v>335</v>
      </c>
      <c r="B338" s="13" t="s">
        <v>1066</v>
      </c>
      <c r="C338" s="8" t="s">
        <v>4</v>
      </c>
      <c r="D338" s="12" t="s">
        <v>863</v>
      </c>
      <c r="E338" s="11">
        <v>1599999</v>
      </c>
      <c r="F338" s="10">
        <f t="shared" si="10"/>
        <v>1551999.03</v>
      </c>
      <c r="G338" s="9">
        <f t="shared" si="11"/>
        <v>1503999.0599999998</v>
      </c>
      <c r="H338" s="72">
        <v>1260.67</v>
      </c>
      <c r="I338" s="72">
        <v>643.25</v>
      </c>
      <c r="J338" s="72">
        <v>617.41999999999996</v>
      </c>
      <c r="K338" s="8" t="s">
        <v>1220</v>
      </c>
    </row>
    <row r="339" spans="1:11">
      <c r="A339" s="1">
        <v>336</v>
      </c>
      <c r="B339" s="13" t="s">
        <v>1067</v>
      </c>
      <c r="C339" s="8" t="s">
        <v>4</v>
      </c>
      <c r="D339" s="12" t="s">
        <v>863</v>
      </c>
      <c r="E339" s="11">
        <v>1612999</v>
      </c>
      <c r="F339" s="10">
        <f t="shared" si="10"/>
        <v>1564609.03</v>
      </c>
      <c r="G339" s="9">
        <f t="shared" si="11"/>
        <v>1516219.0599999998</v>
      </c>
      <c r="H339" s="72">
        <v>1263.9000000000001</v>
      </c>
      <c r="I339" s="72">
        <v>646.48</v>
      </c>
      <c r="J339" s="72">
        <v>617.41999999999996</v>
      </c>
      <c r="K339" s="8" t="s">
        <v>665</v>
      </c>
    </row>
    <row r="340" spans="1:11">
      <c r="A340" s="1">
        <v>337</v>
      </c>
      <c r="B340" s="13" t="s">
        <v>1068</v>
      </c>
      <c r="C340" s="8" t="s">
        <v>4</v>
      </c>
      <c r="D340" s="12" t="s">
        <v>36</v>
      </c>
      <c r="E340" s="11">
        <v>1358999</v>
      </c>
      <c r="F340" s="10">
        <f t="shared" si="10"/>
        <v>1318229.03</v>
      </c>
      <c r="G340" s="9">
        <f t="shared" si="11"/>
        <v>1277459.0599999998</v>
      </c>
      <c r="H340" s="72">
        <v>754.33</v>
      </c>
      <c r="I340" s="72">
        <v>594.28</v>
      </c>
      <c r="J340" s="72">
        <v>160.06</v>
      </c>
      <c r="K340" s="8" t="s">
        <v>665</v>
      </c>
    </row>
    <row r="341" spans="1:11">
      <c r="A341" s="1">
        <v>338</v>
      </c>
      <c r="B341" s="13" t="s">
        <v>1069</v>
      </c>
      <c r="C341" s="8" t="s">
        <v>4</v>
      </c>
      <c r="D341" s="12" t="s">
        <v>36</v>
      </c>
      <c r="E341" s="11">
        <v>1362999</v>
      </c>
      <c r="F341" s="10">
        <f t="shared" si="10"/>
        <v>1322109.03</v>
      </c>
      <c r="G341" s="9">
        <f t="shared" si="11"/>
        <v>1281219.0599999998</v>
      </c>
      <c r="H341" s="72">
        <v>757.35</v>
      </c>
      <c r="I341" s="72">
        <v>597.29</v>
      </c>
      <c r="J341" s="72">
        <v>160.06</v>
      </c>
      <c r="K341" s="8" t="s">
        <v>665</v>
      </c>
    </row>
    <row r="342" spans="1:11">
      <c r="A342" s="1">
        <v>339</v>
      </c>
      <c r="B342" s="13" t="s">
        <v>1070</v>
      </c>
      <c r="C342" s="8" t="s">
        <v>4</v>
      </c>
      <c r="D342" s="12" t="s">
        <v>36</v>
      </c>
      <c r="E342" s="11">
        <v>1362999</v>
      </c>
      <c r="F342" s="10">
        <f t="shared" si="10"/>
        <v>1322109.03</v>
      </c>
      <c r="G342" s="9">
        <f t="shared" si="11"/>
        <v>1281219.0599999998</v>
      </c>
      <c r="H342" s="72">
        <v>757.35</v>
      </c>
      <c r="I342" s="72">
        <v>597.29</v>
      </c>
      <c r="J342" s="72">
        <v>160.06</v>
      </c>
      <c r="K342" s="8" t="s">
        <v>665</v>
      </c>
    </row>
    <row r="343" spans="1:11">
      <c r="A343" s="1">
        <v>340</v>
      </c>
      <c r="B343" s="13" t="s">
        <v>1071</v>
      </c>
      <c r="C343" s="8" t="s">
        <v>4</v>
      </c>
      <c r="D343" s="12" t="s">
        <v>36</v>
      </c>
      <c r="E343" s="11">
        <v>1362999</v>
      </c>
      <c r="F343" s="10">
        <f t="shared" si="10"/>
        <v>1322109.03</v>
      </c>
      <c r="G343" s="9">
        <f t="shared" si="11"/>
        <v>1281219.0599999998</v>
      </c>
      <c r="H343" s="72">
        <v>757.35</v>
      </c>
      <c r="I343" s="72">
        <v>597.29</v>
      </c>
      <c r="J343" s="72">
        <v>160.06</v>
      </c>
      <c r="K343" s="8" t="s">
        <v>665</v>
      </c>
    </row>
    <row r="344" spans="1:11">
      <c r="A344" s="1">
        <v>341</v>
      </c>
      <c r="B344" s="13" t="s">
        <v>1072</v>
      </c>
      <c r="C344" s="8" t="s">
        <v>4</v>
      </c>
      <c r="D344" s="12" t="s">
        <v>36</v>
      </c>
      <c r="E344" s="11">
        <v>1362999</v>
      </c>
      <c r="F344" s="10">
        <f t="shared" si="10"/>
        <v>1322109.03</v>
      </c>
      <c r="G344" s="9">
        <f t="shared" si="11"/>
        <v>1281219.0599999998</v>
      </c>
      <c r="H344" s="72">
        <v>757.13</v>
      </c>
      <c r="I344" s="72">
        <v>597.07000000000005</v>
      </c>
      <c r="J344" s="72">
        <v>160.06</v>
      </c>
      <c r="K344" s="8" t="s">
        <v>665</v>
      </c>
    </row>
    <row r="345" spans="1:11">
      <c r="A345" s="1">
        <v>342</v>
      </c>
      <c r="B345" s="13" t="s">
        <v>1073</v>
      </c>
      <c r="C345" s="8" t="s">
        <v>4458</v>
      </c>
      <c r="D345" s="12" t="s">
        <v>36</v>
      </c>
      <c r="E345" s="11">
        <v>1224999</v>
      </c>
      <c r="F345" s="10">
        <f t="shared" si="10"/>
        <v>1188249.03</v>
      </c>
      <c r="G345" s="9">
        <f t="shared" si="11"/>
        <v>1151499.0599999998</v>
      </c>
      <c r="H345" s="72">
        <v>569.73</v>
      </c>
      <c r="I345" s="72">
        <v>569.73</v>
      </c>
      <c r="J345" s="72">
        <v>0</v>
      </c>
      <c r="K345" s="8" t="s">
        <v>667</v>
      </c>
    </row>
    <row r="346" spans="1:11">
      <c r="A346" s="1">
        <v>343</v>
      </c>
      <c r="B346" s="13" t="s">
        <v>1074</v>
      </c>
      <c r="C346" s="8" t="s">
        <v>4458</v>
      </c>
      <c r="D346" s="12" t="s">
        <v>36</v>
      </c>
      <c r="E346" s="11">
        <v>1333999</v>
      </c>
      <c r="F346" s="10">
        <f t="shared" si="10"/>
        <v>1293979.03</v>
      </c>
      <c r="G346" s="9">
        <f t="shared" si="11"/>
        <v>1253959.0599999998</v>
      </c>
      <c r="H346" s="72">
        <v>772.53</v>
      </c>
      <c r="I346" s="72">
        <v>574.79</v>
      </c>
      <c r="J346" s="72">
        <v>197.73</v>
      </c>
      <c r="K346" s="8" t="s">
        <v>667</v>
      </c>
    </row>
    <row r="347" spans="1:11">
      <c r="A347" s="1">
        <v>344</v>
      </c>
      <c r="B347" s="13" t="s">
        <v>1075</v>
      </c>
      <c r="C347" s="8" t="s">
        <v>4458</v>
      </c>
      <c r="D347" s="12" t="s">
        <v>36</v>
      </c>
      <c r="E347" s="11">
        <v>1365999</v>
      </c>
      <c r="F347" s="10">
        <f t="shared" si="10"/>
        <v>1325019.03</v>
      </c>
      <c r="G347" s="9">
        <f t="shared" si="11"/>
        <v>1284039.0599999998</v>
      </c>
      <c r="H347" s="72">
        <v>816.01</v>
      </c>
      <c r="I347" s="72">
        <v>585.13</v>
      </c>
      <c r="J347" s="72">
        <v>230.89</v>
      </c>
      <c r="K347" s="8" t="s">
        <v>668</v>
      </c>
    </row>
    <row r="348" spans="1:11">
      <c r="A348" s="1">
        <v>345</v>
      </c>
      <c r="B348" s="13" t="s">
        <v>1076</v>
      </c>
      <c r="C348" s="8" t="s">
        <v>4458</v>
      </c>
      <c r="D348" s="12" t="s">
        <v>36</v>
      </c>
      <c r="E348" s="11">
        <v>1264999</v>
      </c>
      <c r="F348" s="10">
        <f t="shared" si="10"/>
        <v>1227049.03</v>
      </c>
      <c r="G348" s="9">
        <f t="shared" si="11"/>
        <v>1189099.0599999998</v>
      </c>
      <c r="H348" s="72">
        <v>640.55999999999995</v>
      </c>
      <c r="I348" s="72">
        <v>571.03</v>
      </c>
      <c r="J348" s="72">
        <v>69.53</v>
      </c>
      <c r="K348" s="8" t="s">
        <v>668</v>
      </c>
    </row>
    <row r="349" spans="1:11">
      <c r="A349" s="1">
        <v>346</v>
      </c>
      <c r="B349" s="13" t="s">
        <v>1077</v>
      </c>
      <c r="C349" s="8" t="s">
        <v>4458</v>
      </c>
      <c r="D349" s="12" t="s">
        <v>36</v>
      </c>
      <c r="E349" s="11">
        <v>1349999</v>
      </c>
      <c r="F349" s="10">
        <f t="shared" si="10"/>
        <v>1309499.03</v>
      </c>
      <c r="G349" s="9">
        <f t="shared" si="11"/>
        <v>1268999.0599999998</v>
      </c>
      <c r="H349" s="72">
        <v>750.78</v>
      </c>
      <c r="I349" s="72">
        <v>590.72</v>
      </c>
      <c r="J349" s="72">
        <v>160.06</v>
      </c>
      <c r="K349" s="8" t="s">
        <v>668</v>
      </c>
    </row>
    <row r="350" spans="1:11">
      <c r="A350" s="1">
        <v>347</v>
      </c>
      <c r="B350" s="13" t="s">
        <v>1078</v>
      </c>
      <c r="C350" s="8" t="s">
        <v>4458</v>
      </c>
      <c r="D350" s="12" t="s">
        <v>36</v>
      </c>
      <c r="E350" s="11">
        <v>1349999</v>
      </c>
      <c r="F350" s="10">
        <f t="shared" si="10"/>
        <v>1309499.03</v>
      </c>
      <c r="G350" s="9">
        <f t="shared" si="11"/>
        <v>1268999.0599999998</v>
      </c>
      <c r="H350" s="72">
        <v>750.78</v>
      </c>
      <c r="I350" s="72">
        <v>590.72</v>
      </c>
      <c r="J350" s="72">
        <v>160.06</v>
      </c>
      <c r="K350" s="8" t="s">
        <v>668</v>
      </c>
    </row>
    <row r="351" spans="1:11">
      <c r="A351" s="1">
        <v>348</v>
      </c>
      <c r="B351" s="13" t="s">
        <v>1079</v>
      </c>
      <c r="C351" s="8" t="s">
        <v>4458</v>
      </c>
      <c r="D351" s="12" t="s">
        <v>36</v>
      </c>
      <c r="E351" s="11">
        <v>1389999</v>
      </c>
      <c r="F351" s="10">
        <f t="shared" si="10"/>
        <v>1348299.03</v>
      </c>
      <c r="G351" s="9">
        <f t="shared" si="11"/>
        <v>1306599.0599999998</v>
      </c>
      <c r="H351" s="72">
        <v>849.81</v>
      </c>
      <c r="I351" s="72">
        <v>590.72</v>
      </c>
      <c r="J351" s="72">
        <v>259.08999999999997</v>
      </c>
      <c r="K351" s="8" t="s">
        <v>668</v>
      </c>
    </row>
    <row r="352" spans="1:11">
      <c r="A352" s="1">
        <v>349</v>
      </c>
      <c r="B352" s="13" t="s">
        <v>4886</v>
      </c>
      <c r="C352" s="8" t="s">
        <v>4458</v>
      </c>
      <c r="D352" s="12" t="s">
        <v>35</v>
      </c>
      <c r="E352" s="11">
        <v>790999</v>
      </c>
      <c r="F352" s="10">
        <f t="shared" si="10"/>
        <v>767269.03</v>
      </c>
      <c r="G352" s="9">
        <f t="shared" si="11"/>
        <v>743539.05999999994</v>
      </c>
      <c r="H352" s="72">
        <v>383.95</v>
      </c>
      <c r="I352" s="72">
        <v>303.33</v>
      </c>
      <c r="J352" s="72">
        <v>80.62</v>
      </c>
      <c r="K352" s="8" t="s">
        <v>668</v>
      </c>
    </row>
    <row r="353" spans="1:11">
      <c r="A353" s="1">
        <v>350</v>
      </c>
      <c r="B353" s="13" t="s">
        <v>1080</v>
      </c>
      <c r="C353" s="8" t="s">
        <v>4458</v>
      </c>
      <c r="D353" s="12" t="s">
        <v>24</v>
      </c>
      <c r="E353" s="11">
        <v>2104999</v>
      </c>
      <c r="F353" s="10">
        <f t="shared" si="10"/>
        <v>2041849.03</v>
      </c>
      <c r="G353" s="9">
        <f t="shared" si="11"/>
        <v>1978699.0599999998</v>
      </c>
      <c r="H353" s="72">
        <v>1263.1400000000001</v>
      </c>
      <c r="I353" s="72">
        <v>1010.84</v>
      </c>
      <c r="J353" s="72">
        <v>252.31</v>
      </c>
      <c r="K353" s="8" t="s">
        <v>668</v>
      </c>
    </row>
    <row r="354" spans="1:11">
      <c r="A354" s="1">
        <v>351</v>
      </c>
      <c r="B354" s="13" t="s">
        <v>1081</v>
      </c>
      <c r="C354" s="8" t="s">
        <v>4458</v>
      </c>
      <c r="D354" s="12" t="s">
        <v>24</v>
      </c>
      <c r="E354" s="11">
        <v>2122999</v>
      </c>
      <c r="F354" s="10">
        <f t="shared" si="10"/>
        <v>2059309.03</v>
      </c>
      <c r="G354" s="9">
        <f t="shared" si="11"/>
        <v>1995619.0599999998</v>
      </c>
      <c r="H354" s="72">
        <v>1266.3699999999999</v>
      </c>
      <c r="I354" s="72">
        <v>1014.07</v>
      </c>
      <c r="J354" s="72">
        <v>252.31</v>
      </c>
      <c r="K354" s="8" t="s">
        <v>665</v>
      </c>
    </row>
    <row r="355" spans="1:11">
      <c r="A355" s="1">
        <v>352</v>
      </c>
      <c r="B355" s="13" t="s">
        <v>1082</v>
      </c>
      <c r="C355" s="8" t="s">
        <v>4458</v>
      </c>
      <c r="D355" s="12" t="s">
        <v>36</v>
      </c>
      <c r="E355" s="11">
        <v>1357999</v>
      </c>
      <c r="F355" s="10">
        <f t="shared" si="10"/>
        <v>1317259.03</v>
      </c>
      <c r="G355" s="9">
        <f t="shared" si="11"/>
        <v>1276519.0599999998</v>
      </c>
      <c r="H355" s="72">
        <v>754.33</v>
      </c>
      <c r="I355" s="72">
        <v>594.28</v>
      </c>
      <c r="J355" s="72">
        <v>160.06</v>
      </c>
      <c r="K355" s="8" t="s">
        <v>665</v>
      </c>
    </row>
    <row r="356" spans="1:11">
      <c r="A356" s="1">
        <v>353</v>
      </c>
      <c r="B356" s="13" t="s">
        <v>1083</v>
      </c>
      <c r="C356" s="8" t="s">
        <v>4458</v>
      </c>
      <c r="D356" s="12" t="s">
        <v>36</v>
      </c>
      <c r="E356" s="11">
        <v>1362999</v>
      </c>
      <c r="F356" s="10">
        <f t="shared" si="10"/>
        <v>1322109.03</v>
      </c>
      <c r="G356" s="9">
        <f t="shared" si="11"/>
        <v>1281219.0599999998</v>
      </c>
      <c r="H356" s="72">
        <v>757.35</v>
      </c>
      <c r="I356" s="72">
        <v>597.29</v>
      </c>
      <c r="J356" s="72">
        <v>160.06</v>
      </c>
      <c r="K356" s="8" t="s">
        <v>665</v>
      </c>
    </row>
    <row r="357" spans="1:11">
      <c r="A357" s="1">
        <v>354</v>
      </c>
      <c r="B357" s="13" t="s">
        <v>1084</v>
      </c>
      <c r="C357" s="8" t="s">
        <v>4458</v>
      </c>
      <c r="D357" s="12" t="s">
        <v>36</v>
      </c>
      <c r="E357" s="11">
        <v>1362999</v>
      </c>
      <c r="F357" s="10">
        <f t="shared" si="10"/>
        <v>1322109.03</v>
      </c>
      <c r="G357" s="9">
        <f t="shared" si="11"/>
        <v>1281219.0599999998</v>
      </c>
      <c r="H357" s="72">
        <v>757.35</v>
      </c>
      <c r="I357" s="72">
        <v>597.29</v>
      </c>
      <c r="J357" s="72">
        <v>160.06</v>
      </c>
      <c r="K357" s="8" t="s">
        <v>665</v>
      </c>
    </row>
    <row r="358" spans="1:11">
      <c r="A358" s="1">
        <v>355</v>
      </c>
      <c r="B358" s="13" t="s">
        <v>1085</v>
      </c>
      <c r="C358" s="8" t="s">
        <v>4458</v>
      </c>
      <c r="D358" s="12" t="s">
        <v>36</v>
      </c>
      <c r="E358" s="11">
        <v>1361999</v>
      </c>
      <c r="F358" s="10">
        <f t="shared" si="10"/>
        <v>1321139.03</v>
      </c>
      <c r="G358" s="9">
        <f t="shared" si="11"/>
        <v>1280279.0599999998</v>
      </c>
      <c r="H358" s="72">
        <v>757.13</v>
      </c>
      <c r="I358" s="72">
        <v>597.07000000000005</v>
      </c>
      <c r="J358" s="72">
        <v>160.06</v>
      </c>
      <c r="K358" s="8" t="s">
        <v>665</v>
      </c>
    </row>
    <row r="359" spans="1:11">
      <c r="A359" s="1">
        <v>356</v>
      </c>
      <c r="B359" s="13" t="s">
        <v>1086</v>
      </c>
      <c r="C359" s="8" t="s">
        <v>6</v>
      </c>
      <c r="D359" s="12" t="s">
        <v>36</v>
      </c>
      <c r="E359" s="11">
        <v>1223999</v>
      </c>
      <c r="F359" s="10">
        <f t="shared" si="10"/>
        <v>1187279.03</v>
      </c>
      <c r="G359" s="9">
        <f t="shared" si="11"/>
        <v>1150559.0599999998</v>
      </c>
      <c r="H359" s="72">
        <v>569.73</v>
      </c>
      <c r="I359" s="72">
        <v>569.73</v>
      </c>
      <c r="J359" s="72">
        <v>0</v>
      </c>
      <c r="K359" s="8" t="s">
        <v>667</v>
      </c>
    </row>
    <row r="360" spans="1:11">
      <c r="A360" s="1">
        <v>357</v>
      </c>
      <c r="B360" s="13" t="s">
        <v>1087</v>
      </c>
      <c r="C360" s="8" t="s">
        <v>6</v>
      </c>
      <c r="D360" s="12" t="s">
        <v>36</v>
      </c>
      <c r="E360" s="11">
        <v>1332999</v>
      </c>
      <c r="F360" s="10">
        <f t="shared" si="10"/>
        <v>1293009.03</v>
      </c>
      <c r="G360" s="9">
        <f t="shared" si="11"/>
        <v>1253019.0599999998</v>
      </c>
      <c r="H360" s="72">
        <v>772.53</v>
      </c>
      <c r="I360" s="72">
        <v>574.79</v>
      </c>
      <c r="J360" s="72">
        <v>197.73</v>
      </c>
      <c r="K360" s="8" t="s">
        <v>667</v>
      </c>
    </row>
    <row r="361" spans="1:11">
      <c r="A361" s="1">
        <v>358</v>
      </c>
      <c r="B361" s="13" t="s">
        <v>1088</v>
      </c>
      <c r="C361" s="8" t="s">
        <v>6</v>
      </c>
      <c r="D361" s="12" t="s">
        <v>36</v>
      </c>
      <c r="E361" s="11">
        <v>1364999</v>
      </c>
      <c r="F361" s="10">
        <f t="shared" si="10"/>
        <v>1324049.03</v>
      </c>
      <c r="G361" s="9">
        <f t="shared" si="11"/>
        <v>1283099.0599999998</v>
      </c>
      <c r="H361" s="72">
        <v>816.01</v>
      </c>
      <c r="I361" s="72">
        <v>585.13</v>
      </c>
      <c r="J361" s="72">
        <v>230.89</v>
      </c>
      <c r="K361" s="8" t="s">
        <v>668</v>
      </c>
    </row>
    <row r="362" spans="1:11">
      <c r="A362" s="1">
        <v>359</v>
      </c>
      <c r="B362" s="13" t="s">
        <v>1089</v>
      </c>
      <c r="C362" s="8" t="s">
        <v>6</v>
      </c>
      <c r="D362" s="12" t="s">
        <v>36</v>
      </c>
      <c r="E362" s="11">
        <v>1264999</v>
      </c>
      <c r="F362" s="10">
        <f t="shared" si="10"/>
        <v>1227049.03</v>
      </c>
      <c r="G362" s="9">
        <f t="shared" si="11"/>
        <v>1189099.0599999998</v>
      </c>
      <c r="H362" s="72">
        <v>640.55999999999995</v>
      </c>
      <c r="I362" s="72">
        <v>571.03</v>
      </c>
      <c r="J362" s="72">
        <v>69.53</v>
      </c>
      <c r="K362" s="8" t="s">
        <v>668</v>
      </c>
    </row>
    <row r="363" spans="1:11">
      <c r="A363" s="1">
        <v>360</v>
      </c>
      <c r="B363" s="13" t="s">
        <v>1090</v>
      </c>
      <c r="C363" s="8" t="s">
        <v>6</v>
      </c>
      <c r="D363" s="12" t="s">
        <v>36</v>
      </c>
      <c r="E363" s="11">
        <v>1348999</v>
      </c>
      <c r="F363" s="10">
        <f t="shared" si="10"/>
        <v>1308529.03</v>
      </c>
      <c r="G363" s="9">
        <f t="shared" si="11"/>
        <v>1268059.0599999998</v>
      </c>
      <c r="H363" s="72">
        <v>750.78</v>
      </c>
      <c r="I363" s="72">
        <v>590.72</v>
      </c>
      <c r="J363" s="72">
        <v>160.06</v>
      </c>
      <c r="K363" s="8" t="s">
        <v>668</v>
      </c>
    </row>
    <row r="364" spans="1:11">
      <c r="A364" s="1">
        <v>361</v>
      </c>
      <c r="B364" s="13" t="s">
        <v>1091</v>
      </c>
      <c r="C364" s="8" t="s">
        <v>6</v>
      </c>
      <c r="D364" s="12" t="s">
        <v>36</v>
      </c>
      <c r="E364" s="11">
        <v>1348999</v>
      </c>
      <c r="F364" s="10">
        <f t="shared" si="10"/>
        <v>1308529.03</v>
      </c>
      <c r="G364" s="9">
        <f t="shared" si="11"/>
        <v>1268059.0599999998</v>
      </c>
      <c r="H364" s="72">
        <v>750.78</v>
      </c>
      <c r="I364" s="72">
        <v>590.72</v>
      </c>
      <c r="J364" s="72">
        <v>160.06</v>
      </c>
      <c r="K364" s="8" t="s">
        <v>668</v>
      </c>
    </row>
    <row r="365" spans="1:11">
      <c r="A365" s="1">
        <v>362</v>
      </c>
      <c r="B365" s="13" t="s">
        <v>1092</v>
      </c>
      <c r="C365" s="8" t="s">
        <v>6</v>
      </c>
      <c r="D365" s="12" t="s">
        <v>36</v>
      </c>
      <c r="E365" s="11">
        <v>1389999</v>
      </c>
      <c r="F365" s="10">
        <f t="shared" si="10"/>
        <v>1348299.03</v>
      </c>
      <c r="G365" s="9">
        <f t="shared" si="11"/>
        <v>1306599.0599999998</v>
      </c>
      <c r="H365" s="72">
        <v>849.81</v>
      </c>
      <c r="I365" s="72">
        <v>590.72</v>
      </c>
      <c r="J365" s="72">
        <v>259.08999999999997</v>
      </c>
      <c r="K365" s="8" t="s">
        <v>668</v>
      </c>
    </row>
    <row r="366" spans="1:11">
      <c r="A366" s="1">
        <v>363</v>
      </c>
      <c r="B366" s="13" t="s">
        <v>1093</v>
      </c>
      <c r="C366" s="8" t="s">
        <v>6</v>
      </c>
      <c r="D366" s="12" t="s">
        <v>35</v>
      </c>
      <c r="E366" s="11">
        <v>790999</v>
      </c>
      <c r="F366" s="10">
        <f t="shared" ref="F366:F428" si="12">E366*0.97</f>
        <v>767269.03</v>
      </c>
      <c r="G366" s="9">
        <f t="shared" ref="G366:G428" si="13">E366*0.94</f>
        <v>743539.05999999994</v>
      </c>
      <c r="H366" s="72">
        <v>383.95</v>
      </c>
      <c r="I366" s="72">
        <v>303.33</v>
      </c>
      <c r="J366" s="72">
        <v>80.62</v>
      </c>
      <c r="K366" s="8" t="s">
        <v>668</v>
      </c>
    </row>
    <row r="367" spans="1:11">
      <c r="A367" s="1">
        <v>364</v>
      </c>
      <c r="B367" s="13" t="s">
        <v>1094</v>
      </c>
      <c r="C367" s="8" t="s">
        <v>6</v>
      </c>
      <c r="D367" s="12" t="s">
        <v>24</v>
      </c>
      <c r="E367" s="11">
        <v>2103999</v>
      </c>
      <c r="F367" s="10">
        <f t="shared" si="12"/>
        <v>2040879.03</v>
      </c>
      <c r="G367" s="9">
        <f t="shared" si="13"/>
        <v>1977759.0599999998</v>
      </c>
      <c r="H367" s="72">
        <v>1263.1400000000001</v>
      </c>
      <c r="I367" s="72">
        <v>1010.84</v>
      </c>
      <c r="J367" s="72">
        <v>252.31</v>
      </c>
      <c r="K367" s="8" t="s">
        <v>668</v>
      </c>
    </row>
    <row r="368" spans="1:11">
      <c r="A368" s="1">
        <v>365</v>
      </c>
      <c r="B368" s="13" t="s">
        <v>1095</v>
      </c>
      <c r="C368" s="8" t="s">
        <v>6</v>
      </c>
      <c r="D368" s="12" t="s">
        <v>24</v>
      </c>
      <c r="E368" s="11">
        <v>2121999</v>
      </c>
      <c r="F368" s="10">
        <f t="shared" si="12"/>
        <v>2058339.03</v>
      </c>
      <c r="G368" s="9">
        <f t="shared" si="13"/>
        <v>1994679.0599999998</v>
      </c>
      <c r="H368" s="72">
        <v>1266.3699999999999</v>
      </c>
      <c r="I368" s="72">
        <v>1014.07</v>
      </c>
      <c r="J368" s="72">
        <v>252.31</v>
      </c>
      <c r="K368" s="8" t="s">
        <v>665</v>
      </c>
    </row>
    <row r="369" spans="1:11">
      <c r="A369" s="1">
        <v>366</v>
      </c>
      <c r="B369" s="13" t="s">
        <v>1096</v>
      </c>
      <c r="C369" s="8" t="s">
        <v>6</v>
      </c>
      <c r="D369" s="12" t="s">
        <v>36</v>
      </c>
      <c r="E369" s="11">
        <v>1357999</v>
      </c>
      <c r="F369" s="10">
        <f t="shared" si="12"/>
        <v>1317259.03</v>
      </c>
      <c r="G369" s="9">
        <f t="shared" si="13"/>
        <v>1276519.0599999998</v>
      </c>
      <c r="H369" s="72">
        <v>754.33</v>
      </c>
      <c r="I369" s="72">
        <v>594.28</v>
      </c>
      <c r="J369" s="72">
        <v>160.06</v>
      </c>
      <c r="K369" s="8" t="s">
        <v>665</v>
      </c>
    </row>
    <row r="370" spans="1:11">
      <c r="A370" s="1">
        <v>367</v>
      </c>
      <c r="B370" s="13" t="s">
        <v>1097</v>
      </c>
      <c r="C370" s="8" t="s">
        <v>6</v>
      </c>
      <c r="D370" s="12" t="s">
        <v>36</v>
      </c>
      <c r="E370" s="11">
        <v>1361999</v>
      </c>
      <c r="F370" s="10">
        <f t="shared" si="12"/>
        <v>1321139.03</v>
      </c>
      <c r="G370" s="9">
        <f t="shared" si="13"/>
        <v>1280279.0599999998</v>
      </c>
      <c r="H370" s="72">
        <v>757.35</v>
      </c>
      <c r="I370" s="72">
        <v>597.29</v>
      </c>
      <c r="J370" s="72">
        <v>160.06</v>
      </c>
      <c r="K370" s="8" t="s">
        <v>665</v>
      </c>
    </row>
    <row r="371" spans="1:11">
      <c r="A371" s="1">
        <v>368</v>
      </c>
      <c r="B371" s="13" t="s">
        <v>1098</v>
      </c>
      <c r="C371" s="8" t="s">
        <v>6</v>
      </c>
      <c r="D371" s="12" t="s">
        <v>36</v>
      </c>
      <c r="E371" s="11">
        <v>1361999</v>
      </c>
      <c r="F371" s="10">
        <f t="shared" si="12"/>
        <v>1321139.03</v>
      </c>
      <c r="G371" s="9">
        <f t="shared" si="13"/>
        <v>1280279.0599999998</v>
      </c>
      <c r="H371" s="72">
        <v>757.35</v>
      </c>
      <c r="I371" s="72">
        <v>597.29</v>
      </c>
      <c r="J371" s="72">
        <v>160.06</v>
      </c>
      <c r="K371" s="8" t="s">
        <v>665</v>
      </c>
    </row>
    <row r="372" spans="1:11">
      <c r="A372" s="1">
        <v>369</v>
      </c>
      <c r="B372" s="13" t="s">
        <v>1099</v>
      </c>
      <c r="C372" s="8" t="s">
        <v>6</v>
      </c>
      <c r="D372" s="12" t="s">
        <v>36</v>
      </c>
      <c r="E372" s="11">
        <v>1361999</v>
      </c>
      <c r="F372" s="10">
        <f t="shared" si="12"/>
        <v>1321139.03</v>
      </c>
      <c r="G372" s="9">
        <f t="shared" si="13"/>
        <v>1280279.0599999998</v>
      </c>
      <c r="H372" s="72">
        <v>757.35</v>
      </c>
      <c r="I372" s="72">
        <v>597.29</v>
      </c>
      <c r="J372" s="72">
        <v>160.06</v>
      </c>
      <c r="K372" s="8" t="s">
        <v>665</v>
      </c>
    </row>
    <row r="373" spans="1:11">
      <c r="A373" s="1">
        <v>370</v>
      </c>
      <c r="B373" s="13" t="s">
        <v>1100</v>
      </c>
      <c r="C373" s="8" t="s">
        <v>6</v>
      </c>
      <c r="D373" s="12" t="s">
        <v>36</v>
      </c>
      <c r="E373" s="11">
        <v>1361999</v>
      </c>
      <c r="F373" s="10">
        <f t="shared" si="12"/>
        <v>1321139.03</v>
      </c>
      <c r="G373" s="9">
        <f t="shared" si="13"/>
        <v>1280279.0599999998</v>
      </c>
      <c r="H373" s="72">
        <v>757.13</v>
      </c>
      <c r="I373" s="72">
        <v>597.07000000000005</v>
      </c>
      <c r="J373" s="72">
        <v>160.06</v>
      </c>
      <c r="K373" s="8" t="s">
        <v>665</v>
      </c>
    </row>
    <row r="374" spans="1:11">
      <c r="A374" s="1">
        <v>371</v>
      </c>
      <c r="B374" s="13" t="s">
        <v>469</v>
      </c>
      <c r="C374" s="8" t="s">
        <v>7</v>
      </c>
      <c r="D374" s="12" t="s">
        <v>36</v>
      </c>
      <c r="E374" s="11">
        <v>1223999</v>
      </c>
      <c r="F374" s="10">
        <f t="shared" si="12"/>
        <v>1187279.03</v>
      </c>
      <c r="G374" s="9">
        <f t="shared" si="13"/>
        <v>1150559.0599999998</v>
      </c>
      <c r="H374" s="72">
        <v>569.73</v>
      </c>
      <c r="I374" s="72">
        <v>569.73</v>
      </c>
      <c r="J374" s="72">
        <v>0</v>
      </c>
      <c r="K374" s="8" t="s">
        <v>667</v>
      </c>
    </row>
    <row r="375" spans="1:11">
      <c r="A375" s="1">
        <v>372</v>
      </c>
      <c r="B375" s="13" t="s">
        <v>470</v>
      </c>
      <c r="C375" s="8" t="s">
        <v>7</v>
      </c>
      <c r="D375" s="12" t="s">
        <v>36</v>
      </c>
      <c r="E375" s="11">
        <v>1364999</v>
      </c>
      <c r="F375" s="10">
        <f t="shared" si="12"/>
        <v>1324049.03</v>
      </c>
      <c r="G375" s="9">
        <f t="shared" si="13"/>
        <v>1283099.0599999998</v>
      </c>
      <c r="H375" s="72">
        <v>816.01</v>
      </c>
      <c r="I375" s="72">
        <v>585.13</v>
      </c>
      <c r="J375" s="72">
        <v>230.89</v>
      </c>
      <c r="K375" s="8" t="s">
        <v>668</v>
      </c>
    </row>
    <row r="376" spans="1:11">
      <c r="A376" s="1">
        <v>373</v>
      </c>
      <c r="B376" s="13" t="s">
        <v>471</v>
      </c>
      <c r="C376" s="8" t="s">
        <v>7</v>
      </c>
      <c r="D376" s="12" t="s">
        <v>36</v>
      </c>
      <c r="E376" s="11">
        <v>1263999</v>
      </c>
      <c r="F376" s="10">
        <f t="shared" si="12"/>
        <v>1226079.03</v>
      </c>
      <c r="G376" s="9">
        <f t="shared" si="13"/>
        <v>1188159.0599999998</v>
      </c>
      <c r="H376" s="72">
        <v>640.55999999999995</v>
      </c>
      <c r="I376" s="72">
        <v>571.03</v>
      </c>
      <c r="J376" s="72">
        <v>69.53</v>
      </c>
      <c r="K376" s="8" t="s">
        <v>668</v>
      </c>
    </row>
    <row r="377" spans="1:11">
      <c r="A377" s="1">
        <v>374</v>
      </c>
      <c r="B377" s="13" t="s">
        <v>472</v>
      </c>
      <c r="C377" s="8" t="s">
        <v>7</v>
      </c>
      <c r="D377" s="12" t="s">
        <v>36</v>
      </c>
      <c r="E377" s="11">
        <v>1348999</v>
      </c>
      <c r="F377" s="10">
        <f t="shared" si="12"/>
        <v>1308529.03</v>
      </c>
      <c r="G377" s="9">
        <f t="shared" si="13"/>
        <v>1268059.0599999998</v>
      </c>
      <c r="H377" s="72">
        <v>750.78</v>
      </c>
      <c r="I377" s="72">
        <v>590.72</v>
      </c>
      <c r="J377" s="72">
        <v>160.06</v>
      </c>
      <c r="K377" s="8" t="s">
        <v>668</v>
      </c>
    </row>
    <row r="378" spans="1:11">
      <c r="A378" s="1">
        <v>375</v>
      </c>
      <c r="B378" s="13" t="s">
        <v>473</v>
      </c>
      <c r="C378" s="8" t="s">
        <v>7</v>
      </c>
      <c r="D378" s="12" t="s">
        <v>36</v>
      </c>
      <c r="E378" s="11">
        <v>1348999</v>
      </c>
      <c r="F378" s="10">
        <f t="shared" si="12"/>
        <v>1308529.03</v>
      </c>
      <c r="G378" s="9">
        <f t="shared" si="13"/>
        <v>1268059.0599999998</v>
      </c>
      <c r="H378" s="72">
        <v>750.78</v>
      </c>
      <c r="I378" s="72">
        <v>590.72</v>
      </c>
      <c r="J378" s="72">
        <v>160.06</v>
      </c>
      <c r="K378" s="8" t="s">
        <v>668</v>
      </c>
    </row>
    <row r="379" spans="1:11">
      <c r="A379" s="1">
        <v>376</v>
      </c>
      <c r="B379" s="13" t="s">
        <v>474</v>
      </c>
      <c r="C379" s="8" t="s">
        <v>7</v>
      </c>
      <c r="D379" s="12" t="s">
        <v>36</v>
      </c>
      <c r="E379" s="11">
        <v>1389999</v>
      </c>
      <c r="F379" s="10">
        <f t="shared" si="12"/>
        <v>1348299.03</v>
      </c>
      <c r="G379" s="9">
        <f t="shared" si="13"/>
        <v>1306599.0599999998</v>
      </c>
      <c r="H379" s="72">
        <v>849.81</v>
      </c>
      <c r="I379" s="72">
        <v>590.72</v>
      </c>
      <c r="J379" s="72">
        <v>259.08999999999997</v>
      </c>
      <c r="K379" s="8" t="s">
        <v>668</v>
      </c>
    </row>
    <row r="380" spans="1:11">
      <c r="A380" s="1">
        <v>377</v>
      </c>
      <c r="B380" s="13" t="s">
        <v>475</v>
      </c>
      <c r="C380" s="8" t="s">
        <v>7</v>
      </c>
      <c r="D380" s="12" t="s">
        <v>24</v>
      </c>
      <c r="E380" s="11">
        <v>2101999</v>
      </c>
      <c r="F380" s="10">
        <f t="shared" si="12"/>
        <v>2038939.03</v>
      </c>
      <c r="G380" s="9">
        <f t="shared" si="13"/>
        <v>1975879.0599999998</v>
      </c>
      <c r="H380" s="72">
        <v>1263.1400000000001</v>
      </c>
      <c r="I380" s="72">
        <v>1010.84</v>
      </c>
      <c r="J380" s="72">
        <v>252.31</v>
      </c>
      <c r="K380" s="8" t="s">
        <v>668</v>
      </c>
    </row>
    <row r="381" spans="1:11">
      <c r="A381" s="1">
        <v>378</v>
      </c>
      <c r="B381" s="13" t="s">
        <v>476</v>
      </c>
      <c r="C381" s="8" t="s">
        <v>7</v>
      </c>
      <c r="D381" s="12" t="s">
        <v>24</v>
      </c>
      <c r="E381" s="11">
        <v>2120999</v>
      </c>
      <c r="F381" s="10">
        <f t="shared" si="12"/>
        <v>2057369.03</v>
      </c>
      <c r="G381" s="9">
        <f t="shared" si="13"/>
        <v>1993739.0599999998</v>
      </c>
      <c r="H381" s="72">
        <v>1266.3699999999999</v>
      </c>
      <c r="I381" s="72">
        <v>1014.07</v>
      </c>
      <c r="J381" s="72">
        <v>252.31</v>
      </c>
      <c r="K381" s="8" t="s">
        <v>665</v>
      </c>
    </row>
    <row r="382" spans="1:11">
      <c r="A382" s="1">
        <v>379</v>
      </c>
      <c r="B382" s="13" t="s">
        <v>477</v>
      </c>
      <c r="C382" s="8" t="s">
        <v>7</v>
      </c>
      <c r="D382" s="12" t="s">
        <v>36</v>
      </c>
      <c r="E382" s="11">
        <v>1360999</v>
      </c>
      <c r="F382" s="10">
        <f t="shared" si="12"/>
        <v>1320169.03</v>
      </c>
      <c r="G382" s="9">
        <f t="shared" si="13"/>
        <v>1279339.0599999998</v>
      </c>
      <c r="H382" s="72">
        <v>757.35</v>
      </c>
      <c r="I382" s="72">
        <v>597.29</v>
      </c>
      <c r="J382" s="72">
        <v>160.06</v>
      </c>
      <c r="K382" s="8" t="s">
        <v>665</v>
      </c>
    </row>
    <row r="383" spans="1:11">
      <c r="A383" s="1">
        <v>380</v>
      </c>
      <c r="B383" s="13" t="s">
        <v>478</v>
      </c>
      <c r="C383" s="8" t="s">
        <v>7</v>
      </c>
      <c r="D383" s="12" t="s">
        <v>36</v>
      </c>
      <c r="E383" s="11">
        <v>1360999</v>
      </c>
      <c r="F383" s="10">
        <f t="shared" si="12"/>
        <v>1320169.03</v>
      </c>
      <c r="G383" s="9">
        <f t="shared" si="13"/>
        <v>1279339.0599999998</v>
      </c>
      <c r="H383" s="72">
        <v>757.35</v>
      </c>
      <c r="I383" s="72">
        <v>597.29</v>
      </c>
      <c r="J383" s="72">
        <v>160.06</v>
      </c>
      <c r="K383" s="8" t="s">
        <v>665</v>
      </c>
    </row>
    <row r="384" spans="1:11">
      <c r="A384" s="1">
        <v>381</v>
      </c>
      <c r="B384" s="13" t="s">
        <v>479</v>
      </c>
      <c r="C384" s="8" t="s">
        <v>7</v>
      </c>
      <c r="D384" s="12" t="s">
        <v>36</v>
      </c>
      <c r="E384" s="11">
        <v>1360999</v>
      </c>
      <c r="F384" s="10">
        <f t="shared" si="12"/>
        <v>1320169.03</v>
      </c>
      <c r="G384" s="9">
        <f t="shared" si="13"/>
        <v>1279339.0599999998</v>
      </c>
      <c r="H384" s="72">
        <v>757.35</v>
      </c>
      <c r="I384" s="72">
        <v>597.29</v>
      </c>
      <c r="J384" s="72">
        <v>160.06</v>
      </c>
      <c r="K384" s="8" t="s">
        <v>665</v>
      </c>
    </row>
    <row r="385" spans="1:11">
      <c r="A385" s="1">
        <v>382</v>
      </c>
      <c r="B385" s="13" t="s">
        <v>480</v>
      </c>
      <c r="C385" s="8" t="s">
        <v>7</v>
      </c>
      <c r="D385" s="12" t="s">
        <v>36</v>
      </c>
      <c r="E385" s="11">
        <v>1359999</v>
      </c>
      <c r="F385" s="10">
        <f t="shared" si="12"/>
        <v>1319199.03</v>
      </c>
      <c r="G385" s="9">
        <f t="shared" si="13"/>
        <v>1278399.0599999998</v>
      </c>
      <c r="H385" s="72">
        <v>757.13</v>
      </c>
      <c r="I385" s="72">
        <v>597.07000000000005</v>
      </c>
      <c r="J385" s="72">
        <v>160.06</v>
      </c>
      <c r="K385" s="8" t="s">
        <v>665</v>
      </c>
    </row>
    <row r="386" spans="1:11">
      <c r="A386" s="1">
        <v>383</v>
      </c>
      <c r="B386" s="13" t="s">
        <v>481</v>
      </c>
      <c r="C386" s="8" t="s">
        <v>8</v>
      </c>
      <c r="D386" s="12" t="s">
        <v>36</v>
      </c>
      <c r="E386" s="11">
        <v>1222999</v>
      </c>
      <c r="F386" s="10">
        <f t="shared" si="12"/>
        <v>1186309.03</v>
      </c>
      <c r="G386" s="9">
        <f t="shared" si="13"/>
        <v>1149619.0599999998</v>
      </c>
      <c r="H386" s="72">
        <v>569.73</v>
      </c>
      <c r="I386" s="72">
        <v>569.73</v>
      </c>
      <c r="J386" s="72">
        <v>0</v>
      </c>
      <c r="K386" s="8" t="s">
        <v>667</v>
      </c>
    </row>
    <row r="387" spans="1:11">
      <c r="A387" s="1">
        <v>384</v>
      </c>
      <c r="B387" s="13" t="s">
        <v>482</v>
      </c>
      <c r="C387" s="8" t="s">
        <v>8</v>
      </c>
      <c r="D387" s="12" t="s">
        <v>36</v>
      </c>
      <c r="E387" s="11">
        <v>1331999</v>
      </c>
      <c r="F387" s="10">
        <f t="shared" si="12"/>
        <v>1292039.03</v>
      </c>
      <c r="G387" s="9">
        <f t="shared" si="13"/>
        <v>1252079.0599999998</v>
      </c>
      <c r="H387" s="72">
        <v>772.53</v>
      </c>
      <c r="I387" s="72">
        <v>574.79</v>
      </c>
      <c r="J387" s="72">
        <v>197.73</v>
      </c>
      <c r="K387" s="8" t="s">
        <v>667</v>
      </c>
    </row>
    <row r="388" spans="1:11">
      <c r="A388" s="1">
        <v>385</v>
      </c>
      <c r="B388" s="13" t="s">
        <v>483</v>
      </c>
      <c r="C388" s="8" t="s">
        <v>8</v>
      </c>
      <c r="D388" s="12" t="s">
        <v>36</v>
      </c>
      <c r="E388" s="11">
        <v>1363999</v>
      </c>
      <c r="F388" s="10">
        <f t="shared" si="12"/>
        <v>1323079.03</v>
      </c>
      <c r="G388" s="9">
        <f t="shared" si="13"/>
        <v>1282159.0599999998</v>
      </c>
      <c r="H388" s="72">
        <v>816.01</v>
      </c>
      <c r="I388" s="72">
        <v>585.13</v>
      </c>
      <c r="J388" s="72">
        <v>230.89</v>
      </c>
      <c r="K388" s="8" t="s">
        <v>668</v>
      </c>
    </row>
    <row r="389" spans="1:11">
      <c r="A389" s="1">
        <v>386</v>
      </c>
      <c r="B389" s="13" t="s">
        <v>484</v>
      </c>
      <c r="C389" s="8" t="s">
        <v>8</v>
      </c>
      <c r="D389" s="12" t="s">
        <v>36</v>
      </c>
      <c r="E389" s="11">
        <v>1263999</v>
      </c>
      <c r="F389" s="10">
        <f t="shared" si="12"/>
        <v>1226079.03</v>
      </c>
      <c r="G389" s="9">
        <f t="shared" si="13"/>
        <v>1188159.0599999998</v>
      </c>
      <c r="H389" s="72">
        <v>640.55999999999995</v>
      </c>
      <c r="I389" s="72">
        <v>571.03</v>
      </c>
      <c r="J389" s="72">
        <v>69.53</v>
      </c>
      <c r="K389" s="8" t="s">
        <v>668</v>
      </c>
    </row>
    <row r="390" spans="1:11">
      <c r="A390" s="1">
        <v>387</v>
      </c>
      <c r="B390" s="13" t="s">
        <v>485</v>
      </c>
      <c r="C390" s="8" t="s">
        <v>8</v>
      </c>
      <c r="D390" s="12" t="s">
        <v>36</v>
      </c>
      <c r="E390" s="11">
        <v>1347999</v>
      </c>
      <c r="F390" s="10">
        <f t="shared" si="12"/>
        <v>1307559.03</v>
      </c>
      <c r="G390" s="9">
        <f t="shared" si="13"/>
        <v>1267119.0599999998</v>
      </c>
      <c r="H390" s="72">
        <v>750.78</v>
      </c>
      <c r="I390" s="72">
        <v>590.72</v>
      </c>
      <c r="J390" s="72">
        <v>160.06</v>
      </c>
      <c r="K390" s="8" t="s">
        <v>668</v>
      </c>
    </row>
    <row r="391" spans="1:11">
      <c r="A391" s="1">
        <v>388</v>
      </c>
      <c r="B391" s="13" t="s">
        <v>486</v>
      </c>
      <c r="C391" s="8" t="s">
        <v>8</v>
      </c>
      <c r="D391" s="12" t="s">
        <v>36</v>
      </c>
      <c r="E391" s="11">
        <v>1347999</v>
      </c>
      <c r="F391" s="10">
        <f t="shared" si="12"/>
        <v>1307559.03</v>
      </c>
      <c r="G391" s="9">
        <f t="shared" si="13"/>
        <v>1267119.0599999998</v>
      </c>
      <c r="H391" s="72">
        <v>750.78</v>
      </c>
      <c r="I391" s="72">
        <v>590.72</v>
      </c>
      <c r="J391" s="72">
        <v>160.06</v>
      </c>
      <c r="K391" s="8" t="s">
        <v>668</v>
      </c>
    </row>
    <row r="392" spans="1:11">
      <c r="A392" s="1">
        <v>389</v>
      </c>
      <c r="B392" s="13" t="s">
        <v>487</v>
      </c>
      <c r="C392" s="8" t="s">
        <v>8</v>
      </c>
      <c r="D392" s="12" t="s">
        <v>36</v>
      </c>
      <c r="E392" s="11">
        <v>1389999</v>
      </c>
      <c r="F392" s="10">
        <f t="shared" si="12"/>
        <v>1348299.03</v>
      </c>
      <c r="G392" s="9">
        <f t="shared" si="13"/>
        <v>1306599.0599999998</v>
      </c>
      <c r="H392" s="72">
        <v>849.81</v>
      </c>
      <c r="I392" s="72">
        <v>590.72</v>
      </c>
      <c r="J392" s="72">
        <v>259.08999999999997</v>
      </c>
      <c r="K392" s="8" t="s">
        <v>668</v>
      </c>
    </row>
    <row r="393" spans="1:11">
      <c r="A393" s="1">
        <v>390</v>
      </c>
      <c r="B393" s="13" t="s">
        <v>4624</v>
      </c>
      <c r="C393" s="8" t="s">
        <v>8</v>
      </c>
      <c r="D393" s="12" t="s">
        <v>35</v>
      </c>
      <c r="E393" s="11">
        <v>789999</v>
      </c>
      <c r="F393" s="10">
        <f t="shared" si="12"/>
        <v>766299.03</v>
      </c>
      <c r="G393" s="9">
        <f t="shared" si="13"/>
        <v>742599.05999999994</v>
      </c>
      <c r="H393" s="72">
        <v>383.95</v>
      </c>
      <c r="I393" s="72">
        <v>303.33</v>
      </c>
      <c r="J393" s="72">
        <v>80.62</v>
      </c>
      <c r="K393" s="8" t="s">
        <v>668</v>
      </c>
    </row>
    <row r="394" spans="1:11">
      <c r="A394" s="1">
        <v>391</v>
      </c>
      <c r="B394" s="13" t="s">
        <v>488</v>
      </c>
      <c r="C394" s="8" t="s">
        <v>8</v>
      </c>
      <c r="D394" s="12" t="s">
        <v>24</v>
      </c>
      <c r="E394" s="11">
        <v>2100999</v>
      </c>
      <c r="F394" s="10">
        <f t="shared" si="12"/>
        <v>2037969.03</v>
      </c>
      <c r="G394" s="9">
        <f t="shared" si="13"/>
        <v>1974939.0599999998</v>
      </c>
      <c r="H394" s="72">
        <v>1263.1400000000001</v>
      </c>
      <c r="I394" s="72">
        <v>1010.84</v>
      </c>
      <c r="J394" s="72">
        <v>252.31</v>
      </c>
      <c r="K394" s="8" t="s">
        <v>668</v>
      </c>
    </row>
    <row r="395" spans="1:11">
      <c r="A395" s="1">
        <v>392</v>
      </c>
      <c r="B395" s="13" t="s">
        <v>489</v>
      </c>
      <c r="C395" s="8" t="s">
        <v>8</v>
      </c>
      <c r="D395" s="12" t="s">
        <v>24</v>
      </c>
      <c r="E395" s="11">
        <v>2119999</v>
      </c>
      <c r="F395" s="10">
        <f t="shared" si="12"/>
        <v>2056399.03</v>
      </c>
      <c r="G395" s="9">
        <f t="shared" si="13"/>
        <v>1992799.0599999998</v>
      </c>
      <c r="H395" s="72">
        <v>1266.3699999999999</v>
      </c>
      <c r="I395" s="72">
        <v>1014.07</v>
      </c>
      <c r="J395" s="72">
        <v>252.31</v>
      </c>
      <c r="K395" s="8" t="s">
        <v>665</v>
      </c>
    </row>
    <row r="396" spans="1:11">
      <c r="A396" s="1">
        <v>393</v>
      </c>
      <c r="B396" s="13" t="s">
        <v>4625</v>
      </c>
      <c r="C396" s="8" t="s">
        <v>8</v>
      </c>
      <c r="D396" s="12" t="s">
        <v>36</v>
      </c>
      <c r="E396" s="11">
        <v>1355999</v>
      </c>
      <c r="F396" s="10">
        <f t="shared" si="12"/>
        <v>1315319.03</v>
      </c>
      <c r="G396" s="9">
        <f t="shared" si="13"/>
        <v>1274639.0599999998</v>
      </c>
      <c r="H396" s="72">
        <v>754.33</v>
      </c>
      <c r="I396" s="72">
        <v>594.28</v>
      </c>
      <c r="J396" s="72">
        <v>160.06</v>
      </c>
      <c r="K396" s="8" t="s">
        <v>665</v>
      </c>
    </row>
    <row r="397" spans="1:11">
      <c r="A397" s="1">
        <v>394</v>
      </c>
      <c r="B397" s="13" t="s">
        <v>490</v>
      </c>
      <c r="C397" s="8" t="s">
        <v>8</v>
      </c>
      <c r="D397" s="12" t="s">
        <v>36</v>
      </c>
      <c r="E397" s="11">
        <v>1359999</v>
      </c>
      <c r="F397" s="10">
        <f t="shared" si="12"/>
        <v>1319199.03</v>
      </c>
      <c r="G397" s="9">
        <f t="shared" si="13"/>
        <v>1278399.0599999998</v>
      </c>
      <c r="H397" s="72">
        <v>757.35</v>
      </c>
      <c r="I397" s="72">
        <v>597.29</v>
      </c>
      <c r="J397" s="72">
        <v>160.06</v>
      </c>
      <c r="K397" s="8" t="s">
        <v>665</v>
      </c>
    </row>
    <row r="398" spans="1:11">
      <c r="A398" s="1">
        <v>395</v>
      </c>
      <c r="B398" s="13" t="s">
        <v>491</v>
      </c>
      <c r="C398" s="8" t="s">
        <v>8</v>
      </c>
      <c r="D398" s="12" t="s">
        <v>36</v>
      </c>
      <c r="E398" s="11">
        <v>1359999</v>
      </c>
      <c r="F398" s="10">
        <f t="shared" si="12"/>
        <v>1319199.03</v>
      </c>
      <c r="G398" s="9">
        <f t="shared" si="13"/>
        <v>1278399.0599999998</v>
      </c>
      <c r="H398" s="72">
        <v>757.35</v>
      </c>
      <c r="I398" s="72">
        <v>597.29</v>
      </c>
      <c r="J398" s="72">
        <v>160.06</v>
      </c>
      <c r="K398" s="8" t="s">
        <v>665</v>
      </c>
    </row>
    <row r="399" spans="1:11">
      <c r="A399" s="1">
        <v>396</v>
      </c>
      <c r="B399" s="13" t="s">
        <v>492</v>
      </c>
      <c r="C399" s="8" t="s">
        <v>8</v>
      </c>
      <c r="D399" s="12" t="s">
        <v>36</v>
      </c>
      <c r="E399" s="11">
        <v>1359999</v>
      </c>
      <c r="F399" s="10">
        <f t="shared" si="12"/>
        <v>1319199.03</v>
      </c>
      <c r="G399" s="9">
        <f t="shared" si="13"/>
        <v>1278399.0599999998</v>
      </c>
      <c r="H399" s="72">
        <v>757.35</v>
      </c>
      <c r="I399" s="72">
        <v>597.29</v>
      </c>
      <c r="J399" s="72">
        <v>160.06</v>
      </c>
      <c r="K399" s="8" t="s">
        <v>665</v>
      </c>
    </row>
    <row r="400" spans="1:11">
      <c r="A400" s="1">
        <v>397</v>
      </c>
      <c r="B400" s="13" t="s">
        <v>493</v>
      </c>
      <c r="C400" s="8" t="s">
        <v>8</v>
      </c>
      <c r="D400" s="12" t="s">
        <v>36</v>
      </c>
      <c r="E400" s="11">
        <v>1359999</v>
      </c>
      <c r="F400" s="10">
        <f t="shared" si="12"/>
        <v>1319199.03</v>
      </c>
      <c r="G400" s="9">
        <f t="shared" si="13"/>
        <v>1278399.0599999998</v>
      </c>
      <c r="H400" s="72">
        <v>757.13</v>
      </c>
      <c r="I400" s="72">
        <v>597.07000000000005</v>
      </c>
      <c r="J400" s="72">
        <v>160.06</v>
      </c>
      <c r="K400" s="8" t="s">
        <v>665</v>
      </c>
    </row>
    <row r="401" spans="1:11">
      <c r="A401" s="1">
        <v>398</v>
      </c>
      <c r="B401" s="13" t="s">
        <v>4887</v>
      </c>
      <c r="C401" s="8" t="s">
        <v>4477</v>
      </c>
      <c r="D401" s="12" t="s">
        <v>36</v>
      </c>
      <c r="E401" s="11">
        <v>1375999</v>
      </c>
      <c r="F401" s="10">
        <f t="shared" si="12"/>
        <v>1334719.03</v>
      </c>
      <c r="G401" s="9">
        <f t="shared" si="13"/>
        <v>1293439.0599999998</v>
      </c>
      <c r="H401" s="72">
        <v>754.55</v>
      </c>
      <c r="I401" s="72">
        <v>594.49</v>
      </c>
      <c r="J401" s="72">
        <v>160.06</v>
      </c>
      <c r="K401" s="8" t="s">
        <v>665</v>
      </c>
    </row>
    <row r="402" spans="1:11">
      <c r="A402" s="1">
        <v>399</v>
      </c>
      <c r="B402" s="13" t="s">
        <v>4888</v>
      </c>
      <c r="C402" s="8" t="s">
        <v>4477</v>
      </c>
      <c r="D402" s="12" t="s">
        <v>36</v>
      </c>
      <c r="E402" s="11">
        <v>1381999</v>
      </c>
      <c r="F402" s="10">
        <f t="shared" si="12"/>
        <v>1340539.03</v>
      </c>
      <c r="G402" s="9">
        <f t="shared" si="13"/>
        <v>1299079.0599999998</v>
      </c>
      <c r="H402" s="72">
        <v>757.35</v>
      </c>
      <c r="I402" s="72">
        <v>597.29</v>
      </c>
      <c r="J402" s="72">
        <v>160.06</v>
      </c>
      <c r="K402" s="8" t="s">
        <v>665</v>
      </c>
    </row>
    <row r="403" spans="1:11">
      <c r="A403" s="1">
        <v>400</v>
      </c>
      <c r="B403" s="13" t="s">
        <v>494</v>
      </c>
      <c r="C403" s="8" t="s">
        <v>4476</v>
      </c>
      <c r="D403" s="12" t="s">
        <v>24</v>
      </c>
      <c r="E403" s="11">
        <v>2017999</v>
      </c>
      <c r="F403" s="10">
        <f t="shared" si="12"/>
        <v>1957459.03</v>
      </c>
      <c r="G403" s="9">
        <f t="shared" si="13"/>
        <v>1896919.0599999998</v>
      </c>
      <c r="H403" s="72">
        <v>1150.6600000000001</v>
      </c>
      <c r="I403" s="72">
        <v>826.13</v>
      </c>
      <c r="J403" s="72">
        <v>324.52999999999997</v>
      </c>
      <c r="K403" s="8" t="s">
        <v>666</v>
      </c>
    </row>
    <row r="404" spans="1:11">
      <c r="A404" s="1">
        <v>401</v>
      </c>
      <c r="B404" s="13" t="s">
        <v>495</v>
      </c>
      <c r="C404" s="8" t="s">
        <v>4476</v>
      </c>
      <c r="D404" s="12" t="s">
        <v>36</v>
      </c>
      <c r="E404" s="11">
        <v>1508999</v>
      </c>
      <c r="F404" s="10">
        <f t="shared" si="12"/>
        <v>1463729.03</v>
      </c>
      <c r="G404" s="9">
        <f t="shared" si="13"/>
        <v>1418459.0599999998</v>
      </c>
      <c r="H404" s="72">
        <v>934.42</v>
      </c>
      <c r="I404" s="72">
        <v>654.34</v>
      </c>
      <c r="J404" s="72">
        <v>280.08</v>
      </c>
      <c r="K404" s="8" t="s">
        <v>666</v>
      </c>
    </row>
    <row r="405" spans="1:11">
      <c r="A405" s="1">
        <v>402</v>
      </c>
      <c r="B405" s="13" t="s">
        <v>496</v>
      </c>
      <c r="C405" s="8" t="s">
        <v>4476</v>
      </c>
      <c r="D405" s="12" t="s">
        <v>36</v>
      </c>
      <c r="E405" s="11">
        <v>1268999</v>
      </c>
      <c r="F405" s="10">
        <f t="shared" si="12"/>
        <v>1230929.03</v>
      </c>
      <c r="G405" s="9">
        <f t="shared" si="13"/>
        <v>1192859.0599999998</v>
      </c>
      <c r="H405" s="72">
        <v>705.47</v>
      </c>
      <c r="I405" s="72">
        <v>541.64</v>
      </c>
      <c r="J405" s="72">
        <v>163.83000000000001</v>
      </c>
      <c r="K405" s="8" t="s">
        <v>666</v>
      </c>
    </row>
    <row r="406" spans="1:11">
      <c r="A406" s="1">
        <v>403</v>
      </c>
      <c r="B406" s="13" t="s">
        <v>497</v>
      </c>
      <c r="C406" s="8" t="s">
        <v>4476</v>
      </c>
      <c r="D406" s="12" t="s">
        <v>36</v>
      </c>
      <c r="E406" s="11">
        <v>1330999</v>
      </c>
      <c r="F406" s="10">
        <f t="shared" si="12"/>
        <v>1291069.03</v>
      </c>
      <c r="G406" s="9">
        <f t="shared" si="13"/>
        <v>1251139.0599999998</v>
      </c>
      <c r="H406" s="72">
        <v>612.36</v>
      </c>
      <c r="I406" s="72">
        <v>612.36</v>
      </c>
      <c r="J406" s="72">
        <v>0</v>
      </c>
      <c r="K406" s="8" t="s">
        <v>666</v>
      </c>
    </row>
    <row r="407" spans="1:11">
      <c r="A407" s="1">
        <v>404</v>
      </c>
      <c r="B407" s="13" t="s">
        <v>498</v>
      </c>
      <c r="C407" s="8" t="s">
        <v>4476</v>
      </c>
      <c r="D407" s="12" t="s">
        <v>36</v>
      </c>
      <c r="E407" s="11">
        <v>1322999</v>
      </c>
      <c r="F407" s="10">
        <f t="shared" si="12"/>
        <v>1283309.03</v>
      </c>
      <c r="G407" s="9">
        <f t="shared" si="13"/>
        <v>1243619.0599999998</v>
      </c>
      <c r="H407" s="72">
        <v>728.07</v>
      </c>
      <c r="I407" s="72">
        <v>567.58000000000004</v>
      </c>
      <c r="J407" s="72">
        <v>160.49</v>
      </c>
      <c r="K407" s="8" t="s">
        <v>666</v>
      </c>
    </row>
    <row r="408" spans="1:11">
      <c r="A408" s="1">
        <v>405</v>
      </c>
      <c r="B408" s="13" t="s">
        <v>499</v>
      </c>
      <c r="C408" s="8" t="s">
        <v>4476</v>
      </c>
      <c r="D408" s="12" t="s">
        <v>36</v>
      </c>
      <c r="E408" s="11">
        <v>1442999</v>
      </c>
      <c r="F408" s="10">
        <f t="shared" si="12"/>
        <v>1399709.03</v>
      </c>
      <c r="G408" s="9">
        <f t="shared" si="13"/>
        <v>1356419.0599999998</v>
      </c>
      <c r="H408" s="72">
        <v>1044.21</v>
      </c>
      <c r="I408" s="72">
        <v>574.69000000000005</v>
      </c>
      <c r="J408" s="72">
        <v>469.52</v>
      </c>
      <c r="K408" s="8" t="s">
        <v>667</v>
      </c>
    </row>
    <row r="409" spans="1:11">
      <c r="A409" s="1">
        <v>406</v>
      </c>
      <c r="B409" s="13" t="s">
        <v>500</v>
      </c>
      <c r="C409" s="8" t="s">
        <v>4476</v>
      </c>
      <c r="D409" s="12" t="s">
        <v>36</v>
      </c>
      <c r="E409" s="11">
        <v>1389999</v>
      </c>
      <c r="F409" s="10">
        <f t="shared" si="12"/>
        <v>1348299.03</v>
      </c>
      <c r="G409" s="9">
        <f t="shared" si="13"/>
        <v>1306599.0599999998</v>
      </c>
      <c r="H409" s="72">
        <v>827.1</v>
      </c>
      <c r="I409" s="72">
        <v>585.13</v>
      </c>
      <c r="J409" s="72">
        <v>241.97</v>
      </c>
      <c r="K409" s="8" t="s">
        <v>668</v>
      </c>
    </row>
    <row r="410" spans="1:11">
      <c r="A410" s="1">
        <v>407</v>
      </c>
      <c r="B410" s="13" t="s">
        <v>4332</v>
      </c>
      <c r="C410" s="8" t="s">
        <v>4476</v>
      </c>
      <c r="D410" s="12" t="s">
        <v>36</v>
      </c>
      <c r="E410" s="11">
        <v>1344999</v>
      </c>
      <c r="F410" s="10">
        <f t="shared" si="12"/>
        <v>1304649.03</v>
      </c>
      <c r="G410" s="9">
        <f t="shared" si="13"/>
        <v>1264299.0599999998</v>
      </c>
      <c r="H410" s="72">
        <v>770.05</v>
      </c>
      <c r="I410" s="72">
        <v>571.03</v>
      </c>
      <c r="J410" s="72">
        <v>199.02</v>
      </c>
      <c r="K410" s="8" t="s">
        <v>668</v>
      </c>
    </row>
    <row r="411" spans="1:11">
      <c r="A411" s="1">
        <v>408</v>
      </c>
      <c r="B411" s="13" t="s">
        <v>501</v>
      </c>
      <c r="C411" s="8" t="s">
        <v>4476</v>
      </c>
      <c r="D411" s="12" t="s">
        <v>36</v>
      </c>
      <c r="E411" s="11">
        <v>1359999</v>
      </c>
      <c r="F411" s="10">
        <f t="shared" si="12"/>
        <v>1319199.03</v>
      </c>
      <c r="G411" s="9">
        <f t="shared" si="13"/>
        <v>1278399.0599999998</v>
      </c>
      <c r="H411" s="72">
        <v>750.78</v>
      </c>
      <c r="I411" s="72">
        <v>590.72</v>
      </c>
      <c r="J411" s="72">
        <v>160.06</v>
      </c>
      <c r="K411" s="8" t="s">
        <v>668</v>
      </c>
    </row>
    <row r="412" spans="1:11">
      <c r="A412" s="1">
        <v>409</v>
      </c>
      <c r="B412" s="13" t="s">
        <v>502</v>
      </c>
      <c r="C412" s="8" t="s">
        <v>4476</v>
      </c>
      <c r="D412" s="12" t="s">
        <v>36</v>
      </c>
      <c r="E412" s="11">
        <v>1359999</v>
      </c>
      <c r="F412" s="10">
        <f t="shared" si="12"/>
        <v>1319199.03</v>
      </c>
      <c r="G412" s="9">
        <f t="shared" si="13"/>
        <v>1278399.0599999998</v>
      </c>
      <c r="H412" s="72">
        <v>750.78</v>
      </c>
      <c r="I412" s="72">
        <v>590.72</v>
      </c>
      <c r="J412" s="72">
        <v>160.06</v>
      </c>
      <c r="K412" s="8" t="s">
        <v>668</v>
      </c>
    </row>
    <row r="413" spans="1:11">
      <c r="A413" s="1">
        <v>410</v>
      </c>
      <c r="B413" s="13" t="s">
        <v>503</v>
      </c>
      <c r="C413" s="8" t="s">
        <v>4476</v>
      </c>
      <c r="D413" s="12" t="s">
        <v>36</v>
      </c>
      <c r="E413" s="11">
        <v>1444999</v>
      </c>
      <c r="F413" s="10">
        <f t="shared" si="12"/>
        <v>1401649.03</v>
      </c>
      <c r="G413" s="9">
        <f t="shared" si="13"/>
        <v>1358299.0599999998</v>
      </c>
      <c r="H413" s="72">
        <v>815.58</v>
      </c>
      <c r="I413" s="72">
        <v>643.25</v>
      </c>
      <c r="J413" s="72">
        <v>172.33</v>
      </c>
      <c r="K413" s="8" t="s">
        <v>668</v>
      </c>
    </row>
    <row r="414" spans="1:11">
      <c r="A414" s="1">
        <v>411</v>
      </c>
      <c r="B414" s="13" t="s">
        <v>504</v>
      </c>
      <c r="C414" s="8" t="s">
        <v>4476</v>
      </c>
      <c r="D414" s="12" t="s">
        <v>36</v>
      </c>
      <c r="E414" s="11">
        <v>1379999</v>
      </c>
      <c r="F414" s="10">
        <f t="shared" si="12"/>
        <v>1338599.03</v>
      </c>
      <c r="G414" s="9">
        <f t="shared" si="13"/>
        <v>1297199.0599999998</v>
      </c>
      <c r="H414" s="72">
        <v>757.13</v>
      </c>
      <c r="I414" s="72">
        <v>597.07000000000005</v>
      </c>
      <c r="J414" s="72">
        <v>160.06</v>
      </c>
      <c r="K414" s="8" t="s">
        <v>665</v>
      </c>
    </row>
    <row r="415" spans="1:11">
      <c r="A415" s="1">
        <v>412</v>
      </c>
      <c r="B415" s="13" t="s">
        <v>505</v>
      </c>
      <c r="C415" s="8" t="s">
        <v>4475</v>
      </c>
      <c r="D415" s="12" t="s">
        <v>36</v>
      </c>
      <c r="E415" s="11">
        <v>1300999</v>
      </c>
      <c r="F415" s="10">
        <f t="shared" si="12"/>
        <v>1261969.03</v>
      </c>
      <c r="G415" s="9">
        <f t="shared" si="13"/>
        <v>1222939.0599999998</v>
      </c>
      <c r="H415" s="72">
        <v>674.14</v>
      </c>
      <c r="I415" s="72">
        <v>567.79999999999995</v>
      </c>
      <c r="J415" s="72">
        <v>106.35</v>
      </c>
      <c r="K415" s="8" t="s">
        <v>665</v>
      </c>
    </row>
    <row r="416" spans="1:11">
      <c r="A416" s="1">
        <v>413</v>
      </c>
      <c r="B416" s="13" t="s">
        <v>506</v>
      </c>
      <c r="C416" s="8" t="s">
        <v>4475</v>
      </c>
      <c r="D416" s="12" t="s">
        <v>24</v>
      </c>
      <c r="E416" s="11">
        <v>2016999</v>
      </c>
      <c r="F416" s="10">
        <f t="shared" si="12"/>
        <v>1956489.03</v>
      </c>
      <c r="G416" s="9">
        <f t="shared" si="13"/>
        <v>1895979.0599999998</v>
      </c>
      <c r="H416" s="72">
        <v>1150.6600000000001</v>
      </c>
      <c r="I416" s="72">
        <v>826.13</v>
      </c>
      <c r="J416" s="72">
        <v>324.52999999999997</v>
      </c>
      <c r="K416" s="8" t="s">
        <v>666</v>
      </c>
    </row>
    <row r="417" spans="1:11">
      <c r="A417" s="1">
        <v>414</v>
      </c>
      <c r="B417" s="13" t="s">
        <v>507</v>
      </c>
      <c r="C417" s="8" t="s">
        <v>4475</v>
      </c>
      <c r="D417" s="12" t="s">
        <v>36</v>
      </c>
      <c r="E417" s="11">
        <v>1267999</v>
      </c>
      <c r="F417" s="10">
        <f t="shared" si="12"/>
        <v>1229959.03</v>
      </c>
      <c r="G417" s="9">
        <f t="shared" si="13"/>
        <v>1191919.0599999998</v>
      </c>
      <c r="H417" s="72">
        <v>705.47</v>
      </c>
      <c r="I417" s="72">
        <v>541.64</v>
      </c>
      <c r="J417" s="72">
        <v>163.83000000000001</v>
      </c>
      <c r="K417" s="8" t="s">
        <v>666</v>
      </c>
    </row>
    <row r="418" spans="1:11">
      <c r="A418" s="1">
        <v>415</v>
      </c>
      <c r="B418" s="13" t="s">
        <v>1101</v>
      </c>
      <c r="C418" s="8" t="s">
        <v>4475</v>
      </c>
      <c r="D418" s="12" t="s">
        <v>36</v>
      </c>
      <c r="E418" s="11">
        <v>1444999</v>
      </c>
      <c r="F418" s="10">
        <f t="shared" si="12"/>
        <v>1401649.03</v>
      </c>
      <c r="G418" s="9">
        <f t="shared" si="13"/>
        <v>1358299.0599999998</v>
      </c>
      <c r="H418" s="72">
        <v>850.24</v>
      </c>
      <c r="I418" s="72">
        <v>628.94000000000005</v>
      </c>
      <c r="J418" s="72">
        <v>221.31</v>
      </c>
      <c r="K418" s="8" t="s">
        <v>665</v>
      </c>
    </row>
    <row r="419" spans="1:11">
      <c r="A419" s="1">
        <v>416</v>
      </c>
      <c r="B419" s="13" t="s">
        <v>508</v>
      </c>
      <c r="C419" s="8" t="s">
        <v>4475</v>
      </c>
      <c r="D419" s="12" t="s">
        <v>36</v>
      </c>
      <c r="E419" s="11">
        <v>1329999</v>
      </c>
      <c r="F419" s="10">
        <f t="shared" si="12"/>
        <v>1290099.03</v>
      </c>
      <c r="G419" s="9">
        <f t="shared" si="13"/>
        <v>1250199.0599999998</v>
      </c>
      <c r="H419" s="72">
        <v>612.36</v>
      </c>
      <c r="I419" s="72">
        <v>612.36</v>
      </c>
      <c r="J419" s="72">
        <v>0</v>
      </c>
      <c r="K419" s="8" t="s">
        <v>666</v>
      </c>
    </row>
    <row r="420" spans="1:11">
      <c r="A420" s="1">
        <v>417</v>
      </c>
      <c r="B420" s="13" t="s">
        <v>509</v>
      </c>
      <c r="C420" s="8" t="s">
        <v>4475</v>
      </c>
      <c r="D420" s="12" t="s">
        <v>36</v>
      </c>
      <c r="E420" s="11">
        <v>1322999</v>
      </c>
      <c r="F420" s="10">
        <f t="shared" si="12"/>
        <v>1283309.03</v>
      </c>
      <c r="G420" s="9">
        <f t="shared" si="13"/>
        <v>1243619.0599999998</v>
      </c>
      <c r="H420" s="72">
        <v>728.07</v>
      </c>
      <c r="I420" s="72">
        <v>567.58000000000004</v>
      </c>
      <c r="J420" s="72">
        <v>160.49</v>
      </c>
      <c r="K420" s="8" t="s">
        <v>666</v>
      </c>
    </row>
    <row r="421" spans="1:11">
      <c r="A421" s="1">
        <v>418</v>
      </c>
      <c r="B421" s="13" t="s">
        <v>510</v>
      </c>
      <c r="C421" s="8" t="s">
        <v>4475</v>
      </c>
      <c r="D421" s="12" t="s">
        <v>36</v>
      </c>
      <c r="E421" s="11">
        <v>1442999</v>
      </c>
      <c r="F421" s="10">
        <f t="shared" si="12"/>
        <v>1399709.03</v>
      </c>
      <c r="G421" s="9">
        <f t="shared" si="13"/>
        <v>1356419.0599999998</v>
      </c>
      <c r="H421" s="72">
        <v>1044.21</v>
      </c>
      <c r="I421" s="72">
        <v>574.69000000000005</v>
      </c>
      <c r="J421" s="72">
        <v>469.52</v>
      </c>
      <c r="K421" s="8" t="s">
        <v>667</v>
      </c>
    </row>
    <row r="422" spans="1:11">
      <c r="A422" s="1">
        <v>419</v>
      </c>
      <c r="B422" s="13" t="s">
        <v>511</v>
      </c>
      <c r="C422" s="8" t="s">
        <v>4475</v>
      </c>
      <c r="D422" s="12" t="s">
        <v>36</v>
      </c>
      <c r="E422" s="11">
        <v>1388999</v>
      </c>
      <c r="F422" s="10">
        <f t="shared" si="12"/>
        <v>1347329.03</v>
      </c>
      <c r="G422" s="9">
        <f t="shared" si="13"/>
        <v>1305659.0599999998</v>
      </c>
      <c r="H422" s="72">
        <v>827.1</v>
      </c>
      <c r="I422" s="72">
        <v>585.13</v>
      </c>
      <c r="J422" s="72">
        <v>241.97</v>
      </c>
      <c r="K422" s="8" t="s">
        <v>668</v>
      </c>
    </row>
    <row r="423" spans="1:11">
      <c r="A423" s="1">
        <v>420</v>
      </c>
      <c r="B423" s="13" t="s">
        <v>4333</v>
      </c>
      <c r="C423" s="8" t="s">
        <v>4475</v>
      </c>
      <c r="D423" s="12" t="s">
        <v>36</v>
      </c>
      <c r="E423" s="11">
        <v>1343999</v>
      </c>
      <c r="F423" s="10">
        <f t="shared" si="12"/>
        <v>1303679.03</v>
      </c>
      <c r="G423" s="9">
        <f t="shared" si="13"/>
        <v>1263359.0599999998</v>
      </c>
      <c r="H423" s="72">
        <v>770.05</v>
      </c>
      <c r="I423" s="72">
        <v>571.03</v>
      </c>
      <c r="J423" s="72">
        <v>199.02</v>
      </c>
      <c r="K423" s="8" t="s">
        <v>668</v>
      </c>
    </row>
    <row r="424" spans="1:11">
      <c r="A424" s="1">
        <v>421</v>
      </c>
      <c r="B424" s="13" t="s">
        <v>512</v>
      </c>
      <c r="C424" s="8" t="s">
        <v>4475</v>
      </c>
      <c r="D424" s="12" t="s">
        <v>36</v>
      </c>
      <c r="E424" s="11">
        <v>1359999</v>
      </c>
      <c r="F424" s="10">
        <f t="shared" si="12"/>
        <v>1319199.03</v>
      </c>
      <c r="G424" s="9">
        <f t="shared" si="13"/>
        <v>1278399.0599999998</v>
      </c>
      <c r="H424" s="72">
        <v>750.78</v>
      </c>
      <c r="I424" s="72">
        <v>590.72</v>
      </c>
      <c r="J424" s="72">
        <v>160.06</v>
      </c>
      <c r="K424" s="8" t="s">
        <v>668</v>
      </c>
    </row>
    <row r="425" spans="1:11">
      <c r="A425" s="1">
        <v>422</v>
      </c>
      <c r="B425" s="13" t="s">
        <v>513</v>
      </c>
      <c r="C425" s="8" t="s">
        <v>4475</v>
      </c>
      <c r="D425" s="12" t="s">
        <v>36</v>
      </c>
      <c r="E425" s="11">
        <v>1359999</v>
      </c>
      <c r="F425" s="10">
        <f t="shared" si="12"/>
        <v>1319199.03</v>
      </c>
      <c r="G425" s="9">
        <f t="shared" si="13"/>
        <v>1278399.0599999998</v>
      </c>
      <c r="H425" s="72">
        <v>750.78</v>
      </c>
      <c r="I425" s="72">
        <v>590.72</v>
      </c>
      <c r="J425" s="72">
        <v>160.06</v>
      </c>
      <c r="K425" s="8" t="s">
        <v>668</v>
      </c>
    </row>
    <row r="426" spans="1:11">
      <c r="A426" s="1">
        <v>423</v>
      </c>
      <c r="B426" s="13" t="s">
        <v>514</v>
      </c>
      <c r="C426" s="8" t="s">
        <v>4475</v>
      </c>
      <c r="D426" s="12" t="s">
        <v>36</v>
      </c>
      <c r="E426" s="11">
        <v>1443999</v>
      </c>
      <c r="F426" s="10">
        <f t="shared" si="12"/>
        <v>1400679.03</v>
      </c>
      <c r="G426" s="9">
        <f t="shared" si="13"/>
        <v>1357359.0599999998</v>
      </c>
      <c r="H426" s="72">
        <v>815.58</v>
      </c>
      <c r="I426" s="72">
        <v>643.25</v>
      </c>
      <c r="J426" s="72">
        <v>172.33</v>
      </c>
      <c r="K426" s="8" t="s">
        <v>668</v>
      </c>
    </row>
    <row r="427" spans="1:11">
      <c r="A427" s="1">
        <v>424</v>
      </c>
      <c r="B427" s="13" t="s">
        <v>515</v>
      </c>
      <c r="C427" s="8" t="s">
        <v>4475</v>
      </c>
      <c r="D427" s="12" t="s">
        <v>36</v>
      </c>
      <c r="E427" s="11">
        <v>1379999</v>
      </c>
      <c r="F427" s="10">
        <f t="shared" si="12"/>
        <v>1338599.03</v>
      </c>
      <c r="G427" s="9">
        <f t="shared" si="13"/>
        <v>1297199.0599999998</v>
      </c>
      <c r="H427" s="72">
        <v>757.35</v>
      </c>
      <c r="I427" s="72">
        <v>597.29</v>
      </c>
      <c r="J427" s="72">
        <v>160.06</v>
      </c>
      <c r="K427" s="8" t="s">
        <v>665</v>
      </c>
    </row>
    <row r="428" spans="1:11">
      <c r="A428" s="1">
        <v>425</v>
      </c>
      <c r="B428" s="13" t="s">
        <v>516</v>
      </c>
      <c r="C428" s="8" t="s">
        <v>4474</v>
      </c>
      <c r="D428" s="12" t="s">
        <v>36</v>
      </c>
      <c r="E428" s="11">
        <v>1299999</v>
      </c>
      <c r="F428" s="10">
        <f t="shared" si="12"/>
        <v>1260999.03</v>
      </c>
      <c r="G428" s="9">
        <f t="shared" si="13"/>
        <v>1221999.0599999998</v>
      </c>
      <c r="H428" s="72">
        <v>674.14</v>
      </c>
      <c r="I428" s="72">
        <v>567.79999999999995</v>
      </c>
      <c r="J428" s="72">
        <v>106.35</v>
      </c>
      <c r="K428" s="8" t="s">
        <v>665</v>
      </c>
    </row>
    <row r="429" spans="1:11">
      <c r="A429" s="1">
        <v>426</v>
      </c>
      <c r="B429" s="13" t="s">
        <v>517</v>
      </c>
      <c r="C429" s="8" t="s">
        <v>4474</v>
      </c>
      <c r="D429" s="12" t="s">
        <v>24</v>
      </c>
      <c r="E429" s="11">
        <v>2015999</v>
      </c>
      <c r="F429" s="10">
        <f t="shared" ref="F429:F467" si="14">E429*0.97</f>
        <v>1955519.03</v>
      </c>
      <c r="G429" s="9">
        <f t="shared" ref="G429:G467" si="15">E429*0.94</f>
        <v>1895039.0599999998</v>
      </c>
      <c r="H429" s="72">
        <v>1150.6600000000001</v>
      </c>
      <c r="I429" s="72">
        <v>826.13</v>
      </c>
      <c r="J429" s="72">
        <v>324.52999999999997</v>
      </c>
      <c r="K429" s="8" t="s">
        <v>666</v>
      </c>
    </row>
    <row r="430" spans="1:11">
      <c r="A430" s="1">
        <v>427</v>
      </c>
      <c r="B430" s="13" t="s">
        <v>518</v>
      </c>
      <c r="C430" s="8" t="s">
        <v>4474</v>
      </c>
      <c r="D430" s="12" t="s">
        <v>36</v>
      </c>
      <c r="E430" s="11">
        <v>1507999</v>
      </c>
      <c r="F430" s="10">
        <f t="shared" si="14"/>
        <v>1462759.03</v>
      </c>
      <c r="G430" s="9">
        <f t="shared" si="15"/>
        <v>1417519.0599999998</v>
      </c>
      <c r="H430" s="72">
        <v>934.42</v>
      </c>
      <c r="I430" s="72">
        <v>654.34</v>
      </c>
      <c r="J430" s="72">
        <v>280.08</v>
      </c>
      <c r="K430" s="8" t="s">
        <v>666</v>
      </c>
    </row>
    <row r="431" spans="1:11">
      <c r="A431" s="1">
        <v>428</v>
      </c>
      <c r="B431" s="13" t="s">
        <v>519</v>
      </c>
      <c r="C431" s="8" t="s">
        <v>4474</v>
      </c>
      <c r="D431" s="12" t="s">
        <v>36</v>
      </c>
      <c r="E431" s="11">
        <v>1513999</v>
      </c>
      <c r="F431" s="10">
        <f t="shared" si="14"/>
        <v>1468579.03</v>
      </c>
      <c r="G431" s="9">
        <f t="shared" si="15"/>
        <v>1423159.0599999998</v>
      </c>
      <c r="H431" s="72">
        <v>933.55</v>
      </c>
      <c r="I431" s="72">
        <v>654.34</v>
      </c>
      <c r="J431" s="72">
        <v>279.22000000000003</v>
      </c>
      <c r="K431" s="8" t="s">
        <v>665</v>
      </c>
    </row>
    <row r="432" spans="1:11">
      <c r="A432" s="1">
        <v>429</v>
      </c>
      <c r="B432" s="13" t="s">
        <v>4334</v>
      </c>
      <c r="C432" s="8" t="s">
        <v>4474</v>
      </c>
      <c r="D432" s="12" t="s">
        <v>36</v>
      </c>
      <c r="E432" s="11">
        <v>1266999</v>
      </c>
      <c r="F432" s="10">
        <f t="shared" si="14"/>
        <v>1228989.03</v>
      </c>
      <c r="G432" s="9">
        <f t="shared" si="15"/>
        <v>1190979.0599999998</v>
      </c>
      <c r="H432" s="72">
        <v>705.47</v>
      </c>
      <c r="I432" s="72">
        <v>541.64</v>
      </c>
      <c r="J432" s="72">
        <v>163.83000000000001</v>
      </c>
      <c r="K432" s="8" t="s">
        <v>666</v>
      </c>
    </row>
    <row r="433" spans="1:11">
      <c r="A433" s="1">
        <v>430</v>
      </c>
      <c r="B433" s="13" t="s">
        <v>520</v>
      </c>
      <c r="C433" s="8" t="s">
        <v>4474</v>
      </c>
      <c r="D433" s="12" t="s">
        <v>36</v>
      </c>
      <c r="E433" s="11">
        <v>1444999</v>
      </c>
      <c r="F433" s="10">
        <f t="shared" si="14"/>
        <v>1401649.03</v>
      </c>
      <c r="G433" s="9">
        <f t="shared" si="15"/>
        <v>1358299.0599999998</v>
      </c>
      <c r="H433" s="72">
        <v>850.24</v>
      </c>
      <c r="I433" s="72">
        <v>628.94000000000005</v>
      </c>
      <c r="J433" s="72">
        <v>221.31</v>
      </c>
      <c r="K433" s="8" t="s">
        <v>665</v>
      </c>
    </row>
    <row r="434" spans="1:11">
      <c r="A434" s="1">
        <v>431</v>
      </c>
      <c r="B434" s="13" t="s">
        <v>521</v>
      </c>
      <c r="C434" s="8" t="s">
        <v>4474</v>
      </c>
      <c r="D434" s="12" t="s">
        <v>36</v>
      </c>
      <c r="E434" s="11">
        <v>1329999</v>
      </c>
      <c r="F434" s="10">
        <f t="shared" si="14"/>
        <v>1290099.03</v>
      </c>
      <c r="G434" s="9">
        <f t="shared" si="15"/>
        <v>1250199.0599999998</v>
      </c>
      <c r="H434" s="72">
        <v>612.36</v>
      </c>
      <c r="I434" s="72">
        <v>612.36</v>
      </c>
      <c r="J434" s="72">
        <v>0</v>
      </c>
      <c r="K434" s="8" t="s">
        <v>666</v>
      </c>
    </row>
    <row r="435" spans="1:11">
      <c r="A435" s="1">
        <v>432</v>
      </c>
      <c r="B435" s="13" t="s">
        <v>522</v>
      </c>
      <c r="C435" s="8" t="s">
        <v>4474</v>
      </c>
      <c r="D435" s="12" t="s">
        <v>36</v>
      </c>
      <c r="E435" s="11">
        <v>1321999</v>
      </c>
      <c r="F435" s="10">
        <f t="shared" si="14"/>
        <v>1282339.03</v>
      </c>
      <c r="G435" s="9">
        <f t="shared" si="15"/>
        <v>1242679.0599999998</v>
      </c>
      <c r="H435" s="72">
        <v>728.07</v>
      </c>
      <c r="I435" s="72">
        <v>567.58000000000004</v>
      </c>
      <c r="J435" s="72">
        <v>160.49</v>
      </c>
      <c r="K435" s="8" t="s">
        <v>666</v>
      </c>
    </row>
    <row r="436" spans="1:11">
      <c r="A436" s="1">
        <v>433</v>
      </c>
      <c r="B436" s="13" t="s">
        <v>523</v>
      </c>
      <c r="C436" s="8" t="s">
        <v>4474</v>
      </c>
      <c r="D436" s="12" t="s">
        <v>36</v>
      </c>
      <c r="E436" s="11">
        <v>1441999</v>
      </c>
      <c r="F436" s="10">
        <f t="shared" si="14"/>
        <v>1398739.03</v>
      </c>
      <c r="G436" s="9">
        <f t="shared" si="15"/>
        <v>1355479.0599999998</v>
      </c>
      <c r="H436" s="72">
        <v>1044.21</v>
      </c>
      <c r="I436" s="72">
        <v>574.69000000000005</v>
      </c>
      <c r="J436" s="72">
        <v>469.52</v>
      </c>
      <c r="K436" s="8" t="s">
        <v>667</v>
      </c>
    </row>
    <row r="437" spans="1:11">
      <c r="A437" s="1">
        <v>434</v>
      </c>
      <c r="B437" s="13" t="s">
        <v>524</v>
      </c>
      <c r="C437" s="8" t="s">
        <v>4474</v>
      </c>
      <c r="D437" s="12" t="s">
        <v>36</v>
      </c>
      <c r="E437" s="11">
        <v>1388999</v>
      </c>
      <c r="F437" s="10">
        <f t="shared" si="14"/>
        <v>1347329.03</v>
      </c>
      <c r="G437" s="9">
        <f t="shared" si="15"/>
        <v>1305659.0599999998</v>
      </c>
      <c r="H437" s="72">
        <v>827.1</v>
      </c>
      <c r="I437" s="72">
        <v>585.13</v>
      </c>
      <c r="J437" s="72">
        <v>241.97</v>
      </c>
      <c r="K437" s="8" t="s">
        <v>668</v>
      </c>
    </row>
    <row r="438" spans="1:11">
      <c r="A438" s="1">
        <v>435</v>
      </c>
      <c r="B438" s="13" t="s">
        <v>525</v>
      </c>
      <c r="C438" s="8" t="s">
        <v>4474</v>
      </c>
      <c r="D438" s="12" t="s">
        <v>36</v>
      </c>
      <c r="E438" s="11">
        <v>1342999</v>
      </c>
      <c r="F438" s="10">
        <f t="shared" si="14"/>
        <v>1302709.03</v>
      </c>
      <c r="G438" s="9">
        <f t="shared" si="15"/>
        <v>1262419.0599999998</v>
      </c>
      <c r="H438" s="72">
        <v>770.05</v>
      </c>
      <c r="I438" s="72">
        <v>571.03</v>
      </c>
      <c r="J438" s="72">
        <v>199.02</v>
      </c>
      <c r="K438" s="8" t="s">
        <v>668</v>
      </c>
    </row>
    <row r="439" spans="1:11">
      <c r="A439" s="1">
        <v>436</v>
      </c>
      <c r="B439" s="13" t="s">
        <v>526</v>
      </c>
      <c r="C439" s="8" t="s">
        <v>4474</v>
      </c>
      <c r="D439" s="12" t="s">
        <v>36</v>
      </c>
      <c r="E439" s="11">
        <v>1359999</v>
      </c>
      <c r="F439" s="10">
        <f t="shared" si="14"/>
        <v>1319199.03</v>
      </c>
      <c r="G439" s="9">
        <f t="shared" si="15"/>
        <v>1278399.0599999998</v>
      </c>
      <c r="H439" s="72">
        <v>750.78</v>
      </c>
      <c r="I439" s="72">
        <v>590.72</v>
      </c>
      <c r="J439" s="72">
        <v>160.06</v>
      </c>
      <c r="K439" s="8" t="s">
        <v>668</v>
      </c>
    </row>
    <row r="440" spans="1:11">
      <c r="A440" s="1">
        <v>437</v>
      </c>
      <c r="B440" s="13" t="s">
        <v>527</v>
      </c>
      <c r="C440" s="8" t="s">
        <v>4474</v>
      </c>
      <c r="D440" s="12" t="s">
        <v>36</v>
      </c>
      <c r="E440" s="11">
        <v>1359999</v>
      </c>
      <c r="F440" s="10">
        <f t="shared" si="14"/>
        <v>1319199.03</v>
      </c>
      <c r="G440" s="9">
        <f t="shared" si="15"/>
        <v>1278399.0599999998</v>
      </c>
      <c r="H440" s="72">
        <v>750.78</v>
      </c>
      <c r="I440" s="72">
        <v>590.72</v>
      </c>
      <c r="J440" s="72">
        <v>160.06</v>
      </c>
      <c r="K440" s="8" t="s">
        <v>668</v>
      </c>
    </row>
    <row r="441" spans="1:11">
      <c r="A441" s="1">
        <v>438</v>
      </c>
      <c r="B441" s="13" t="s">
        <v>528</v>
      </c>
      <c r="C441" s="8" t="s">
        <v>4474</v>
      </c>
      <c r="D441" s="12" t="s">
        <v>36</v>
      </c>
      <c r="E441" s="11">
        <v>1442999</v>
      </c>
      <c r="F441" s="10">
        <f t="shared" si="14"/>
        <v>1399709.03</v>
      </c>
      <c r="G441" s="9">
        <f t="shared" si="15"/>
        <v>1356419.0599999998</v>
      </c>
      <c r="H441" s="72">
        <v>815.58</v>
      </c>
      <c r="I441" s="72">
        <v>643.25</v>
      </c>
      <c r="J441" s="72">
        <v>172.33</v>
      </c>
      <c r="K441" s="8" t="s">
        <v>668</v>
      </c>
    </row>
    <row r="442" spans="1:11">
      <c r="A442" s="1">
        <v>439</v>
      </c>
      <c r="B442" s="13" t="s">
        <v>529</v>
      </c>
      <c r="C442" s="8" t="s">
        <v>9</v>
      </c>
      <c r="D442" s="12" t="s">
        <v>36</v>
      </c>
      <c r="E442" s="11">
        <v>1221999</v>
      </c>
      <c r="F442" s="10">
        <f t="shared" si="14"/>
        <v>1185339.03</v>
      </c>
      <c r="G442" s="9">
        <f t="shared" si="15"/>
        <v>1148679.0599999998</v>
      </c>
      <c r="H442" s="72">
        <v>569.73</v>
      </c>
      <c r="I442" s="72">
        <v>569.73</v>
      </c>
      <c r="J442" s="72">
        <v>0</v>
      </c>
      <c r="K442" s="8" t="s">
        <v>667</v>
      </c>
    </row>
    <row r="443" spans="1:11">
      <c r="A443" s="1">
        <v>440</v>
      </c>
      <c r="B443" s="13" t="s">
        <v>530</v>
      </c>
      <c r="C443" s="8" t="s">
        <v>4474</v>
      </c>
      <c r="D443" s="12" t="s">
        <v>36</v>
      </c>
      <c r="E443" s="11">
        <v>1379999</v>
      </c>
      <c r="F443" s="10">
        <f t="shared" si="14"/>
        <v>1338599.03</v>
      </c>
      <c r="G443" s="9">
        <f t="shared" si="15"/>
        <v>1297199.0599999998</v>
      </c>
      <c r="H443" s="72">
        <v>757.35</v>
      </c>
      <c r="I443" s="72">
        <v>597.29</v>
      </c>
      <c r="J443" s="72">
        <v>160.06</v>
      </c>
      <c r="K443" s="8" t="s">
        <v>665</v>
      </c>
    </row>
    <row r="444" spans="1:11">
      <c r="A444" s="1">
        <v>441</v>
      </c>
      <c r="B444" s="13" t="s">
        <v>531</v>
      </c>
      <c r="C444" s="8" t="s">
        <v>4474</v>
      </c>
      <c r="D444" s="12" t="s">
        <v>36</v>
      </c>
      <c r="E444" s="11">
        <v>1378999</v>
      </c>
      <c r="F444" s="10">
        <f t="shared" si="14"/>
        <v>1337629.03</v>
      </c>
      <c r="G444" s="9">
        <f t="shared" si="15"/>
        <v>1296259.0599999998</v>
      </c>
      <c r="H444" s="72">
        <v>757.13</v>
      </c>
      <c r="I444" s="72">
        <v>597.07000000000005</v>
      </c>
      <c r="J444" s="72">
        <v>160.06</v>
      </c>
      <c r="K444" s="8" t="s">
        <v>665</v>
      </c>
    </row>
    <row r="445" spans="1:11">
      <c r="A445" s="1">
        <v>442</v>
      </c>
      <c r="B445" s="13" t="s">
        <v>532</v>
      </c>
      <c r="C445" s="8" t="s">
        <v>9</v>
      </c>
      <c r="D445" s="12" t="s">
        <v>36</v>
      </c>
      <c r="E445" s="11">
        <v>1331999</v>
      </c>
      <c r="F445" s="10">
        <f t="shared" si="14"/>
        <v>1292039.03</v>
      </c>
      <c r="G445" s="9">
        <f t="shared" si="15"/>
        <v>1252079.0599999998</v>
      </c>
      <c r="H445" s="72">
        <v>772.53</v>
      </c>
      <c r="I445" s="72">
        <v>574.79</v>
      </c>
      <c r="J445" s="72">
        <v>197.73</v>
      </c>
      <c r="K445" s="8" t="s">
        <v>667</v>
      </c>
    </row>
    <row r="446" spans="1:11">
      <c r="A446" s="1">
        <v>443</v>
      </c>
      <c r="B446" s="13" t="s">
        <v>533</v>
      </c>
      <c r="C446" s="8" t="s">
        <v>9</v>
      </c>
      <c r="D446" s="12" t="s">
        <v>36</v>
      </c>
      <c r="E446" s="11">
        <v>1362999</v>
      </c>
      <c r="F446" s="10">
        <f t="shared" si="14"/>
        <v>1322109.03</v>
      </c>
      <c r="G446" s="9">
        <f t="shared" si="15"/>
        <v>1281219.0599999998</v>
      </c>
      <c r="H446" s="72">
        <v>816.01</v>
      </c>
      <c r="I446" s="72">
        <v>585.13</v>
      </c>
      <c r="J446" s="72">
        <v>230.89</v>
      </c>
      <c r="K446" s="8" t="s">
        <v>668</v>
      </c>
    </row>
    <row r="447" spans="1:11">
      <c r="A447" s="1">
        <v>444</v>
      </c>
      <c r="B447" s="13" t="s">
        <v>534</v>
      </c>
      <c r="C447" s="8" t="s">
        <v>9</v>
      </c>
      <c r="D447" s="12" t="s">
        <v>36</v>
      </c>
      <c r="E447" s="11">
        <v>1262999</v>
      </c>
      <c r="F447" s="10">
        <f t="shared" si="14"/>
        <v>1225109.03</v>
      </c>
      <c r="G447" s="9">
        <f t="shared" si="15"/>
        <v>1187219.0599999998</v>
      </c>
      <c r="H447" s="72">
        <v>640.55999999999995</v>
      </c>
      <c r="I447" s="72">
        <v>571.03</v>
      </c>
      <c r="J447" s="72">
        <v>69.53</v>
      </c>
      <c r="K447" s="8" t="s">
        <v>668</v>
      </c>
    </row>
    <row r="448" spans="1:11">
      <c r="A448" s="1">
        <v>445</v>
      </c>
      <c r="B448" s="13" t="s">
        <v>535</v>
      </c>
      <c r="C448" s="8" t="s">
        <v>9</v>
      </c>
      <c r="D448" s="12" t="s">
        <v>36</v>
      </c>
      <c r="E448" s="11">
        <v>1346999</v>
      </c>
      <c r="F448" s="10">
        <f t="shared" si="14"/>
        <v>1306589.03</v>
      </c>
      <c r="G448" s="9">
        <f t="shared" si="15"/>
        <v>1266179.0599999998</v>
      </c>
      <c r="H448" s="72">
        <v>750.78</v>
      </c>
      <c r="I448" s="72">
        <v>590.72</v>
      </c>
      <c r="J448" s="72">
        <v>160.06</v>
      </c>
      <c r="K448" s="8" t="s">
        <v>668</v>
      </c>
    </row>
    <row r="449" spans="1:11">
      <c r="A449" s="1">
        <v>446</v>
      </c>
      <c r="B449" s="13" t="s">
        <v>536</v>
      </c>
      <c r="C449" s="8" t="s">
        <v>9</v>
      </c>
      <c r="D449" s="12" t="s">
        <v>36</v>
      </c>
      <c r="E449" s="11">
        <v>1346999</v>
      </c>
      <c r="F449" s="10">
        <f t="shared" si="14"/>
        <v>1306589.03</v>
      </c>
      <c r="G449" s="9">
        <f t="shared" si="15"/>
        <v>1266179.0599999998</v>
      </c>
      <c r="H449" s="72">
        <v>750.78</v>
      </c>
      <c r="I449" s="72">
        <v>590.72</v>
      </c>
      <c r="J449" s="72">
        <v>160.06</v>
      </c>
      <c r="K449" s="8" t="s">
        <v>668</v>
      </c>
    </row>
    <row r="450" spans="1:11">
      <c r="A450" s="1">
        <v>447</v>
      </c>
      <c r="B450" s="13" t="s">
        <v>537</v>
      </c>
      <c r="C450" s="8" t="s">
        <v>9</v>
      </c>
      <c r="D450" s="12" t="s">
        <v>36</v>
      </c>
      <c r="E450" s="11">
        <v>1389999</v>
      </c>
      <c r="F450" s="10">
        <f t="shared" si="14"/>
        <v>1348299.03</v>
      </c>
      <c r="G450" s="9">
        <f t="shared" si="15"/>
        <v>1306599.0599999998</v>
      </c>
      <c r="H450" s="72">
        <v>849.81</v>
      </c>
      <c r="I450" s="72">
        <v>590.72</v>
      </c>
      <c r="J450" s="72">
        <v>259.08999999999997</v>
      </c>
      <c r="K450" s="8" t="s">
        <v>668</v>
      </c>
    </row>
    <row r="451" spans="1:11">
      <c r="A451" s="1">
        <v>448</v>
      </c>
      <c r="B451" s="13" t="s">
        <v>538</v>
      </c>
      <c r="C451" s="8" t="s">
        <v>4473</v>
      </c>
      <c r="D451" s="12" t="s">
        <v>24</v>
      </c>
      <c r="E451" s="11">
        <v>2014999</v>
      </c>
      <c r="F451" s="10">
        <f t="shared" si="14"/>
        <v>1954549.03</v>
      </c>
      <c r="G451" s="9">
        <f t="shared" si="15"/>
        <v>1894099.0599999998</v>
      </c>
      <c r="H451" s="72">
        <v>1150.6600000000001</v>
      </c>
      <c r="I451" s="72">
        <v>826.13</v>
      </c>
      <c r="J451" s="72">
        <v>324.52999999999997</v>
      </c>
      <c r="K451" s="8" t="s">
        <v>666</v>
      </c>
    </row>
    <row r="452" spans="1:11">
      <c r="A452" s="1">
        <v>449</v>
      </c>
      <c r="B452" s="13" t="s">
        <v>539</v>
      </c>
      <c r="C452" s="8" t="s">
        <v>4473</v>
      </c>
      <c r="D452" s="12" t="s">
        <v>36</v>
      </c>
      <c r="E452" s="11">
        <v>1506999</v>
      </c>
      <c r="F452" s="10">
        <f t="shared" si="14"/>
        <v>1461789.03</v>
      </c>
      <c r="G452" s="9">
        <f t="shared" si="15"/>
        <v>1416579.0599999998</v>
      </c>
      <c r="H452" s="72">
        <v>934.42</v>
      </c>
      <c r="I452" s="72">
        <v>654.34</v>
      </c>
      <c r="J452" s="72">
        <v>280.08</v>
      </c>
      <c r="K452" s="8" t="s">
        <v>666</v>
      </c>
    </row>
    <row r="453" spans="1:11">
      <c r="A453" s="1">
        <v>450</v>
      </c>
      <c r="B453" s="13" t="s">
        <v>540</v>
      </c>
      <c r="C453" s="8" t="s">
        <v>4473</v>
      </c>
      <c r="D453" s="12" t="s">
        <v>36</v>
      </c>
      <c r="E453" s="11">
        <v>1512999</v>
      </c>
      <c r="F453" s="10">
        <f t="shared" si="14"/>
        <v>1467609.03</v>
      </c>
      <c r="G453" s="9">
        <f t="shared" si="15"/>
        <v>1422219.0599999998</v>
      </c>
      <c r="H453" s="72">
        <v>933.55</v>
      </c>
      <c r="I453" s="72">
        <v>654.34</v>
      </c>
      <c r="J453" s="72">
        <v>279.22000000000003</v>
      </c>
      <c r="K453" s="8" t="s">
        <v>665</v>
      </c>
    </row>
    <row r="454" spans="1:11">
      <c r="A454" s="1">
        <v>451</v>
      </c>
      <c r="B454" s="13" t="s">
        <v>4335</v>
      </c>
      <c r="C454" s="8" t="s">
        <v>4473</v>
      </c>
      <c r="D454" s="12" t="s">
        <v>36</v>
      </c>
      <c r="E454" s="11">
        <v>1327999</v>
      </c>
      <c r="F454" s="10">
        <f t="shared" si="14"/>
        <v>1288159.03</v>
      </c>
      <c r="G454" s="9">
        <f t="shared" si="15"/>
        <v>1248319.0599999998</v>
      </c>
      <c r="H454" s="72">
        <v>722.8</v>
      </c>
      <c r="I454" s="72">
        <v>569.29999999999995</v>
      </c>
      <c r="J454" s="72">
        <v>153.49</v>
      </c>
      <c r="K454" s="8" t="s">
        <v>665</v>
      </c>
    </row>
    <row r="455" spans="1:11">
      <c r="A455" s="1">
        <v>452</v>
      </c>
      <c r="B455" s="13" t="s">
        <v>4336</v>
      </c>
      <c r="C455" s="8" t="s">
        <v>4473</v>
      </c>
      <c r="D455" s="12" t="s">
        <v>36</v>
      </c>
      <c r="E455" s="11">
        <v>1266999</v>
      </c>
      <c r="F455" s="10">
        <f t="shared" si="14"/>
        <v>1228989.03</v>
      </c>
      <c r="G455" s="9">
        <f t="shared" si="15"/>
        <v>1190979.0599999998</v>
      </c>
      <c r="H455" s="72">
        <v>705.47</v>
      </c>
      <c r="I455" s="72">
        <v>541.64</v>
      </c>
      <c r="J455" s="72">
        <v>163.83000000000001</v>
      </c>
      <c r="K455" s="8" t="s">
        <v>666</v>
      </c>
    </row>
    <row r="456" spans="1:11">
      <c r="A456" s="1">
        <v>453</v>
      </c>
      <c r="B456" s="13" t="s">
        <v>541</v>
      </c>
      <c r="C456" s="8" t="s">
        <v>4473</v>
      </c>
      <c r="D456" s="12" t="s">
        <v>36</v>
      </c>
      <c r="E456" s="11">
        <v>1443999</v>
      </c>
      <c r="F456" s="10">
        <f t="shared" si="14"/>
        <v>1400679.03</v>
      </c>
      <c r="G456" s="9">
        <f t="shared" si="15"/>
        <v>1357359.0599999998</v>
      </c>
      <c r="H456" s="72">
        <v>850.24</v>
      </c>
      <c r="I456" s="72">
        <v>628.94000000000005</v>
      </c>
      <c r="J456" s="72">
        <v>221.31</v>
      </c>
      <c r="K456" s="8" t="s">
        <v>665</v>
      </c>
    </row>
    <row r="457" spans="1:11">
      <c r="A457" s="1">
        <v>454</v>
      </c>
      <c r="B457" s="13" t="s">
        <v>542</v>
      </c>
      <c r="C457" s="8" t="s">
        <v>4473</v>
      </c>
      <c r="D457" s="12" t="s">
        <v>36</v>
      </c>
      <c r="E457" s="11">
        <v>1328999</v>
      </c>
      <c r="F457" s="10">
        <f t="shared" si="14"/>
        <v>1289129.03</v>
      </c>
      <c r="G457" s="9">
        <f t="shared" si="15"/>
        <v>1249259.0599999998</v>
      </c>
      <c r="H457" s="72">
        <v>612.36</v>
      </c>
      <c r="I457" s="72">
        <v>612.36</v>
      </c>
      <c r="J457" s="72">
        <v>0</v>
      </c>
      <c r="K457" s="8" t="s">
        <v>666</v>
      </c>
    </row>
    <row r="458" spans="1:11">
      <c r="A458" s="1">
        <v>455</v>
      </c>
      <c r="B458" s="13" t="s">
        <v>543</v>
      </c>
      <c r="C458" s="8" t="s">
        <v>4473</v>
      </c>
      <c r="D458" s="12" t="s">
        <v>36</v>
      </c>
      <c r="E458" s="11">
        <v>1320999</v>
      </c>
      <c r="F458" s="10">
        <f t="shared" si="14"/>
        <v>1281369.03</v>
      </c>
      <c r="G458" s="9">
        <f t="shared" si="15"/>
        <v>1241739.0599999998</v>
      </c>
      <c r="H458" s="72">
        <v>728.07</v>
      </c>
      <c r="I458" s="72">
        <v>567.58000000000004</v>
      </c>
      <c r="J458" s="72">
        <v>160.49</v>
      </c>
      <c r="K458" s="8" t="s">
        <v>666</v>
      </c>
    </row>
    <row r="459" spans="1:11">
      <c r="A459" s="1">
        <v>456</v>
      </c>
      <c r="B459" s="13" t="s">
        <v>544</v>
      </c>
      <c r="C459" s="8" t="s">
        <v>4473</v>
      </c>
      <c r="D459" s="12" t="s">
        <v>36</v>
      </c>
      <c r="E459" s="11">
        <v>1440999</v>
      </c>
      <c r="F459" s="10">
        <f t="shared" si="14"/>
        <v>1397769.03</v>
      </c>
      <c r="G459" s="9">
        <f t="shared" si="15"/>
        <v>1354539.0599999998</v>
      </c>
      <c r="H459" s="72">
        <v>1044.21</v>
      </c>
      <c r="I459" s="72">
        <v>574.69000000000005</v>
      </c>
      <c r="J459" s="72">
        <v>469.52</v>
      </c>
      <c r="K459" s="8" t="s">
        <v>667</v>
      </c>
    </row>
    <row r="460" spans="1:11">
      <c r="A460" s="1">
        <v>457</v>
      </c>
      <c r="B460" s="13" t="s">
        <v>545</v>
      </c>
      <c r="C460" s="8" t="s">
        <v>4473</v>
      </c>
      <c r="D460" s="12" t="s">
        <v>36</v>
      </c>
      <c r="E460" s="11">
        <v>1387999</v>
      </c>
      <c r="F460" s="10">
        <f t="shared" si="14"/>
        <v>1346359.03</v>
      </c>
      <c r="G460" s="9">
        <f t="shared" si="15"/>
        <v>1304719.0599999998</v>
      </c>
      <c r="H460" s="72">
        <v>827.1</v>
      </c>
      <c r="I460" s="72">
        <v>585.13</v>
      </c>
      <c r="J460" s="72">
        <v>241.97</v>
      </c>
      <c r="K460" s="8" t="s">
        <v>668</v>
      </c>
    </row>
    <row r="461" spans="1:11">
      <c r="A461" s="1">
        <v>458</v>
      </c>
      <c r="B461" s="13" t="s">
        <v>4337</v>
      </c>
      <c r="C461" s="8" t="s">
        <v>9</v>
      </c>
      <c r="D461" s="12" t="s">
        <v>35</v>
      </c>
      <c r="E461" s="11">
        <v>789999</v>
      </c>
      <c r="F461" s="10">
        <f t="shared" si="14"/>
        <v>766299.03</v>
      </c>
      <c r="G461" s="9">
        <f t="shared" si="15"/>
        <v>742599.05999999994</v>
      </c>
      <c r="H461" s="72">
        <v>383.95</v>
      </c>
      <c r="I461" s="72">
        <v>303.33</v>
      </c>
      <c r="J461" s="72">
        <v>80.62</v>
      </c>
      <c r="K461" s="8" t="s">
        <v>668</v>
      </c>
    </row>
    <row r="462" spans="1:11">
      <c r="A462" s="1">
        <v>459</v>
      </c>
      <c r="B462" s="13" t="s">
        <v>546</v>
      </c>
      <c r="C462" s="8" t="s">
        <v>4473</v>
      </c>
      <c r="D462" s="12" t="s">
        <v>36</v>
      </c>
      <c r="E462" s="11">
        <v>1342999</v>
      </c>
      <c r="F462" s="10">
        <f t="shared" si="14"/>
        <v>1302709.03</v>
      </c>
      <c r="G462" s="9">
        <f t="shared" si="15"/>
        <v>1262419.0599999998</v>
      </c>
      <c r="H462" s="72">
        <v>770.05</v>
      </c>
      <c r="I462" s="72">
        <v>571.03</v>
      </c>
      <c r="J462" s="72">
        <v>199.02</v>
      </c>
      <c r="K462" s="8" t="s">
        <v>668</v>
      </c>
    </row>
    <row r="463" spans="1:11">
      <c r="A463" s="1">
        <v>460</v>
      </c>
      <c r="B463" s="13" t="s">
        <v>547</v>
      </c>
      <c r="C463" s="8" t="s">
        <v>4473</v>
      </c>
      <c r="D463" s="12" t="s">
        <v>36</v>
      </c>
      <c r="E463" s="11">
        <v>1359999</v>
      </c>
      <c r="F463" s="10">
        <f t="shared" si="14"/>
        <v>1319199.03</v>
      </c>
      <c r="G463" s="9">
        <f t="shared" si="15"/>
        <v>1278399.0599999998</v>
      </c>
      <c r="H463" s="72">
        <v>750.78</v>
      </c>
      <c r="I463" s="72">
        <v>590.72</v>
      </c>
      <c r="J463" s="72">
        <v>160.06</v>
      </c>
      <c r="K463" s="8" t="s">
        <v>668</v>
      </c>
    </row>
    <row r="464" spans="1:11">
      <c r="A464" s="1">
        <v>461</v>
      </c>
      <c r="B464" s="13" t="s">
        <v>548</v>
      </c>
      <c r="C464" s="8" t="s">
        <v>4473</v>
      </c>
      <c r="D464" s="12" t="s">
        <v>36</v>
      </c>
      <c r="E464" s="11">
        <v>1359999</v>
      </c>
      <c r="F464" s="10">
        <f t="shared" si="14"/>
        <v>1319199.03</v>
      </c>
      <c r="G464" s="9">
        <f t="shared" si="15"/>
        <v>1278399.0599999998</v>
      </c>
      <c r="H464" s="72">
        <v>750.78</v>
      </c>
      <c r="I464" s="72">
        <v>590.72</v>
      </c>
      <c r="J464" s="72">
        <v>160.06</v>
      </c>
      <c r="K464" s="8" t="s">
        <v>668</v>
      </c>
    </row>
    <row r="465" spans="1:11">
      <c r="A465" s="1">
        <v>462</v>
      </c>
      <c r="B465" s="13" t="s">
        <v>549</v>
      </c>
      <c r="C465" s="8" t="s">
        <v>4473</v>
      </c>
      <c r="D465" s="12" t="s">
        <v>36</v>
      </c>
      <c r="E465" s="11">
        <v>1442999</v>
      </c>
      <c r="F465" s="10">
        <f t="shared" si="14"/>
        <v>1399709.03</v>
      </c>
      <c r="G465" s="9">
        <f t="shared" si="15"/>
        <v>1356419.0599999998</v>
      </c>
      <c r="H465" s="72">
        <v>815.58</v>
      </c>
      <c r="I465" s="72">
        <v>643.25</v>
      </c>
      <c r="J465" s="72">
        <v>172.33</v>
      </c>
      <c r="K465" s="8" t="s">
        <v>668</v>
      </c>
    </row>
    <row r="466" spans="1:11">
      <c r="A466" s="1">
        <v>463</v>
      </c>
      <c r="B466" s="13" t="s">
        <v>4519</v>
      </c>
      <c r="C466" s="8" t="s">
        <v>4473</v>
      </c>
      <c r="D466" s="12" t="s">
        <v>36</v>
      </c>
      <c r="E466" s="11">
        <v>1456999</v>
      </c>
      <c r="F466" s="10">
        <f t="shared" si="14"/>
        <v>1413289.03</v>
      </c>
      <c r="G466" s="9">
        <f t="shared" si="15"/>
        <v>1369579.0599999998</v>
      </c>
      <c r="H466" s="72">
        <v>818.81</v>
      </c>
      <c r="I466" s="72">
        <v>646.48</v>
      </c>
      <c r="J466" s="72">
        <v>172.33</v>
      </c>
      <c r="K466" s="8" t="s">
        <v>665</v>
      </c>
    </row>
    <row r="467" spans="1:11">
      <c r="A467" s="1">
        <v>464</v>
      </c>
      <c r="B467" s="13" t="s">
        <v>550</v>
      </c>
      <c r="C467" s="8" t="s">
        <v>4473</v>
      </c>
      <c r="D467" s="12" t="s">
        <v>36</v>
      </c>
      <c r="E467" s="11">
        <v>1378999</v>
      </c>
      <c r="F467" s="10">
        <f t="shared" si="14"/>
        <v>1337629.03</v>
      </c>
      <c r="G467" s="9">
        <f t="shared" si="15"/>
        <v>1296259.0599999998</v>
      </c>
      <c r="H467" s="72">
        <v>757.35</v>
      </c>
      <c r="I467" s="72">
        <v>597.29</v>
      </c>
      <c r="J467" s="72">
        <v>160.06</v>
      </c>
      <c r="K467" s="8" t="s">
        <v>665</v>
      </c>
    </row>
    <row r="468" spans="1:11">
      <c r="A468" s="1">
        <v>465</v>
      </c>
      <c r="B468" s="13" t="s">
        <v>551</v>
      </c>
      <c r="C468" s="8" t="s">
        <v>4473</v>
      </c>
      <c r="D468" s="12" t="s">
        <v>36</v>
      </c>
      <c r="E468" s="11">
        <v>1377999</v>
      </c>
      <c r="F468" s="10">
        <f t="shared" ref="F468:F529" si="16">E468*0.97</f>
        <v>1336659.03</v>
      </c>
      <c r="G468" s="9">
        <f t="shared" ref="G468:G529" si="17">E468*0.94</f>
        <v>1295319.0599999998</v>
      </c>
      <c r="H468" s="72">
        <v>757.13</v>
      </c>
      <c r="I468" s="72">
        <v>597.07000000000005</v>
      </c>
      <c r="J468" s="72">
        <v>160.06</v>
      </c>
      <c r="K468" s="8" t="s">
        <v>665</v>
      </c>
    </row>
    <row r="469" spans="1:11">
      <c r="A469" s="1">
        <v>466</v>
      </c>
      <c r="B469" s="13" t="s">
        <v>552</v>
      </c>
      <c r="C469" s="8" t="s">
        <v>9</v>
      </c>
      <c r="D469" s="12" t="s">
        <v>24</v>
      </c>
      <c r="E469" s="11">
        <v>2099999</v>
      </c>
      <c r="F469" s="10">
        <f t="shared" si="16"/>
        <v>2036999.03</v>
      </c>
      <c r="G469" s="9">
        <f t="shared" si="17"/>
        <v>1973999.0599999998</v>
      </c>
      <c r="H469" s="72">
        <v>1263.1400000000001</v>
      </c>
      <c r="I469" s="72">
        <v>1010.84</v>
      </c>
      <c r="J469" s="72">
        <v>252.31</v>
      </c>
      <c r="K469" s="8" t="s">
        <v>668</v>
      </c>
    </row>
    <row r="470" spans="1:11">
      <c r="A470" s="1">
        <v>467</v>
      </c>
      <c r="B470" s="13" t="s">
        <v>4626</v>
      </c>
      <c r="C470" s="8" t="s">
        <v>9</v>
      </c>
      <c r="D470" s="12" t="s">
        <v>24</v>
      </c>
      <c r="E470" s="11">
        <v>2118999</v>
      </c>
      <c r="F470" s="10">
        <f t="shared" si="16"/>
        <v>2055429.03</v>
      </c>
      <c r="G470" s="9">
        <f t="shared" si="17"/>
        <v>1991859.0599999998</v>
      </c>
      <c r="H470" s="72">
        <v>1266.3699999999999</v>
      </c>
      <c r="I470" s="72">
        <v>1014.07</v>
      </c>
      <c r="J470" s="72">
        <v>252.31</v>
      </c>
      <c r="K470" s="8" t="s">
        <v>665</v>
      </c>
    </row>
    <row r="471" spans="1:11">
      <c r="A471" s="1">
        <v>468</v>
      </c>
      <c r="B471" s="13" t="s">
        <v>553</v>
      </c>
      <c r="C471" s="8" t="s">
        <v>9</v>
      </c>
      <c r="D471" s="12" t="s">
        <v>36</v>
      </c>
      <c r="E471" s="11">
        <v>1355999</v>
      </c>
      <c r="F471" s="10">
        <f t="shared" si="16"/>
        <v>1315319.03</v>
      </c>
      <c r="G471" s="9">
        <f t="shared" si="17"/>
        <v>1274639.0599999998</v>
      </c>
      <c r="H471" s="72">
        <v>754.33</v>
      </c>
      <c r="I471" s="72">
        <v>594.28</v>
      </c>
      <c r="J471" s="72">
        <v>160.06</v>
      </c>
      <c r="K471" s="8" t="s">
        <v>665</v>
      </c>
    </row>
    <row r="472" spans="1:11">
      <c r="A472" s="1">
        <v>469</v>
      </c>
      <c r="B472" s="13" t="s">
        <v>554</v>
      </c>
      <c r="C472" s="8" t="s">
        <v>9</v>
      </c>
      <c r="D472" s="12" t="s">
        <v>36</v>
      </c>
      <c r="E472" s="11">
        <v>1359999</v>
      </c>
      <c r="F472" s="10">
        <f t="shared" si="16"/>
        <v>1319199.03</v>
      </c>
      <c r="G472" s="9">
        <f t="shared" si="17"/>
        <v>1278399.0599999998</v>
      </c>
      <c r="H472" s="72">
        <v>757.35</v>
      </c>
      <c r="I472" s="72">
        <v>597.29</v>
      </c>
      <c r="J472" s="72">
        <v>160.06</v>
      </c>
      <c r="K472" s="8" t="s">
        <v>665</v>
      </c>
    </row>
    <row r="473" spans="1:11">
      <c r="A473" s="1">
        <v>470</v>
      </c>
      <c r="B473" s="13" t="s">
        <v>555</v>
      </c>
      <c r="C473" s="8" t="s">
        <v>9</v>
      </c>
      <c r="D473" s="12" t="s">
        <v>36</v>
      </c>
      <c r="E473" s="11">
        <v>1359999</v>
      </c>
      <c r="F473" s="10">
        <f t="shared" si="16"/>
        <v>1319199.03</v>
      </c>
      <c r="G473" s="9">
        <f t="shared" si="17"/>
        <v>1278399.0599999998</v>
      </c>
      <c r="H473" s="72">
        <v>757.35</v>
      </c>
      <c r="I473" s="72">
        <v>597.29</v>
      </c>
      <c r="J473" s="72">
        <v>160.06</v>
      </c>
      <c r="K473" s="8" t="s">
        <v>665</v>
      </c>
    </row>
    <row r="474" spans="1:11">
      <c r="A474" s="1">
        <v>471</v>
      </c>
      <c r="B474" s="13" t="s">
        <v>556</v>
      </c>
      <c r="C474" s="8" t="s">
        <v>9</v>
      </c>
      <c r="D474" s="12" t="s">
        <v>36</v>
      </c>
      <c r="E474" s="11">
        <v>1359999</v>
      </c>
      <c r="F474" s="10">
        <f t="shared" si="16"/>
        <v>1319199.03</v>
      </c>
      <c r="G474" s="9">
        <f t="shared" si="17"/>
        <v>1278399.0599999998</v>
      </c>
      <c r="H474" s="72">
        <v>757.35</v>
      </c>
      <c r="I474" s="72">
        <v>597.29</v>
      </c>
      <c r="J474" s="72">
        <v>160.06</v>
      </c>
      <c r="K474" s="8" t="s">
        <v>665</v>
      </c>
    </row>
    <row r="475" spans="1:11">
      <c r="A475" s="1">
        <v>472</v>
      </c>
      <c r="B475" s="13" t="s">
        <v>557</v>
      </c>
      <c r="C475" s="8" t="s">
        <v>9</v>
      </c>
      <c r="D475" s="12" t="s">
        <v>36</v>
      </c>
      <c r="E475" s="11">
        <v>1359999</v>
      </c>
      <c r="F475" s="10">
        <f t="shared" si="16"/>
        <v>1319199.03</v>
      </c>
      <c r="G475" s="9">
        <f t="shared" si="17"/>
        <v>1278399.0599999998</v>
      </c>
      <c r="H475" s="72">
        <v>757.13</v>
      </c>
      <c r="I475" s="72">
        <v>597.07000000000005</v>
      </c>
      <c r="J475" s="72">
        <v>160.06</v>
      </c>
      <c r="K475" s="8" t="s">
        <v>665</v>
      </c>
    </row>
    <row r="476" spans="1:11">
      <c r="A476" s="1">
        <v>473</v>
      </c>
      <c r="B476" s="13" t="s">
        <v>1102</v>
      </c>
      <c r="C476" s="8" t="s">
        <v>4471</v>
      </c>
      <c r="D476" s="12" t="s">
        <v>24</v>
      </c>
      <c r="E476" s="11">
        <v>2129999</v>
      </c>
      <c r="F476" s="10">
        <f t="shared" si="16"/>
        <v>2066099.03</v>
      </c>
      <c r="G476" s="9">
        <f t="shared" si="17"/>
        <v>2002199.0599999998</v>
      </c>
      <c r="H476" s="72">
        <v>1263.1400000000001</v>
      </c>
      <c r="I476" s="72">
        <v>1010.84</v>
      </c>
      <c r="J476" s="72">
        <v>252.31</v>
      </c>
      <c r="K476" s="8" t="s">
        <v>668</v>
      </c>
    </row>
    <row r="477" spans="1:11">
      <c r="A477" s="1">
        <v>474</v>
      </c>
      <c r="B477" s="13" t="s">
        <v>1103</v>
      </c>
      <c r="C477" s="8" t="s">
        <v>4470</v>
      </c>
      <c r="D477" s="12" t="s">
        <v>36</v>
      </c>
      <c r="E477" s="11">
        <v>1241999</v>
      </c>
      <c r="F477" s="10">
        <f t="shared" si="16"/>
        <v>1204739.03</v>
      </c>
      <c r="G477" s="9">
        <f t="shared" si="17"/>
        <v>1167479.0599999998</v>
      </c>
      <c r="H477" s="72">
        <v>571.89</v>
      </c>
      <c r="I477" s="72">
        <v>571.89</v>
      </c>
      <c r="J477" s="72">
        <v>0</v>
      </c>
      <c r="K477" s="8" t="s">
        <v>668</v>
      </c>
    </row>
    <row r="478" spans="1:11">
      <c r="A478" s="1">
        <v>475</v>
      </c>
      <c r="B478" s="13" t="s">
        <v>1104</v>
      </c>
      <c r="C478" s="8" t="s">
        <v>4470</v>
      </c>
      <c r="D478" s="12" t="s">
        <v>36</v>
      </c>
      <c r="E478" s="11">
        <v>1347999</v>
      </c>
      <c r="F478" s="10">
        <f t="shared" si="16"/>
        <v>1307559.03</v>
      </c>
      <c r="G478" s="9">
        <f t="shared" si="17"/>
        <v>1267119.0599999998</v>
      </c>
      <c r="H478" s="72">
        <v>772.42</v>
      </c>
      <c r="I478" s="72">
        <v>574.69000000000005</v>
      </c>
      <c r="J478" s="72">
        <v>197.73</v>
      </c>
      <c r="K478" s="8" t="s">
        <v>668</v>
      </c>
    </row>
    <row r="479" spans="1:11">
      <c r="A479" s="1">
        <v>476</v>
      </c>
      <c r="B479" s="13" t="s">
        <v>1105</v>
      </c>
      <c r="C479" s="8" t="s">
        <v>4470</v>
      </c>
      <c r="D479" s="12" t="s">
        <v>36</v>
      </c>
      <c r="E479" s="11">
        <v>1379999</v>
      </c>
      <c r="F479" s="10">
        <f t="shared" si="16"/>
        <v>1338599.03</v>
      </c>
      <c r="G479" s="9">
        <f t="shared" si="17"/>
        <v>1297199.0599999998</v>
      </c>
      <c r="H479" s="72">
        <v>816.01</v>
      </c>
      <c r="I479" s="72">
        <v>585.13</v>
      </c>
      <c r="J479" s="72">
        <v>230.89</v>
      </c>
      <c r="K479" s="8" t="s">
        <v>668</v>
      </c>
    </row>
    <row r="480" spans="1:11">
      <c r="A480" s="1">
        <v>477</v>
      </c>
      <c r="B480" s="13" t="s">
        <v>1106</v>
      </c>
      <c r="C480" s="8" t="s">
        <v>4470</v>
      </c>
      <c r="D480" s="12" t="s">
        <v>36</v>
      </c>
      <c r="E480" s="11">
        <v>1278999</v>
      </c>
      <c r="F480" s="10">
        <f t="shared" si="16"/>
        <v>1240629.03</v>
      </c>
      <c r="G480" s="9">
        <f t="shared" si="17"/>
        <v>1202259.0599999998</v>
      </c>
      <c r="H480" s="72">
        <v>640.55999999999995</v>
      </c>
      <c r="I480" s="72">
        <v>571.03</v>
      </c>
      <c r="J480" s="72">
        <v>69.53</v>
      </c>
      <c r="K480" s="8" t="s">
        <v>668</v>
      </c>
    </row>
    <row r="481" spans="1:11">
      <c r="A481" s="1">
        <v>478</v>
      </c>
      <c r="B481" s="13" t="s">
        <v>1107</v>
      </c>
      <c r="C481" s="8" t="s">
        <v>4470</v>
      </c>
      <c r="D481" s="12" t="s">
        <v>36</v>
      </c>
      <c r="E481" s="11">
        <v>1357999</v>
      </c>
      <c r="F481" s="10">
        <f t="shared" si="16"/>
        <v>1317259.03</v>
      </c>
      <c r="G481" s="9">
        <f t="shared" si="17"/>
        <v>1276519.0599999998</v>
      </c>
      <c r="H481" s="72">
        <v>750.78</v>
      </c>
      <c r="I481" s="72">
        <v>590.72</v>
      </c>
      <c r="J481" s="72">
        <v>160.06</v>
      </c>
      <c r="K481" s="8" t="s">
        <v>668</v>
      </c>
    </row>
    <row r="482" spans="1:11">
      <c r="A482" s="1">
        <v>479</v>
      </c>
      <c r="B482" s="13" t="s">
        <v>1108</v>
      </c>
      <c r="C482" s="8" t="s">
        <v>4470</v>
      </c>
      <c r="D482" s="12" t="s">
        <v>36</v>
      </c>
      <c r="E482" s="11">
        <v>1357999</v>
      </c>
      <c r="F482" s="10">
        <f t="shared" si="16"/>
        <v>1317259.03</v>
      </c>
      <c r="G482" s="9">
        <f t="shared" si="17"/>
        <v>1276519.0599999998</v>
      </c>
      <c r="H482" s="72">
        <v>750.78</v>
      </c>
      <c r="I482" s="72">
        <v>590.72</v>
      </c>
      <c r="J482" s="72">
        <v>160.06</v>
      </c>
      <c r="K482" s="8" t="s">
        <v>668</v>
      </c>
    </row>
    <row r="483" spans="1:11">
      <c r="A483" s="1">
        <v>480</v>
      </c>
      <c r="B483" s="13" t="s">
        <v>1109</v>
      </c>
      <c r="C483" s="8" t="s">
        <v>4470</v>
      </c>
      <c r="D483" s="12" t="s">
        <v>24</v>
      </c>
      <c r="E483" s="11">
        <v>2128999</v>
      </c>
      <c r="F483" s="10">
        <f t="shared" si="16"/>
        <v>2065129.03</v>
      </c>
      <c r="G483" s="9">
        <f t="shared" si="17"/>
        <v>2001259.0599999998</v>
      </c>
      <c r="H483" s="72">
        <v>1263.1400000000001</v>
      </c>
      <c r="I483" s="72">
        <v>1010.84</v>
      </c>
      <c r="J483" s="72">
        <v>252.31</v>
      </c>
      <c r="K483" s="8" t="s">
        <v>668</v>
      </c>
    </row>
    <row r="484" spans="1:11">
      <c r="A484" s="1">
        <v>481</v>
      </c>
      <c r="B484" s="13" t="s">
        <v>1110</v>
      </c>
      <c r="C484" s="8" t="s">
        <v>4470</v>
      </c>
      <c r="D484" s="12" t="s">
        <v>36</v>
      </c>
      <c r="E484" s="11">
        <v>1370999</v>
      </c>
      <c r="F484" s="10">
        <f t="shared" si="16"/>
        <v>1329869.03</v>
      </c>
      <c r="G484" s="9">
        <f t="shared" si="17"/>
        <v>1288739.0599999998</v>
      </c>
      <c r="H484" s="72">
        <v>754.55</v>
      </c>
      <c r="I484" s="72">
        <v>594.49</v>
      </c>
      <c r="J484" s="72">
        <v>160.06</v>
      </c>
      <c r="K484" s="8" t="s">
        <v>665</v>
      </c>
    </row>
    <row r="485" spans="1:11">
      <c r="A485" s="1">
        <v>482</v>
      </c>
      <c r="B485" s="13" t="s">
        <v>1111</v>
      </c>
      <c r="C485" s="8" t="s">
        <v>4470</v>
      </c>
      <c r="D485" s="12" t="s">
        <v>36</v>
      </c>
      <c r="E485" s="11">
        <v>1376999</v>
      </c>
      <c r="F485" s="10">
        <f t="shared" si="16"/>
        <v>1335689.03</v>
      </c>
      <c r="G485" s="9">
        <f t="shared" si="17"/>
        <v>1294379.0599999998</v>
      </c>
      <c r="H485" s="72">
        <v>757.35</v>
      </c>
      <c r="I485" s="72">
        <v>597.29</v>
      </c>
      <c r="J485" s="72">
        <v>160.06</v>
      </c>
      <c r="K485" s="8" t="s">
        <v>665</v>
      </c>
    </row>
    <row r="486" spans="1:11">
      <c r="A486" s="1">
        <v>483</v>
      </c>
      <c r="B486" s="13" t="s">
        <v>1112</v>
      </c>
      <c r="C486" s="8" t="s">
        <v>4470</v>
      </c>
      <c r="D486" s="12" t="s">
        <v>36</v>
      </c>
      <c r="E486" s="11">
        <v>1376999</v>
      </c>
      <c r="F486" s="10">
        <f t="shared" si="16"/>
        <v>1335689.03</v>
      </c>
      <c r="G486" s="9">
        <f t="shared" si="17"/>
        <v>1294379.0599999998</v>
      </c>
      <c r="H486" s="72">
        <v>757.35</v>
      </c>
      <c r="I486" s="72">
        <v>597.29</v>
      </c>
      <c r="J486" s="72">
        <v>160.06</v>
      </c>
      <c r="K486" s="8" t="s">
        <v>665</v>
      </c>
    </row>
    <row r="487" spans="1:11">
      <c r="A487" s="1">
        <v>484</v>
      </c>
      <c r="B487" s="13" t="s">
        <v>1113</v>
      </c>
      <c r="C487" s="8" t="s">
        <v>4470</v>
      </c>
      <c r="D487" s="12" t="s">
        <v>36</v>
      </c>
      <c r="E487" s="11">
        <v>1375999</v>
      </c>
      <c r="F487" s="10">
        <f t="shared" si="16"/>
        <v>1334719.03</v>
      </c>
      <c r="G487" s="9">
        <f t="shared" si="17"/>
        <v>1293439.0599999998</v>
      </c>
      <c r="H487" s="72">
        <v>757.13</v>
      </c>
      <c r="I487" s="72">
        <v>597.07000000000005</v>
      </c>
      <c r="J487" s="72">
        <v>160.06</v>
      </c>
      <c r="K487" s="8" t="s">
        <v>665</v>
      </c>
    </row>
    <row r="488" spans="1:11">
      <c r="A488" s="1">
        <v>485</v>
      </c>
      <c r="B488" s="13" t="s">
        <v>1114</v>
      </c>
      <c r="C488" s="8" t="s">
        <v>4469</v>
      </c>
      <c r="D488" s="12" t="s">
        <v>36</v>
      </c>
      <c r="E488" s="11">
        <v>1240999</v>
      </c>
      <c r="F488" s="10">
        <f t="shared" si="16"/>
        <v>1203769.03</v>
      </c>
      <c r="G488" s="9">
        <f t="shared" si="17"/>
        <v>1166539.0599999998</v>
      </c>
      <c r="H488" s="72">
        <v>571.89</v>
      </c>
      <c r="I488" s="72">
        <v>571.89</v>
      </c>
      <c r="J488" s="72">
        <v>0</v>
      </c>
      <c r="K488" s="8" t="s">
        <v>668</v>
      </c>
    </row>
    <row r="489" spans="1:11">
      <c r="A489" s="1">
        <v>486</v>
      </c>
      <c r="B489" s="13" t="s">
        <v>1115</v>
      </c>
      <c r="C489" s="8" t="s">
        <v>4469</v>
      </c>
      <c r="D489" s="12" t="s">
        <v>36</v>
      </c>
      <c r="E489" s="11">
        <v>1346999</v>
      </c>
      <c r="F489" s="10">
        <f t="shared" si="16"/>
        <v>1306589.03</v>
      </c>
      <c r="G489" s="9">
        <f t="shared" si="17"/>
        <v>1266179.0599999998</v>
      </c>
      <c r="H489" s="72">
        <v>772.42</v>
      </c>
      <c r="I489" s="72">
        <v>574.69000000000005</v>
      </c>
      <c r="J489" s="72">
        <v>197.73</v>
      </c>
      <c r="K489" s="8" t="s">
        <v>668</v>
      </c>
    </row>
    <row r="490" spans="1:11">
      <c r="A490" s="1">
        <v>487</v>
      </c>
      <c r="B490" s="13" t="s">
        <v>1116</v>
      </c>
      <c r="C490" s="8" t="s">
        <v>4469</v>
      </c>
      <c r="D490" s="12" t="s">
        <v>36</v>
      </c>
      <c r="E490" s="11">
        <v>1379999</v>
      </c>
      <c r="F490" s="10">
        <f t="shared" si="16"/>
        <v>1338599.03</v>
      </c>
      <c r="G490" s="9">
        <f t="shared" si="17"/>
        <v>1297199.0599999998</v>
      </c>
      <c r="H490" s="72">
        <v>816.01</v>
      </c>
      <c r="I490" s="72">
        <v>585.13</v>
      </c>
      <c r="J490" s="72">
        <v>230.89</v>
      </c>
      <c r="K490" s="8" t="s">
        <v>668</v>
      </c>
    </row>
    <row r="491" spans="1:11">
      <c r="A491" s="1">
        <v>488</v>
      </c>
      <c r="B491" s="13" t="s">
        <v>1117</v>
      </c>
      <c r="C491" s="8" t="s">
        <v>4469</v>
      </c>
      <c r="D491" s="12" t="s">
        <v>36</v>
      </c>
      <c r="E491" s="11">
        <v>1277999</v>
      </c>
      <c r="F491" s="10">
        <f t="shared" si="16"/>
        <v>1239659.03</v>
      </c>
      <c r="G491" s="9">
        <f t="shared" si="17"/>
        <v>1201319.0599999998</v>
      </c>
      <c r="H491" s="72">
        <v>640.55999999999995</v>
      </c>
      <c r="I491" s="72">
        <v>571.03</v>
      </c>
      <c r="J491" s="72">
        <v>69.53</v>
      </c>
      <c r="K491" s="8" t="s">
        <v>668</v>
      </c>
    </row>
    <row r="492" spans="1:11">
      <c r="A492" s="1">
        <v>489</v>
      </c>
      <c r="B492" s="13" t="s">
        <v>1118</v>
      </c>
      <c r="C492" s="8" t="s">
        <v>4469</v>
      </c>
      <c r="D492" s="12" t="s">
        <v>36</v>
      </c>
      <c r="E492" s="11">
        <v>1356999</v>
      </c>
      <c r="F492" s="10">
        <f t="shared" si="16"/>
        <v>1316289.03</v>
      </c>
      <c r="G492" s="9">
        <f t="shared" si="17"/>
        <v>1275579.0599999998</v>
      </c>
      <c r="H492" s="72">
        <v>750.78</v>
      </c>
      <c r="I492" s="72">
        <v>590.72</v>
      </c>
      <c r="J492" s="72">
        <v>160.06</v>
      </c>
      <c r="K492" s="8" t="s">
        <v>668</v>
      </c>
    </row>
    <row r="493" spans="1:11">
      <c r="A493" s="1">
        <v>490</v>
      </c>
      <c r="B493" s="13" t="s">
        <v>1119</v>
      </c>
      <c r="C493" s="8" t="s">
        <v>4469</v>
      </c>
      <c r="D493" s="12" t="s">
        <v>36</v>
      </c>
      <c r="E493" s="11">
        <v>1356999</v>
      </c>
      <c r="F493" s="10">
        <f t="shared" si="16"/>
        <v>1316289.03</v>
      </c>
      <c r="G493" s="9">
        <f t="shared" si="17"/>
        <v>1275579.0599999998</v>
      </c>
      <c r="H493" s="72">
        <v>750.78</v>
      </c>
      <c r="I493" s="72">
        <v>590.72</v>
      </c>
      <c r="J493" s="72">
        <v>160.06</v>
      </c>
      <c r="K493" s="8" t="s">
        <v>668</v>
      </c>
    </row>
    <row r="494" spans="1:11">
      <c r="A494" s="1">
        <v>491</v>
      </c>
      <c r="B494" s="13" t="s">
        <v>1120</v>
      </c>
      <c r="C494" s="8" t="s">
        <v>4469</v>
      </c>
      <c r="D494" s="12" t="s">
        <v>24</v>
      </c>
      <c r="E494" s="11">
        <v>2127999</v>
      </c>
      <c r="F494" s="10">
        <f t="shared" si="16"/>
        <v>2064159.03</v>
      </c>
      <c r="G494" s="9">
        <f t="shared" si="17"/>
        <v>2000319.0599999998</v>
      </c>
      <c r="H494" s="72">
        <v>1263.1400000000001</v>
      </c>
      <c r="I494" s="72">
        <v>1010.84</v>
      </c>
      <c r="J494" s="72">
        <v>252.31</v>
      </c>
      <c r="K494" s="8" t="s">
        <v>668</v>
      </c>
    </row>
    <row r="495" spans="1:11">
      <c r="A495" s="1">
        <v>492</v>
      </c>
      <c r="B495" s="13" t="s">
        <v>1121</v>
      </c>
      <c r="C495" s="8" t="s">
        <v>4469</v>
      </c>
      <c r="D495" s="12" t="s">
        <v>24</v>
      </c>
      <c r="E495" s="11">
        <v>2146999</v>
      </c>
      <c r="F495" s="10">
        <f t="shared" si="16"/>
        <v>2082589.03</v>
      </c>
      <c r="G495" s="9">
        <f t="shared" si="17"/>
        <v>2018179.0599999998</v>
      </c>
      <c r="H495" s="72">
        <v>1266.3699999999999</v>
      </c>
      <c r="I495" s="72">
        <v>1014.07</v>
      </c>
      <c r="J495" s="72">
        <v>252.31</v>
      </c>
      <c r="K495" s="8" t="s">
        <v>665</v>
      </c>
    </row>
    <row r="496" spans="1:11">
      <c r="A496" s="1">
        <v>493</v>
      </c>
      <c r="B496" s="13" t="s">
        <v>1122</v>
      </c>
      <c r="C496" s="8" t="s">
        <v>4469</v>
      </c>
      <c r="D496" s="12" t="s">
        <v>36</v>
      </c>
      <c r="E496" s="11">
        <v>1375999</v>
      </c>
      <c r="F496" s="10">
        <f t="shared" si="16"/>
        <v>1334719.03</v>
      </c>
      <c r="G496" s="9">
        <f t="shared" si="17"/>
        <v>1293439.0599999998</v>
      </c>
      <c r="H496" s="72">
        <v>757.35</v>
      </c>
      <c r="I496" s="72">
        <v>597.29</v>
      </c>
      <c r="J496" s="72">
        <v>160.06</v>
      </c>
      <c r="K496" s="8" t="s">
        <v>665</v>
      </c>
    </row>
    <row r="497" spans="1:11">
      <c r="A497" s="1">
        <v>494</v>
      </c>
      <c r="B497" s="13" t="s">
        <v>1123</v>
      </c>
      <c r="C497" s="8" t="s">
        <v>4469</v>
      </c>
      <c r="D497" s="12" t="s">
        <v>36</v>
      </c>
      <c r="E497" s="11">
        <v>1375999</v>
      </c>
      <c r="F497" s="10">
        <f t="shared" si="16"/>
        <v>1334719.03</v>
      </c>
      <c r="G497" s="9">
        <f t="shared" si="17"/>
        <v>1293439.0599999998</v>
      </c>
      <c r="H497" s="72">
        <v>757.13</v>
      </c>
      <c r="I497" s="72">
        <v>597.07000000000005</v>
      </c>
      <c r="J497" s="72">
        <v>160.06</v>
      </c>
      <c r="K497" s="8" t="s">
        <v>665</v>
      </c>
    </row>
    <row r="498" spans="1:11">
      <c r="A498" s="1">
        <v>495</v>
      </c>
      <c r="B498" s="13" t="s">
        <v>1124</v>
      </c>
      <c r="C498" s="8" t="s">
        <v>4468</v>
      </c>
      <c r="D498" s="12" t="s">
        <v>36</v>
      </c>
      <c r="E498" s="11">
        <v>1240999</v>
      </c>
      <c r="F498" s="10">
        <f t="shared" si="16"/>
        <v>1203769.03</v>
      </c>
      <c r="G498" s="9">
        <f t="shared" si="17"/>
        <v>1166539.0599999998</v>
      </c>
      <c r="H498" s="72">
        <v>571.89</v>
      </c>
      <c r="I498" s="72">
        <v>571.89</v>
      </c>
      <c r="J498" s="72">
        <v>0</v>
      </c>
      <c r="K498" s="8" t="s">
        <v>668</v>
      </c>
    </row>
    <row r="499" spans="1:11">
      <c r="A499" s="1">
        <v>496</v>
      </c>
      <c r="B499" s="13" t="s">
        <v>1125</v>
      </c>
      <c r="C499" s="8" t="s">
        <v>4468</v>
      </c>
      <c r="D499" s="12" t="s">
        <v>36</v>
      </c>
      <c r="E499" s="11">
        <v>1345999</v>
      </c>
      <c r="F499" s="10">
        <f t="shared" si="16"/>
        <v>1305619.03</v>
      </c>
      <c r="G499" s="9">
        <f t="shared" si="17"/>
        <v>1265239.0599999998</v>
      </c>
      <c r="H499" s="72">
        <v>772.42</v>
      </c>
      <c r="I499" s="72">
        <v>574.69000000000005</v>
      </c>
      <c r="J499" s="72">
        <v>197.73</v>
      </c>
      <c r="K499" s="8" t="s">
        <v>668</v>
      </c>
    </row>
    <row r="500" spans="1:11">
      <c r="A500" s="1">
        <v>497</v>
      </c>
      <c r="B500" s="13" t="s">
        <v>1126</v>
      </c>
      <c r="C500" s="8" t="s">
        <v>4468</v>
      </c>
      <c r="D500" s="12" t="s">
        <v>36</v>
      </c>
      <c r="E500" s="11">
        <v>1378999</v>
      </c>
      <c r="F500" s="10">
        <f t="shared" si="16"/>
        <v>1337629.03</v>
      </c>
      <c r="G500" s="9">
        <f t="shared" si="17"/>
        <v>1296259.0599999998</v>
      </c>
      <c r="H500" s="72">
        <v>816.01</v>
      </c>
      <c r="I500" s="72">
        <v>585.13</v>
      </c>
      <c r="J500" s="72">
        <v>230.89</v>
      </c>
      <c r="K500" s="8" t="s">
        <v>668</v>
      </c>
    </row>
    <row r="501" spans="1:11">
      <c r="A501" s="1">
        <v>498</v>
      </c>
      <c r="B501" s="13" t="s">
        <v>1127</v>
      </c>
      <c r="C501" s="8" t="s">
        <v>4468</v>
      </c>
      <c r="D501" s="12" t="s">
        <v>36</v>
      </c>
      <c r="E501" s="11">
        <v>1276999</v>
      </c>
      <c r="F501" s="10">
        <f t="shared" si="16"/>
        <v>1238689.03</v>
      </c>
      <c r="G501" s="9">
        <f t="shared" si="17"/>
        <v>1200379.0599999998</v>
      </c>
      <c r="H501" s="72">
        <v>640.55999999999995</v>
      </c>
      <c r="I501" s="72">
        <v>571.03</v>
      </c>
      <c r="J501" s="72">
        <v>69.53</v>
      </c>
      <c r="K501" s="8" t="s">
        <v>668</v>
      </c>
    </row>
    <row r="502" spans="1:11">
      <c r="A502" s="1">
        <v>499</v>
      </c>
      <c r="B502" s="13" t="s">
        <v>1128</v>
      </c>
      <c r="C502" s="8" t="s">
        <v>4468</v>
      </c>
      <c r="D502" s="12" t="s">
        <v>36</v>
      </c>
      <c r="E502" s="11">
        <v>1356999</v>
      </c>
      <c r="F502" s="10">
        <f t="shared" si="16"/>
        <v>1316289.03</v>
      </c>
      <c r="G502" s="9">
        <f t="shared" si="17"/>
        <v>1275579.0599999998</v>
      </c>
      <c r="H502" s="72">
        <v>750.78</v>
      </c>
      <c r="I502" s="72">
        <v>590.72</v>
      </c>
      <c r="J502" s="72">
        <v>160.06</v>
      </c>
      <c r="K502" s="8" t="s">
        <v>668</v>
      </c>
    </row>
    <row r="503" spans="1:11">
      <c r="A503" s="1">
        <v>500</v>
      </c>
      <c r="B503" s="13" t="s">
        <v>1129</v>
      </c>
      <c r="C503" s="8" t="s">
        <v>4468</v>
      </c>
      <c r="D503" s="12" t="s">
        <v>36</v>
      </c>
      <c r="E503" s="11">
        <v>1356999</v>
      </c>
      <c r="F503" s="10">
        <f t="shared" si="16"/>
        <v>1316289.03</v>
      </c>
      <c r="G503" s="9">
        <f t="shared" si="17"/>
        <v>1275579.0599999998</v>
      </c>
      <c r="H503" s="72">
        <v>750.78</v>
      </c>
      <c r="I503" s="72">
        <v>590.72</v>
      </c>
      <c r="J503" s="72">
        <v>160.06</v>
      </c>
      <c r="K503" s="8" t="s">
        <v>668</v>
      </c>
    </row>
    <row r="504" spans="1:11">
      <c r="A504" s="1">
        <v>501</v>
      </c>
      <c r="B504" s="13" t="s">
        <v>1130</v>
      </c>
      <c r="C504" s="8" t="s">
        <v>4468</v>
      </c>
      <c r="D504" s="12" t="s">
        <v>24</v>
      </c>
      <c r="E504" s="11">
        <v>2126999</v>
      </c>
      <c r="F504" s="10">
        <f t="shared" si="16"/>
        <v>2063189.03</v>
      </c>
      <c r="G504" s="9">
        <f t="shared" si="17"/>
        <v>1999379.0599999998</v>
      </c>
      <c r="H504" s="72">
        <v>1263.1400000000001</v>
      </c>
      <c r="I504" s="72">
        <v>1010.84</v>
      </c>
      <c r="J504" s="72">
        <v>252.31</v>
      </c>
      <c r="K504" s="8" t="s">
        <v>668</v>
      </c>
    </row>
    <row r="505" spans="1:11">
      <c r="A505" s="1">
        <v>502</v>
      </c>
      <c r="B505" s="13" t="s">
        <v>1131</v>
      </c>
      <c r="C505" s="8" t="s">
        <v>4468</v>
      </c>
      <c r="D505" s="12" t="s">
        <v>24</v>
      </c>
      <c r="E505" s="11">
        <v>2145999</v>
      </c>
      <c r="F505" s="10">
        <f t="shared" si="16"/>
        <v>2081619.03</v>
      </c>
      <c r="G505" s="9">
        <f t="shared" si="17"/>
        <v>2017239.0599999998</v>
      </c>
      <c r="H505" s="72">
        <v>1266.3699999999999</v>
      </c>
      <c r="I505" s="72">
        <v>1014.07</v>
      </c>
      <c r="J505" s="72">
        <v>252.31</v>
      </c>
      <c r="K505" s="8" t="s">
        <v>665</v>
      </c>
    </row>
    <row r="506" spans="1:11">
      <c r="A506" s="1">
        <v>503</v>
      </c>
      <c r="B506" s="13" t="s">
        <v>1132</v>
      </c>
      <c r="C506" s="8" t="s">
        <v>4468</v>
      </c>
      <c r="D506" s="12" t="s">
        <v>36</v>
      </c>
      <c r="E506" s="11">
        <v>1368999</v>
      </c>
      <c r="F506" s="10">
        <f t="shared" si="16"/>
        <v>1327929.03</v>
      </c>
      <c r="G506" s="9">
        <f t="shared" si="17"/>
        <v>1286859.0599999998</v>
      </c>
      <c r="H506" s="72">
        <v>754.55</v>
      </c>
      <c r="I506" s="72">
        <v>594.49</v>
      </c>
      <c r="J506" s="72">
        <v>160.06</v>
      </c>
      <c r="K506" s="8" t="s">
        <v>665</v>
      </c>
    </row>
    <row r="507" spans="1:11">
      <c r="A507" s="1">
        <v>504</v>
      </c>
      <c r="B507" s="13" t="s">
        <v>1133</v>
      </c>
      <c r="C507" s="8" t="s">
        <v>4468</v>
      </c>
      <c r="D507" s="12" t="s">
        <v>36</v>
      </c>
      <c r="E507" s="11">
        <v>1374999</v>
      </c>
      <c r="F507" s="10">
        <f t="shared" si="16"/>
        <v>1333749.03</v>
      </c>
      <c r="G507" s="9">
        <f t="shared" si="17"/>
        <v>1292499.0599999998</v>
      </c>
      <c r="H507" s="72">
        <v>757.35</v>
      </c>
      <c r="I507" s="72">
        <v>597.29</v>
      </c>
      <c r="J507" s="72">
        <v>160.06</v>
      </c>
      <c r="K507" s="8" t="s">
        <v>665</v>
      </c>
    </row>
    <row r="508" spans="1:11">
      <c r="A508" s="1">
        <v>505</v>
      </c>
      <c r="B508" s="13" t="s">
        <v>1134</v>
      </c>
      <c r="C508" s="8" t="s">
        <v>4468</v>
      </c>
      <c r="D508" s="12" t="s">
        <v>36</v>
      </c>
      <c r="E508" s="11">
        <v>1374999</v>
      </c>
      <c r="F508" s="10">
        <f t="shared" si="16"/>
        <v>1333749.03</v>
      </c>
      <c r="G508" s="9">
        <f t="shared" si="17"/>
        <v>1292499.0599999998</v>
      </c>
      <c r="H508" s="72">
        <v>757.35</v>
      </c>
      <c r="I508" s="72">
        <v>597.29</v>
      </c>
      <c r="J508" s="72">
        <v>160.06</v>
      </c>
      <c r="K508" s="8" t="s">
        <v>665</v>
      </c>
    </row>
    <row r="509" spans="1:11">
      <c r="A509" s="1">
        <v>506</v>
      </c>
      <c r="B509" s="13" t="s">
        <v>1135</v>
      </c>
      <c r="C509" s="8" t="s">
        <v>4468</v>
      </c>
      <c r="D509" s="12" t="s">
        <v>36</v>
      </c>
      <c r="E509" s="11">
        <v>1374999</v>
      </c>
      <c r="F509" s="10">
        <f t="shared" si="16"/>
        <v>1333749.03</v>
      </c>
      <c r="G509" s="9">
        <f t="shared" si="17"/>
        <v>1292499.0599999998</v>
      </c>
      <c r="H509" s="72">
        <v>757.35</v>
      </c>
      <c r="I509" s="72">
        <v>597.29</v>
      </c>
      <c r="J509" s="72">
        <v>160.06</v>
      </c>
      <c r="K509" s="8" t="s">
        <v>665</v>
      </c>
    </row>
    <row r="510" spans="1:11">
      <c r="A510" s="1">
        <v>507</v>
      </c>
      <c r="B510" s="13" t="s">
        <v>1136</v>
      </c>
      <c r="C510" s="8" t="s">
        <v>4468</v>
      </c>
      <c r="D510" s="12" t="s">
        <v>36</v>
      </c>
      <c r="E510" s="11">
        <v>1374999</v>
      </c>
      <c r="F510" s="10">
        <f t="shared" si="16"/>
        <v>1333749.03</v>
      </c>
      <c r="G510" s="9">
        <f t="shared" si="17"/>
        <v>1292499.0599999998</v>
      </c>
      <c r="H510" s="72">
        <v>757.13</v>
      </c>
      <c r="I510" s="72">
        <v>597.07000000000005</v>
      </c>
      <c r="J510" s="72">
        <v>160.06</v>
      </c>
      <c r="K510" s="8" t="s">
        <v>665</v>
      </c>
    </row>
    <row r="511" spans="1:11">
      <c r="A511" s="1">
        <v>508</v>
      </c>
      <c r="B511" s="13" t="s">
        <v>558</v>
      </c>
      <c r="C511" s="8" t="s">
        <v>4467</v>
      </c>
      <c r="D511" s="12" t="s">
        <v>36</v>
      </c>
      <c r="E511" s="11">
        <v>1379999</v>
      </c>
      <c r="F511" s="10">
        <f t="shared" si="16"/>
        <v>1338599.03</v>
      </c>
      <c r="G511" s="9">
        <f t="shared" si="17"/>
        <v>1297199.0599999998</v>
      </c>
      <c r="H511" s="72">
        <v>821.61</v>
      </c>
      <c r="I511" s="72">
        <v>585.13</v>
      </c>
      <c r="J511" s="72">
        <v>236.48</v>
      </c>
      <c r="K511" s="8" t="s">
        <v>668</v>
      </c>
    </row>
    <row r="512" spans="1:11">
      <c r="A512" s="1">
        <v>509</v>
      </c>
      <c r="B512" s="13" t="s">
        <v>559</v>
      </c>
      <c r="C512" s="8" t="s">
        <v>4467</v>
      </c>
      <c r="D512" s="12" t="s">
        <v>36</v>
      </c>
      <c r="E512" s="11">
        <v>1341999</v>
      </c>
      <c r="F512" s="10">
        <f t="shared" si="16"/>
        <v>1301739.03</v>
      </c>
      <c r="G512" s="9">
        <f t="shared" si="17"/>
        <v>1261479.0599999998</v>
      </c>
      <c r="H512" s="72">
        <v>775.54</v>
      </c>
      <c r="I512" s="72">
        <v>571.03</v>
      </c>
      <c r="J512" s="72">
        <v>204.51</v>
      </c>
      <c r="K512" s="8" t="s">
        <v>668</v>
      </c>
    </row>
    <row r="513" spans="1:11">
      <c r="A513" s="1">
        <v>510</v>
      </c>
      <c r="B513" s="13" t="s">
        <v>560</v>
      </c>
      <c r="C513" s="8" t="s">
        <v>4467</v>
      </c>
      <c r="D513" s="12" t="s">
        <v>36</v>
      </c>
      <c r="E513" s="11">
        <v>1355999</v>
      </c>
      <c r="F513" s="10">
        <f t="shared" si="16"/>
        <v>1315319.03</v>
      </c>
      <c r="G513" s="9">
        <f t="shared" si="17"/>
        <v>1274639.0599999998</v>
      </c>
      <c r="H513" s="72">
        <v>750.78</v>
      </c>
      <c r="I513" s="72">
        <v>590.72</v>
      </c>
      <c r="J513" s="72">
        <v>160.06</v>
      </c>
      <c r="K513" s="8" t="s">
        <v>668</v>
      </c>
    </row>
    <row r="514" spans="1:11">
      <c r="A514" s="1">
        <v>511</v>
      </c>
      <c r="B514" s="13" t="s">
        <v>561</v>
      </c>
      <c r="C514" s="8" t="s">
        <v>4467</v>
      </c>
      <c r="D514" s="12" t="s">
        <v>36</v>
      </c>
      <c r="E514" s="11">
        <v>1355999</v>
      </c>
      <c r="F514" s="10">
        <f t="shared" si="16"/>
        <v>1315319.03</v>
      </c>
      <c r="G514" s="9">
        <f t="shared" si="17"/>
        <v>1274639.0599999998</v>
      </c>
      <c r="H514" s="72">
        <v>750.78</v>
      </c>
      <c r="I514" s="72">
        <v>590.72</v>
      </c>
      <c r="J514" s="72">
        <v>160.06</v>
      </c>
      <c r="K514" s="8" t="s">
        <v>668</v>
      </c>
    </row>
    <row r="515" spans="1:11">
      <c r="A515" s="1">
        <v>512</v>
      </c>
      <c r="B515" s="13" t="s">
        <v>562</v>
      </c>
      <c r="C515" s="8" t="s">
        <v>4467</v>
      </c>
      <c r="D515" s="12" t="s">
        <v>36</v>
      </c>
      <c r="E515" s="11">
        <v>1368999</v>
      </c>
      <c r="F515" s="10">
        <f t="shared" si="16"/>
        <v>1327929.03</v>
      </c>
      <c r="G515" s="9">
        <f t="shared" si="17"/>
        <v>1286859.0599999998</v>
      </c>
      <c r="H515" s="72">
        <v>754.55</v>
      </c>
      <c r="I515" s="72">
        <v>594.49</v>
      </c>
      <c r="J515" s="72">
        <v>160.06</v>
      </c>
      <c r="K515" s="8" t="s">
        <v>665</v>
      </c>
    </row>
    <row r="516" spans="1:11">
      <c r="A516" s="1">
        <v>513</v>
      </c>
      <c r="B516" s="13" t="s">
        <v>563</v>
      </c>
      <c r="C516" s="8" t="s">
        <v>4467</v>
      </c>
      <c r="D516" s="12" t="s">
        <v>36</v>
      </c>
      <c r="E516" s="11">
        <v>1374999</v>
      </c>
      <c r="F516" s="10">
        <f t="shared" si="16"/>
        <v>1333749.03</v>
      </c>
      <c r="G516" s="9">
        <f t="shared" si="17"/>
        <v>1292499.0599999998</v>
      </c>
      <c r="H516" s="72">
        <v>757.35</v>
      </c>
      <c r="I516" s="72">
        <v>597.29</v>
      </c>
      <c r="J516" s="72">
        <v>160.06</v>
      </c>
      <c r="K516" s="8" t="s">
        <v>665</v>
      </c>
    </row>
    <row r="517" spans="1:11">
      <c r="A517" s="1">
        <v>514</v>
      </c>
      <c r="B517" s="13" t="s">
        <v>564</v>
      </c>
      <c r="C517" s="8" t="s">
        <v>4467</v>
      </c>
      <c r="D517" s="12" t="s">
        <v>36</v>
      </c>
      <c r="E517" s="11">
        <v>1374999</v>
      </c>
      <c r="F517" s="10">
        <f t="shared" si="16"/>
        <v>1333749.03</v>
      </c>
      <c r="G517" s="9">
        <f t="shared" si="17"/>
        <v>1292499.0599999998</v>
      </c>
      <c r="H517" s="72">
        <v>757.35</v>
      </c>
      <c r="I517" s="72">
        <v>597.29</v>
      </c>
      <c r="J517" s="72">
        <v>160.06</v>
      </c>
      <c r="K517" s="8" t="s">
        <v>665</v>
      </c>
    </row>
    <row r="518" spans="1:11">
      <c r="A518" s="1">
        <v>515</v>
      </c>
      <c r="B518" s="13" t="s">
        <v>718</v>
      </c>
      <c r="C518" s="8" t="s">
        <v>4466</v>
      </c>
      <c r="D518" s="12" t="s">
        <v>36</v>
      </c>
      <c r="E518" s="11">
        <v>1294999</v>
      </c>
      <c r="F518" s="10">
        <f t="shared" si="16"/>
        <v>1256149.03</v>
      </c>
      <c r="G518" s="9">
        <f t="shared" si="17"/>
        <v>1217299.0599999998</v>
      </c>
      <c r="H518" s="72">
        <v>674.14</v>
      </c>
      <c r="I518" s="72">
        <v>567.79999999999995</v>
      </c>
      <c r="J518" s="72">
        <v>106.35</v>
      </c>
      <c r="K518" s="8" t="s">
        <v>665</v>
      </c>
    </row>
    <row r="519" spans="1:11">
      <c r="A519" s="1">
        <v>516</v>
      </c>
      <c r="B519" s="13" t="s">
        <v>719</v>
      </c>
      <c r="C519" s="8" t="s">
        <v>4466</v>
      </c>
      <c r="D519" s="12" t="s">
        <v>24</v>
      </c>
      <c r="E519" s="11">
        <v>2007999</v>
      </c>
      <c r="F519" s="10">
        <f t="shared" si="16"/>
        <v>1947759.03</v>
      </c>
      <c r="G519" s="9">
        <f t="shared" si="17"/>
        <v>1887519.0599999998</v>
      </c>
      <c r="H519" s="72">
        <v>1150.6600000000001</v>
      </c>
      <c r="I519" s="72">
        <v>826.13</v>
      </c>
      <c r="J519" s="72">
        <v>324.52999999999997</v>
      </c>
      <c r="K519" s="8" t="s">
        <v>666</v>
      </c>
    </row>
    <row r="520" spans="1:11">
      <c r="A520" s="1">
        <v>517</v>
      </c>
      <c r="B520" s="13" t="s">
        <v>720</v>
      </c>
      <c r="C520" s="8" t="s">
        <v>4466</v>
      </c>
      <c r="D520" s="12" t="s">
        <v>36</v>
      </c>
      <c r="E520" s="11">
        <v>1501999</v>
      </c>
      <c r="F520" s="10">
        <f t="shared" si="16"/>
        <v>1456939.03</v>
      </c>
      <c r="G520" s="9">
        <f t="shared" si="17"/>
        <v>1411879.0599999998</v>
      </c>
      <c r="H520" s="72">
        <v>934.42</v>
      </c>
      <c r="I520" s="72">
        <v>654.34</v>
      </c>
      <c r="J520" s="72">
        <v>280.08</v>
      </c>
      <c r="K520" s="8" t="s">
        <v>666</v>
      </c>
    </row>
    <row r="521" spans="1:11">
      <c r="A521" s="1">
        <v>518</v>
      </c>
      <c r="B521" s="13" t="s">
        <v>721</v>
      </c>
      <c r="C521" s="8" t="s">
        <v>4466</v>
      </c>
      <c r="D521" s="12" t="s">
        <v>36</v>
      </c>
      <c r="E521" s="11">
        <v>1508999</v>
      </c>
      <c r="F521" s="10">
        <f t="shared" si="16"/>
        <v>1463729.03</v>
      </c>
      <c r="G521" s="9">
        <f t="shared" si="17"/>
        <v>1418459.0599999998</v>
      </c>
      <c r="H521" s="72">
        <v>933.55</v>
      </c>
      <c r="I521" s="72">
        <v>654.34</v>
      </c>
      <c r="J521" s="72">
        <v>279.22000000000003</v>
      </c>
      <c r="K521" s="8" t="s">
        <v>665</v>
      </c>
    </row>
    <row r="522" spans="1:11">
      <c r="A522" s="1">
        <v>519</v>
      </c>
      <c r="B522" s="13" t="s">
        <v>722</v>
      </c>
      <c r="C522" s="8" t="s">
        <v>4466</v>
      </c>
      <c r="D522" s="12" t="s">
        <v>36</v>
      </c>
      <c r="E522" s="11">
        <v>1261999</v>
      </c>
      <c r="F522" s="10">
        <f t="shared" si="16"/>
        <v>1224139.03</v>
      </c>
      <c r="G522" s="9">
        <f t="shared" si="17"/>
        <v>1186279.0599999998</v>
      </c>
      <c r="H522" s="72">
        <v>705.47</v>
      </c>
      <c r="I522" s="72">
        <v>541.64</v>
      </c>
      <c r="J522" s="72">
        <v>163.83000000000001</v>
      </c>
      <c r="K522" s="8" t="s">
        <v>666</v>
      </c>
    </row>
    <row r="523" spans="1:11">
      <c r="A523" s="1">
        <v>520</v>
      </c>
      <c r="B523" s="13" t="s">
        <v>5062</v>
      </c>
      <c r="C523" s="8" t="s">
        <v>4466</v>
      </c>
      <c r="D523" s="12" t="s">
        <v>35</v>
      </c>
      <c r="E523" s="11">
        <v>836999</v>
      </c>
      <c r="F523" s="10">
        <f t="shared" si="16"/>
        <v>811889.03</v>
      </c>
      <c r="G523" s="9">
        <f t="shared" si="17"/>
        <v>786779.05999999994</v>
      </c>
      <c r="H523" s="72">
        <v>332.39</v>
      </c>
      <c r="I523" s="72">
        <v>332.39</v>
      </c>
      <c r="J523" s="72">
        <v>0</v>
      </c>
      <c r="K523" s="8" t="s">
        <v>665</v>
      </c>
    </row>
    <row r="524" spans="1:11">
      <c r="A524" s="1">
        <v>521</v>
      </c>
      <c r="B524" s="13" t="s">
        <v>5063</v>
      </c>
      <c r="C524" s="8" t="s">
        <v>4466</v>
      </c>
      <c r="D524" s="12" t="s">
        <v>35</v>
      </c>
      <c r="E524" s="11">
        <v>783999</v>
      </c>
      <c r="F524" s="10">
        <f t="shared" si="16"/>
        <v>760479.03</v>
      </c>
      <c r="G524" s="9">
        <f t="shared" si="17"/>
        <v>736959.05999999994</v>
      </c>
      <c r="H524" s="72">
        <v>311.39999999999998</v>
      </c>
      <c r="I524" s="72">
        <v>311.39999999999998</v>
      </c>
      <c r="J524" s="72">
        <v>0</v>
      </c>
      <c r="K524" s="8" t="s">
        <v>665</v>
      </c>
    </row>
    <row r="525" spans="1:11">
      <c r="A525" s="1">
        <v>522</v>
      </c>
      <c r="B525" s="13" t="s">
        <v>723</v>
      </c>
      <c r="C525" s="8" t="s">
        <v>4466</v>
      </c>
      <c r="D525" s="12" t="s">
        <v>36</v>
      </c>
      <c r="E525" s="11">
        <v>1326999</v>
      </c>
      <c r="F525" s="10">
        <f t="shared" si="16"/>
        <v>1287189.03</v>
      </c>
      <c r="G525" s="9">
        <f t="shared" si="17"/>
        <v>1247379.0599999998</v>
      </c>
      <c r="H525" s="72">
        <v>612.36</v>
      </c>
      <c r="I525" s="72">
        <v>612.36</v>
      </c>
      <c r="J525" s="72">
        <v>0</v>
      </c>
      <c r="K525" s="8" t="s">
        <v>666</v>
      </c>
    </row>
    <row r="526" spans="1:11">
      <c r="A526" s="1">
        <v>523</v>
      </c>
      <c r="B526" s="13" t="s">
        <v>724</v>
      </c>
      <c r="C526" s="8" t="s">
        <v>4466</v>
      </c>
      <c r="D526" s="12" t="s">
        <v>36</v>
      </c>
      <c r="E526" s="11">
        <v>1316999</v>
      </c>
      <c r="F526" s="10">
        <f t="shared" si="16"/>
        <v>1277489.03</v>
      </c>
      <c r="G526" s="9">
        <f t="shared" si="17"/>
        <v>1237979.0599999998</v>
      </c>
      <c r="H526" s="72">
        <v>728.07</v>
      </c>
      <c r="I526" s="72">
        <v>567.58000000000004</v>
      </c>
      <c r="J526" s="72">
        <v>160.49</v>
      </c>
      <c r="K526" s="8" t="s">
        <v>666</v>
      </c>
    </row>
    <row r="527" spans="1:11">
      <c r="A527" s="1">
        <v>524</v>
      </c>
      <c r="B527" s="13" t="s">
        <v>725</v>
      </c>
      <c r="C527" s="8" t="s">
        <v>4466</v>
      </c>
      <c r="D527" s="12" t="s">
        <v>36</v>
      </c>
      <c r="E527" s="11">
        <v>1435999</v>
      </c>
      <c r="F527" s="10">
        <f t="shared" si="16"/>
        <v>1392919.03</v>
      </c>
      <c r="G527" s="9">
        <f t="shared" si="17"/>
        <v>1349839.0599999998</v>
      </c>
      <c r="H527" s="72">
        <v>1044.21</v>
      </c>
      <c r="I527" s="72">
        <v>574.69000000000005</v>
      </c>
      <c r="J527" s="72">
        <v>469.52</v>
      </c>
      <c r="K527" s="8" t="s">
        <v>667</v>
      </c>
    </row>
    <row r="528" spans="1:11">
      <c r="A528" s="1">
        <v>525</v>
      </c>
      <c r="B528" s="13" t="s">
        <v>726</v>
      </c>
      <c r="C528" s="8" t="s">
        <v>4466</v>
      </c>
      <c r="D528" s="12" t="s">
        <v>36</v>
      </c>
      <c r="E528" s="11">
        <v>1382999</v>
      </c>
      <c r="F528" s="10">
        <f t="shared" si="16"/>
        <v>1341509.03</v>
      </c>
      <c r="G528" s="9">
        <f t="shared" si="17"/>
        <v>1300019.0599999998</v>
      </c>
      <c r="H528" s="72">
        <v>827.1</v>
      </c>
      <c r="I528" s="72">
        <v>585.13</v>
      </c>
      <c r="J528" s="72">
        <v>241.97</v>
      </c>
      <c r="K528" s="8" t="s">
        <v>668</v>
      </c>
    </row>
    <row r="529" spans="1:11">
      <c r="A529" s="1">
        <v>526</v>
      </c>
      <c r="B529" s="13" t="s">
        <v>727</v>
      </c>
      <c r="C529" s="8" t="s">
        <v>4466</v>
      </c>
      <c r="D529" s="12" t="s">
        <v>36</v>
      </c>
      <c r="E529" s="11">
        <v>1337999</v>
      </c>
      <c r="F529" s="10">
        <f t="shared" si="16"/>
        <v>1297859.03</v>
      </c>
      <c r="G529" s="9">
        <f t="shared" si="17"/>
        <v>1257719.0599999998</v>
      </c>
      <c r="H529" s="72">
        <v>770.05</v>
      </c>
      <c r="I529" s="72">
        <v>571.03</v>
      </c>
      <c r="J529" s="72">
        <v>199.02</v>
      </c>
      <c r="K529" s="8" t="s">
        <v>668</v>
      </c>
    </row>
    <row r="530" spans="1:11">
      <c r="A530" s="1">
        <v>527</v>
      </c>
      <c r="B530" s="13" t="s">
        <v>728</v>
      </c>
      <c r="C530" s="8" t="s">
        <v>4466</v>
      </c>
      <c r="D530" s="12" t="s">
        <v>36</v>
      </c>
      <c r="E530" s="11">
        <v>1354999</v>
      </c>
      <c r="F530" s="10">
        <f t="shared" ref="F530:F559" si="18">E530*0.97</f>
        <v>1314349.03</v>
      </c>
      <c r="G530" s="9">
        <f t="shared" ref="G530:G559" si="19">E530*0.94</f>
        <v>1273699.0599999998</v>
      </c>
      <c r="H530" s="72">
        <v>750.78</v>
      </c>
      <c r="I530" s="72">
        <v>590.72</v>
      </c>
      <c r="J530" s="72">
        <v>160.06</v>
      </c>
      <c r="K530" s="8" t="s">
        <v>668</v>
      </c>
    </row>
    <row r="531" spans="1:11">
      <c r="A531" s="1">
        <v>528</v>
      </c>
      <c r="B531" s="13" t="s">
        <v>729</v>
      </c>
      <c r="C531" s="8" t="s">
        <v>4466</v>
      </c>
      <c r="D531" s="12" t="s">
        <v>36</v>
      </c>
      <c r="E531" s="11">
        <v>1354999</v>
      </c>
      <c r="F531" s="10">
        <f t="shared" si="18"/>
        <v>1314349.03</v>
      </c>
      <c r="G531" s="9">
        <f t="shared" si="19"/>
        <v>1273699.0599999998</v>
      </c>
      <c r="H531" s="72">
        <v>750.78</v>
      </c>
      <c r="I531" s="72">
        <v>590.72</v>
      </c>
      <c r="J531" s="72">
        <v>160.06</v>
      </c>
      <c r="K531" s="8" t="s">
        <v>668</v>
      </c>
    </row>
    <row r="532" spans="1:11">
      <c r="A532" s="1">
        <v>529</v>
      </c>
      <c r="B532" s="13" t="s">
        <v>730</v>
      </c>
      <c r="C532" s="8" t="s">
        <v>4466</v>
      </c>
      <c r="D532" s="12" t="s">
        <v>36</v>
      </c>
      <c r="E532" s="11">
        <v>1437999</v>
      </c>
      <c r="F532" s="10">
        <f t="shared" si="18"/>
        <v>1394859.03</v>
      </c>
      <c r="G532" s="9">
        <f t="shared" si="19"/>
        <v>1351719.0599999998</v>
      </c>
      <c r="H532" s="72">
        <v>815.58</v>
      </c>
      <c r="I532" s="72">
        <v>643.25</v>
      </c>
      <c r="J532" s="72">
        <v>172.33</v>
      </c>
      <c r="K532" s="8" t="s">
        <v>668</v>
      </c>
    </row>
    <row r="533" spans="1:11">
      <c r="A533" s="1">
        <v>530</v>
      </c>
      <c r="B533" s="13" t="s">
        <v>731</v>
      </c>
      <c r="C533" s="8" t="s">
        <v>4466</v>
      </c>
      <c r="D533" s="12" t="s">
        <v>36</v>
      </c>
      <c r="E533" s="11">
        <v>1451999</v>
      </c>
      <c r="F533" s="10">
        <f t="shared" si="18"/>
        <v>1408439.03</v>
      </c>
      <c r="G533" s="9">
        <f t="shared" si="19"/>
        <v>1364879.0599999998</v>
      </c>
      <c r="H533" s="72">
        <v>818.81</v>
      </c>
      <c r="I533" s="72">
        <v>646.48</v>
      </c>
      <c r="J533" s="72">
        <v>172.33</v>
      </c>
      <c r="K533" s="8" t="s">
        <v>665</v>
      </c>
    </row>
    <row r="534" spans="1:11">
      <c r="A534" s="1">
        <v>531</v>
      </c>
      <c r="B534" s="13" t="s">
        <v>732</v>
      </c>
      <c r="C534" s="8" t="s">
        <v>4466</v>
      </c>
      <c r="D534" s="12" t="s">
        <v>36</v>
      </c>
      <c r="E534" s="11">
        <v>1373999</v>
      </c>
      <c r="F534" s="10">
        <f t="shared" si="18"/>
        <v>1332779.03</v>
      </c>
      <c r="G534" s="9">
        <f t="shared" si="19"/>
        <v>1291559.0599999998</v>
      </c>
      <c r="H534" s="72">
        <v>757.35</v>
      </c>
      <c r="I534" s="72">
        <v>597.29</v>
      </c>
      <c r="J534" s="72">
        <v>160.06</v>
      </c>
      <c r="K534" s="8" t="s">
        <v>665</v>
      </c>
    </row>
    <row r="535" spans="1:11">
      <c r="A535" s="1">
        <v>532</v>
      </c>
      <c r="B535" s="13" t="s">
        <v>733</v>
      </c>
      <c r="C535" s="8" t="s">
        <v>4466</v>
      </c>
      <c r="D535" s="12" t="s">
        <v>36</v>
      </c>
      <c r="E535" s="11">
        <v>1373999</v>
      </c>
      <c r="F535" s="10">
        <f t="shared" si="18"/>
        <v>1332779.03</v>
      </c>
      <c r="G535" s="9">
        <f t="shared" si="19"/>
        <v>1291559.0599999998</v>
      </c>
      <c r="H535" s="72">
        <v>757.35</v>
      </c>
      <c r="I535" s="72">
        <v>597.29</v>
      </c>
      <c r="J535" s="72">
        <v>160.06</v>
      </c>
      <c r="K535" s="8" t="s">
        <v>665</v>
      </c>
    </row>
    <row r="536" spans="1:11">
      <c r="A536" s="1">
        <v>533</v>
      </c>
      <c r="B536" s="13" t="s">
        <v>734</v>
      </c>
      <c r="C536" s="8" t="s">
        <v>4466</v>
      </c>
      <c r="D536" s="12" t="s">
        <v>36</v>
      </c>
      <c r="E536" s="11">
        <v>1373999</v>
      </c>
      <c r="F536" s="10">
        <f t="shared" si="18"/>
        <v>1332779.03</v>
      </c>
      <c r="G536" s="9">
        <f t="shared" si="19"/>
        <v>1291559.0599999998</v>
      </c>
      <c r="H536" s="72">
        <v>757.13</v>
      </c>
      <c r="I536" s="72">
        <v>597.07000000000005</v>
      </c>
      <c r="J536" s="72">
        <v>160.06</v>
      </c>
      <c r="K536" s="8" t="s">
        <v>665</v>
      </c>
    </row>
    <row r="537" spans="1:11">
      <c r="A537" s="1">
        <v>534</v>
      </c>
      <c r="B537" s="13" t="s">
        <v>565</v>
      </c>
      <c r="C537" s="8" t="s">
        <v>4465</v>
      </c>
      <c r="D537" s="12" t="s">
        <v>36</v>
      </c>
      <c r="E537" s="11">
        <v>1293999</v>
      </c>
      <c r="F537" s="10">
        <f t="shared" si="18"/>
        <v>1255179.03</v>
      </c>
      <c r="G537" s="9">
        <f t="shared" si="19"/>
        <v>1216359.0599999998</v>
      </c>
      <c r="H537" s="72">
        <v>674.14</v>
      </c>
      <c r="I537" s="72">
        <v>567.79999999999995</v>
      </c>
      <c r="J537" s="72">
        <v>106.35</v>
      </c>
      <c r="K537" s="8" t="s">
        <v>665</v>
      </c>
    </row>
    <row r="538" spans="1:11">
      <c r="A538" s="1">
        <v>535</v>
      </c>
      <c r="B538" s="13" t="s">
        <v>566</v>
      </c>
      <c r="C538" s="8" t="s">
        <v>4465</v>
      </c>
      <c r="D538" s="12" t="s">
        <v>24</v>
      </c>
      <c r="E538" s="11">
        <v>2006999</v>
      </c>
      <c r="F538" s="10">
        <f t="shared" si="18"/>
        <v>1946789.03</v>
      </c>
      <c r="G538" s="9">
        <f t="shared" si="19"/>
        <v>1886579.0599999998</v>
      </c>
      <c r="H538" s="72">
        <v>1150.6600000000001</v>
      </c>
      <c r="I538" s="72">
        <v>826.13</v>
      </c>
      <c r="J538" s="72">
        <v>324.52999999999997</v>
      </c>
      <c r="K538" s="8" t="s">
        <v>666</v>
      </c>
    </row>
    <row r="539" spans="1:11">
      <c r="A539" s="1">
        <v>536</v>
      </c>
      <c r="B539" s="13" t="s">
        <v>567</v>
      </c>
      <c r="C539" s="8" t="s">
        <v>4465</v>
      </c>
      <c r="D539" s="12" t="s">
        <v>36</v>
      </c>
      <c r="E539" s="11">
        <v>1500999</v>
      </c>
      <c r="F539" s="10">
        <f t="shared" si="18"/>
        <v>1455969.03</v>
      </c>
      <c r="G539" s="9">
        <f t="shared" si="19"/>
        <v>1410939.0599999998</v>
      </c>
      <c r="H539" s="72">
        <v>934.42</v>
      </c>
      <c r="I539" s="72">
        <v>654.34</v>
      </c>
      <c r="J539" s="72">
        <v>280.08</v>
      </c>
      <c r="K539" s="8" t="s">
        <v>666</v>
      </c>
    </row>
    <row r="540" spans="1:11">
      <c r="A540" s="1">
        <v>537</v>
      </c>
      <c r="B540" s="13" t="s">
        <v>568</v>
      </c>
      <c r="C540" s="8" t="s">
        <v>4465</v>
      </c>
      <c r="D540" s="12" t="s">
        <v>36</v>
      </c>
      <c r="E540" s="11">
        <v>1507999</v>
      </c>
      <c r="F540" s="10">
        <f t="shared" si="18"/>
        <v>1462759.03</v>
      </c>
      <c r="G540" s="9">
        <f t="shared" si="19"/>
        <v>1417519.0599999998</v>
      </c>
      <c r="H540" s="72">
        <v>933.55</v>
      </c>
      <c r="I540" s="72">
        <v>654.34</v>
      </c>
      <c r="J540" s="72">
        <v>279.22000000000003</v>
      </c>
      <c r="K540" s="8" t="s">
        <v>665</v>
      </c>
    </row>
    <row r="541" spans="1:11">
      <c r="A541" s="1">
        <v>538</v>
      </c>
      <c r="B541" s="13" t="s">
        <v>569</v>
      </c>
      <c r="C541" s="8" t="s">
        <v>4465</v>
      </c>
      <c r="D541" s="12" t="s">
        <v>36</v>
      </c>
      <c r="E541" s="11">
        <v>1322999</v>
      </c>
      <c r="F541" s="10">
        <f t="shared" si="18"/>
        <v>1283309.03</v>
      </c>
      <c r="G541" s="9">
        <f t="shared" si="19"/>
        <v>1243619.0599999998</v>
      </c>
      <c r="H541" s="72">
        <v>722.8</v>
      </c>
      <c r="I541" s="72">
        <v>569.29999999999995</v>
      </c>
      <c r="J541" s="72">
        <v>153.49</v>
      </c>
      <c r="K541" s="8" t="s">
        <v>665</v>
      </c>
    </row>
    <row r="542" spans="1:11">
      <c r="A542" s="1">
        <v>539</v>
      </c>
      <c r="B542" s="13" t="s">
        <v>570</v>
      </c>
      <c r="C542" s="8" t="s">
        <v>4465</v>
      </c>
      <c r="D542" s="12" t="s">
        <v>36</v>
      </c>
      <c r="E542" s="11">
        <v>1261999</v>
      </c>
      <c r="F542" s="10">
        <f t="shared" si="18"/>
        <v>1224139.03</v>
      </c>
      <c r="G542" s="9">
        <f t="shared" si="19"/>
        <v>1186279.0599999998</v>
      </c>
      <c r="H542" s="72">
        <v>705.47</v>
      </c>
      <c r="I542" s="72">
        <v>541.64</v>
      </c>
      <c r="J542" s="72">
        <v>163.83000000000001</v>
      </c>
      <c r="K542" s="8" t="s">
        <v>666</v>
      </c>
    </row>
    <row r="543" spans="1:11">
      <c r="A543" s="1">
        <v>540</v>
      </c>
      <c r="B543" s="13" t="s">
        <v>5064</v>
      </c>
      <c r="C543" s="8" t="s">
        <v>4465</v>
      </c>
      <c r="D543" s="12" t="s">
        <v>35</v>
      </c>
      <c r="E543" s="11">
        <v>835999</v>
      </c>
      <c r="F543" s="10">
        <f t="shared" si="18"/>
        <v>810919.03</v>
      </c>
      <c r="G543" s="9">
        <f t="shared" si="19"/>
        <v>785839.05999999994</v>
      </c>
      <c r="H543" s="72">
        <v>332.39</v>
      </c>
      <c r="I543" s="72">
        <v>332.39</v>
      </c>
      <c r="J543" s="72">
        <v>0</v>
      </c>
      <c r="K543" s="8" t="s">
        <v>665</v>
      </c>
    </row>
    <row r="544" spans="1:11">
      <c r="A544" s="1">
        <v>541</v>
      </c>
      <c r="B544" s="13" t="s">
        <v>5065</v>
      </c>
      <c r="C544" s="8" t="s">
        <v>4465</v>
      </c>
      <c r="D544" s="12" t="s">
        <v>35</v>
      </c>
      <c r="E544" s="11">
        <v>783999</v>
      </c>
      <c r="F544" s="10">
        <f t="shared" si="18"/>
        <v>760479.03</v>
      </c>
      <c r="G544" s="9">
        <f t="shared" si="19"/>
        <v>736959.05999999994</v>
      </c>
      <c r="H544" s="72">
        <v>311.39999999999998</v>
      </c>
      <c r="I544" s="72">
        <v>311.39999999999998</v>
      </c>
      <c r="J544" s="72">
        <v>0</v>
      </c>
      <c r="K544" s="8" t="s">
        <v>665</v>
      </c>
    </row>
    <row r="545" spans="1:11">
      <c r="A545" s="1">
        <v>542</v>
      </c>
      <c r="B545" s="13" t="s">
        <v>571</v>
      </c>
      <c r="C545" s="8" t="s">
        <v>4465</v>
      </c>
      <c r="D545" s="12" t="s">
        <v>36</v>
      </c>
      <c r="E545" s="11">
        <v>1437999</v>
      </c>
      <c r="F545" s="10">
        <f t="shared" si="18"/>
        <v>1394859.03</v>
      </c>
      <c r="G545" s="9">
        <f t="shared" si="19"/>
        <v>1351719.0599999998</v>
      </c>
      <c r="H545" s="72">
        <v>850.24</v>
      </c>
      <c r="I545" s="72">
        <v>628.94000000000005</v>
      </c>
      <c r="J545" s="72">
        <v>221.31</v>
      </c>
      <c r="K545" s="8" t="s">
        <v>665</v>
      </c>
    </row>
    <row r="546" spans="1:11">
      <c r="A546" s="1">
        <v>543</v>
      </c>
      <c r="B546" s="13" t="s">
        <v>572</v>
      </c>
      <c r="C546" s="8" t="s">
        <v>4465</v>
      </c>
      <c r="D546" s="12" t="s">
        <v>36</v>
      </c>
      <c r="E546" s="11">
        <v>1326999</v>
      </c>
      <c r="F546" s="10">
        <f t="shared" si="18"/>
        <v>1287189.03</v>
      </c>
      <c r="G546" s="9">
        <f t="shared" si="19"/>
        <v>1247379.0599999998</v>
      </c>
      <c r="H546" s="72">
        <v>612.36</v>
      </c>
      <c r="I546" s="72">
        <v>612.36</v>
      </c>
      <c r="J546" s="72">
        <v>0</v>
      </c>
      <c r="K546" s="8" t="s">
        <v>666</v>
      </c>
    </row>
    <row r="547" spans="1:11">
      <c r="A547" s="1">
        <v>544</v>
      </c>
      <c r="B547" s="13" t="s">
        <v>573</v>
      </c>
      <c r="C547" s="8" t="s">
        <v>4465</v>
      </c>
      <c r="D547" s="12" t="s">
        <v>36</v>
      </c>
      <c r="E547" s="11">
        <v>1315999</v>
      </c>
      <c r="F547" s="10">
        <f t="shared" si="18"/>
        <v>1276519.03</v>
      </c>
      <c r="G547" s="9">
        <f t="shared" si="19"/>
        <v>1237039.0599999998</v>
      </c>
      <c r="H547" s="72">
        <v>728.07</v>
      </c>
      <c r="I547" s="72">
        <v>567.58000000000004</v>
      </c>
      <c r="J547" s="72">
        <v>160.49</v>
      </c>
      <c r="K547" s="8" t="s">
        <v>666</v>
      </c>
    </row>
    <row r="548" spans="1:11">
      <c r="A548" s="1">
        <v>545</v>
      </c>
      <c r="B548" s="13" t="s">
        <v>574</v>
      </c>
      <c r="C548" s="8" t="s">
        <v>4465</v>
      </c>
      <c r="D548" s="12" t="s">
        <v>36</v>
      </c>
      <c r="E548" s="11">
        <v>1434999</v>
      </c>
      <c r="F548" s="10">
        <f t="shared" si="18"/>
        <v>1391949.03</v>
      </c>
      <c r="G548" s="9">
        <f t="shared" si="19"/>
        <v>1348899.0599999998</v>
      </c>
      <c r="H548" s="72">
        <v>1044.21</v>
      </c>
      <c r="I548" s="72">
        <v>574.69000000000005</v>
      </c>
      <c r="J548" s="72">
        <v>469.52</v>
      </c>
      <c r="K548" s="8" t="s">
        <v>667</v>
      </c>
    </row>
    <row r="549" spans="1:11">
      <c r="A549" s="1">
        <v>546</v>
      </c>
      <c r="B549" s="13" t="s">
        <v>575</v>
      </c>
      <c r="C549" s="8" t="s">
        <v>4465</v>
      </c>
      <c r="D549" s="12" t="s">
        <v>36</v>
      </c>
      <c r="E549" s="11">
        <v>1381999</v>
      </c>
      <c r="F549" s="10">
        <f t="shared" si="18"/>
        <v>1340539.03</v>
      </c>
      <c r="G549" s="9">
        <f t="shared" si="19"/>
        <v>1299079.0599999998</v>
      </c>
      <c r="H549" s="72">
        <v>827.1</v>
      </c>
      <c r="I549" s="72">
        <v>585.13</v>
      </c>
      <c r="J549" s="72">
        <v>241.97</v>
      </c>
      <c r="K549" s="8" t="s">
        <v>668</v>
      </c>
    </row>
    <row r="550" spans="1:11">
      <c r="A550" s="1">
        <v>547</v>
      </c>
      <c r="B550" s="13" t="s">
        <v>576</v>
      </c>
      <c r="C550" s="8" t="s">
        <v>4465</v>
      </c>
      <c r="D550" s="12" t="s">
        <v>36</v>
      </c>
      <c r="E550" s="11">
        <v>1336999</v>
      </c>
      <c r="F550" s="10">
        <f t="shared" si="18"/>
        <v>1296889.03</v>
      </c>
      <c r="G550" s="9">
        <f t="shared" si="19"/>
        <v>1256779.0599999998</v>
      </c>
      <c r="H550" s="72">
        <v>770.05</v>
      </c>
      <c r="I550" s="72">
        <v>571.03</v>
      </c>
      <c r="J550" s="72">
        <v>199.02</v>
      </c>
      <c r="K550" s="8" t="s">
        <v>668</v>
      </c>
    </row>
    <row r="551" spans="1:11">
      <c r="A551" s="1">
        <v>548</v>
      </c>
      <c r="B551" s="13" t="s">
        <v>577</v>
      </c>
      <c r="C551" s="8" t="s">
        <v>4465</v>
      </c>
      <c r="D551" s="12" t="s">
        <v>36</v>
      </c>
      <c r="E551" s="11">
        <v>1354999</v>
      </c>
      <c r="F551" s="10">
        <f t="shared" si="18"/>
        <v>1314349.03</v>
      </c>
      <c r="G551" s="9">
        <f t="shared" si="19"/>
        <v>1273699.0599999998</v>
      </c>
      <c r="H551" s="72">
        <v>750.78</v>
      </c>
      <c r="I551" s="72">
        <v>590.72</v>
      </c>
      <c r="J551" s="72">
        <v>160.06</v>
      </c>
      <c r="K551" s="8" t="s">
        <v>668</v>
      </c>
    </row>
    <row r="552" spans="1:11">
      <c r="A552" s="1">
        <v>549</v>
      </c>
      <c r="B552" s="13" t="s">
        <v>578</v>
      </c>
      <c r="C552" s="8" t="s">
        <v>4465</v>
      </c>
      <c r="D552" s="12" t="s">
        <v>36</v>
      </c>
      <c r="E552" s="11">
        <v>1354999</v>
      </c>
      <c r="F552" s="10">
        <f t="shared" si="18"/>
        <v>1314349.03</v>
      </c>
      <c r="G552" s="9">
        <f t="shared" si="19"/>
        <v>1273699.0599999998</v>
      </c>
      <c r="H552" s="72">
        <v>750.78</v>
      </c>
      <c r="I552" s="72">
        <v>590.72</v>
      </c>
      <c r="J552" s="72">
        <v>160.06</v>
      </c>
      <c r="K552" s="8" t="s">
        <v>668</v>
      </c>
    </row>
    <row r="553" spans="1:11">
      <c r="A553" s="1">
        <v>550</v>
      </c>
      <c r="B553" s="13" t="s">
        <v>4592</v>
      </c>
      <c r="C553" s="8" t="s">
        <v>4465</v>
      </c>
      <c r="D553" s="12" t="s">
        <v>36</v>
      </c>
      <c r="E553" s="11">
        <v>1450999</v>
      </c>
      <c r="F553" s="10">
        <f t="shared" si="18"/>
        <v>1407469.03</v>
      </c>
      <c r="G553" s="9">
        <f t="shared" si="19"/>
        <v>1363939.0599999998</v>
      </c>
      <c r="H553" s="72">
        <v>818.81</v>
      </c>
      <c r="I553" s="72">
        <v>646.48</v>
      </c>
      <c r="J553" s="72">
        <v>172.33</v>
      </c>
      <c r="K553" s="8" t="s">
        <v>665</v>
      </c>
    </row>
    <row r="554" spans="1:11">
      <c r="A554" s="1">
        <v>551</v>
      </c>
      <c r="B554" s="13" t="s">
        <v>4520</v>
      </c>
      <c r="C554" s="8" t="s">
        <v>4465</v>
      </c>
      <c r="D554" s="12" t="s">
        <v>36</v>
      </c>
      <c r="E554" s="11">
        <v>1372999</v>
      </c>
      <c r="F554" s="10">
        <f t="shared" si="18"/>
        <v>1331809.03</v>
      </c>
      <c r="G554" s="9">
        <f t="shared" si="19"/>
        <v>1290619.0599999998</v>
      </c>
      <c r="H554" s="72">
        <v>757.35</v>
      </c>
      <c r="I554" s="72">
        <v>597.29</v>
      </c>
      <c r="J554" s="72">
        <v>160.06</v>
      </c>
      <c r="K554" s="8" t="s">
        <v>665</v>
      </c>
    </row>
    <row r="555" spans="1:11">
      <c r="A555" s="1">
        <v>552</v>
      </c>
      <c r="B555" s="13" t="s">
        <v>579</v>
      </c>
      <c r="C555" s="8" t="s">
        <v>4465</v>
      </c>
      <c r="D555" s="12" t="s">
        <v>36</v>
      </c>
      <c r="E555" s="11">
        <v>1372999</v>
      </c>
      <c r="F555" s="10">
        <f t="shared" si="18"/>
        <v>1331809.03</v>
      </c>
      <c r="G555" s="9">
        <f t="shared" si="19"/>
        <v>1290619.0599999998</v>
      </c>
      <c r="H555" s="72">
        <v>757.35</v>
      </c>
      <c r="I555" s="72">
        <v>597.29</v>
      </c>
      <c r="J555" s="72">
        <v>160.06</v>
      </c>
      <c r="K555" s="8" t="s">
        <v>665</v>
      </c>
    </row>
    <row r="556" spans="1:11">
      <c r="A556" s="1">
        <v>553</v>
      </c>
      <c r="B556" s="13" t="s">
        <v>580</v>
      </c>
      <c r="C556" s="8" t="s">
        <v>4465</v>
      </c>
      <c r="D556" s="12" t="s">
        <v>36</v>
      </c>
      <c r="E556" s="11">
        <v>1372999</v>
      </c>
      <c r="F556" s="10">
        <f t="shared" si="18"/>
        <v>1331809.03</v>
      </c>
      <c r="G556" s="9">
        <f t="shared" si="19"/>
        <v>1290619.0599999998</v>
      </c>
      <c r="H556" s="72">
        <v>757.35</v>
      </c>
      <c r="I556" s="72">
        <v>597.29</v>
      </c>
      <c r="J556" s="72">
        <v>160.06</v>
      </c>
      <c r="K556" s="8" t="s">
        <v>665</v>
      </c>
    </row>
    <row r="557" spans="1:11">
      <c r="A557" s="1">
        <v>554</v>
      </c>
      <c r="B557" s="13" t="s">
        <v>581</v>
      </c>
      <c r="C557" s="8" t="s">
        <v>4465</v>
      </c>
      <c r="D557" s="12" t="s">
        <v>36</v>
      </c>
      <c r="E557" s="11">
        <v>1372999</v>
      </c>
      <c r="F557" s="10">
        <f t="shared" si="18"/>
        <v>1331809.03</v>
      </c>
      <c r="G557" s="9">
        <f t="shared" si="19"/>
        <v>1290619.0599999998</v>
      </c>
      <c r="H557" s="72">
        <v>757.13</v>
      </c>
      <c r="I557" s="72">
        <v>597.07000000000005</v>
      </c>
      <c r="J557" s="72">
        <v>160.06</v>
      </c>
      <c r="K557" s="8" t="s">
        <v>665</v>
      </c>
    </row>
    <row r="558" spans="1:11">
      <c r="A558" s="1">
        <v>555</v>
      </c>
      <c r="B558" s="13" t="s">
        <v>582</v>
      </c>
      <c r="C558" s="8" t="s">
        <v>4464</v>
      </c>
      <c r="D558" s="12" t="s">
        <v>24</v>
      </c>
      <c r="E558" s="11">
        <v>2005999</v>
      </c>
      <c r="F558" s="10">
        <f t="shared" si="18"/>
        <v>1945819.03</v>
      </c>
      <c r="G558" s="9">
        <f t="shared" si="19"/>
        <v>1885639.0599999998</v>
      </c>
      <c r="H558" s="72">
        <v>1150.6600000000001</v>
      </c>
      <c r="I558" s="72">
        <v>826.13</v>
      </c>
      <c r="J558" s="72">
        <v>324.52999999999997</v>
      </c>
      <c r="K558" s="8" t="s">
        <v>666</v>
      </c>
    </row>
    <row r="559" spans="1:11">
      <c r="A559" s="1">
        <v>556</v>
      </c>
      <c r="B559" s="13" t="s">
        <v>583</v>
      </c>
      <c r="C559" s="8" t="s">
        <v>4464</v>
      </c>
      <c r="D559" s="12" t="s">
        <v>36</v>
      </c>
      <c r="E559" s="11">
        <v>1499999</v>
      </c>
      <c r="F559" s="10">
        <f t="shared" si="18"/>
        <v>1454999.03</v>
      </c>
      <c r="G559" s="9">
        <f t="shared" si="19"/>
        <v>1409999.0599999998</v>
      </c>
      <c r="H559" s="72">
        <v>934.42</v>
      </c>
      <c r="I559" s="72">
        <v>654.34</v>
      </c>
      <c r="J559" s="72">
        <v>280.08</v>
      </c>
      <c r="K559" s="8" t="s">
        <v>666</v>
      </c>
    </row>
    <row r="560" spans="1:11">
      <c r="A560" s="1">
        <v>557</v>
      </c>
      <c r="B560" s="13" t="s">
        <v>584</v>
      </c>
      <c r="C560" s="8" t="s">
        <v>4464</v>
      </c>
      <c r="D560" s="12" t="s">
        <v>36</v>
      </c>
      <c r="E560" s="11">
        <v>1506999</v>
      </c>
      <c r="F560" s="10">
        <f t="shared" ref="F560:F620" si="20">E560*0.97</f>
        <v>1461789.03</v>
      </c>
      <c r="G560" s="9">
        <f t="shared" ref="G560:G620" si="21">E560*0.94</f>
        <v>1416579.0599999998</v>
      </c>
      <c r="H560" s="72">
        <v>933.55</v>
      </c>
      <c r="I560" s="72">
        <v>654.34</v>
      </c>
      <c r="J560" s="72">
        <v>279.22000000000003</v>
      </c>
      <c r="K560" s="8" t="s">
        <v>665</v>
      </c>
    </row>
    <row r="561" spans="1:11">
      <c r="A561" s="1">
        <v>558</v>
      </c>
      <c r="B561" s="13" t="s">
        <v>585</v>
      </c>
      <c r="C561" s="8" t="s">
        <v>4464</v>
      </c>
      <c r="D561" s="12" t="s">
        <v>36</v>
      </c>
      <c r="E561" s="11">
        <v>1321999</v>
      </c>
      <c r="F561" s="10">
        <f t="shared" si="20"/>
        <v>1282339.03</v>
      </c>
      <c r="G561" s="9">
        <f t="shared" si="21"/>
        <v>1242679.0599999998</v>
      </c>
      <c r="H561" s="72">
        <v>722.8</v>
      </c>
      <c r="I561" s="72">
        <v>569.29999999999995</v>
      </c>
      <c r="J561" s="72">
        <v>153.49</v>
      </c>
      <c r="K561" s="8" t="s">
        <v>665</v>
      </c>
    </row>
    <row r="562" spans="1:11">
      <c r="A562" s="1">
        <v>559</v>
      </c>
      <c r="B562" s="13" t="s">
        <v>4338</v>
      </c>
      <c r="C562" s="8" t="s">
        <v>4464</v>
      </c>
      <c r="D562" s="12" t="s">
        <v>36</v>
      </c>
      <c r="E562" s="11">
        <v>1260999</v>
      </c>
      <c r="F562" s="10">
        <f t="shared" si="20"/>
        <v>1223169.03</v>
      </c>
      <c r="G562" s="9">
        <f t="shared" si="21"/>
        <v>1185339.0599999998</v>
      </c>
      <c r="H562" s="72">
        <v>705.47</v>
      </c>
      <c r="I562" s="72">
        <v>541.64</v>
      </c>
      <c r="J562" s="72">
        <v>163.83000000000001</v>
      </c>
      <c r="K562" s="8" t="s">
        <v>666</v>
      </c>
    </row>
    <row r="563" spans="1:11">
      <c r="A563" s="1">
        <v>560</v>
      </c>
      <c r="B563" s="13" t="s">
        <v>5066</v>
      </c>
      <c r="C563" s="8" t="s">
        <v>4464</v>
      </c>
      <c r="D563" s="12" t="s">
        <v>35</v>
      </c>
      <c r="E563" s="11">
        <v>835999</v>
      </c>
      <c r="F563" s="10">
        <f t="shared" si="20"/>
        <v>810919.03</v>
      </c>
      <c r="G563" s="9">
        <f t="shared" si="21"/>
        <v>785839.05999999994</v>
      </c>
      <c r="H563" s="72">
        <v>332.39</v>
      </c>
      <c r="I563" s="72">
        <v>332.39</v>
      </c>
      <c r="J563" s="72">
        <v>0</v>
      </c>
      <c r="K563" s="8" t="s">
        <v>665</v>
      </c>
    </row>
    <row r="564" spans="1:11">
      <c r="A564" s="1">
        <v>561</v>
      </c>
      <c r="B564" s="13" t="s">
        <v>586</v>
      </c>
      <c r="C564" s="8" t="s">
        <v>4464</v>
      </c>
      <c r="D564" s="12" t="s">
        <v>36</v>
      </c>
      <c r="E564" s="11">
        <v>1325999</v>
      </c>
      <c r="F564" s="10">
        <f t="shared" si="20"/>
        <v>1286219.03</v>
      </c>
      <c r="G564" s="9">
        <f t="shared" si="21"/>
        <v>1246439.0599999998</v>
      </c>
      <c r="H564" s="72">
        <v>612.36</v>
      </c>
      <c r="I564" s="72">
        <v>612.36</v>
      </c>
      <c r="J564" s="72">
        <v>0</v>
      </c>
      <c r="K564" s="8" t="s">
        <v>666</v>
      </c>
    </row>
    <row r="565" spans="1:11">
      <c r="A565" s="1">
        <v>562</v>
      </c>
      <c r="B565" s="13" t="s">
        <v>587</v>
      </c>
      <c r="C565" s="8" t="s">
        <v>4464</v>
      </c>
      <c r="D565" s="12" t="s">
        <v>36</v>
      </c>
      <c r="E565" s="11">
        <v>1315999</v>
      </c>
      <c r="F565" s="10">
        <f t="shared" si="20"/>
        <v>1276519.03</v>
      </c>
      <c r="G565" s="9">
        <f t="shared" si="21"/>
        <v>1237039.0599999998</v>
      </c>
      <c r="H565" s="72">
        <v>728.07</v>
      </c>
      <c r="I565" s="72">
        <v>567.58000000000004</v>
      </c>
      <c r="J565" s="72">
        <v>160.49</v>
      </c>
      <c r="K565" s="8" t="s">
        <v>666</v>
      </c>
    </row>
    <row r="566" spans="1:11">
      <c r="A566" s="1">
        <v>563</v>
      </c>
      <c r="B566" s="13" t="s">
        <v>588</v>
      </c>
      <c r="C566" s="8" t="s">
        <v>4464</v>
      </c>
      <c r="D566" s="12" t="s">
        <v>36</v>
      </c>
      <c r="E566" s="11">
        <v>1434999</v>
      </c>
      <c r="F566" s="10">
        <f t="shared" si="20"/>
        <v>1391949.03</v>
      </c>
      <c r="G566" s="9">
        <f t="shared" si="21"/>
        <v>1348899.0599999998</v>
      </c>
      <c r="H566" s="72">
        <v>1044.21</v>
      </c>
      <c r="I566" s="72">
        <v>574.69000000000005</v>
      </c>
      <c r="J566" s="72">
        <v>469.52</v>
      </c>
      <c r="K566" s="8" t="s">
        <v>667</v>
      </c>
    </row>
    <row r="567" spans="1:11">
      <c r="A567" s="1">
        <v>564</v>
      </c>
      <c r="B567" s="13" t="s">
        <v>589</v>
      </c>
      <c r="C567" s="8" t="s">
        <v>4464</v>
      </c>
      <c r="D567" s="12" t="s">
        <v>36</v>
      </c>
      <c r="E567" s="11">
        <v>1381999</v>
      </c>
      <c r="F567" s="10">
        <f t="shared" si="20"/>
        <v>1340539.03</v>
      </c>
      <c r="G567" s="9">
        <f t="shared" si="21"/>
        <v>1299079.0599999998</v>
      </c>
      <c r="H567" s="72">
        <v>827.1</v>
      </c>
      <c r="I567" s="72">
        <v>585.13</v>
      </c>
      <c r="J567" s="72">
        <v>241.97</v>
      </c>
      <c r="K567" s="8" t="s">
        <v>668</v>
      </c>
    </row>
    <row r="568" spans="1:11">
      <c r="A568" s="1">
        <v>565</v>
      </c>
      <c r="B568" s="13" t="s">
        <v>590</v>
      </c>
      <c r="C568" s="8" t="s">
        <v>4464</v>
      </c>
      <c r="D568" s="12" t="s">
        <v>36</v>
      </c>
      <c r="E568" s="11">
        <v>1336999</v>
      </c>
      <c r="F568" s="10">
        <f t="shared" si="20"/>
        <v>1296889.03</v>
      </c>
      <c r="G568" s="9">
        <f t="shared" si="21"/>
        <v>1256779.0599999998</v>
      </c>
      <c r="H568" s="72">
        <v>770.05</v>
      </c>
      <c r="I568" s="72">
        <v>571.03</v>
      </c>
      <c r="J568" s="72">
        <v>199.02</v>
      </c>
      <c r="K568" s="8" t="s">
        <v>668</v>
      </c>
    </row>
    <row r="569" spans="1:11">
      <c r="A569" s="1">
        <v>566</v>
      </c>
      <c r="B569" s="13" t="s">
        <v>591</v>
      </c>
      <c r="C569" s="8" t="s">
        <v>4464</v>
      </c>
      <c r="D569" s="12" t="s">
        <v>36</v>
      </c>
      <c r="E569" s="11">
        <v>1354999</v>
      </c>
      <c r="F569" s="10">
        <f t="shared" si="20"/>
        <v>1314349.03</v>
      </c>
      <c r="G569" s="9">
        <f t="shared" si="21"/>
        <v>1273699.0599999998</v>
      </c>
      <c r="H569" s="72">
        <v>750.78</v>
      </c>
      <c r="I569" s="72">
        <v>590.72</v>
      </c>
      <c r="J569" s="72">
        <v>160.06</v>
      </c>
      <c r="K569" s="8" t="s">
        <v>668</v>
      </c>
    </row>
    <row r="570" spans="1:11">
      <c r="A570" s="1">
        <v>567</v>
      </c>
      <c r="B570" s="13" t="s">
        <v>592</v>
      </c>
      <c r="C570" s="8" t="s">
        <v>4464</v>
      </c>
      <c r="D570" s="12" t="s">
        <v>36</v>
      </c>
      <c r="E570" s="11">
        <v>1354999</v>
      </c>
      <c r="F570" s="10">
        <f t="shared" si="20"/>
        <v>1314349.03</v>
      </c>
      <c r="G570" s="9">
        <f t="shared" si="21"/>
        <v>1273699.0599999998</v>
      </c>
      <c r="H570" s="72">
        <v>750.78</v>
      </c>
      <c r="I570" s="72">
        <v>590.72</v>
      </c>
      <c r="J570" s="72">
        <v>160.06</v>
      </c>
      <c r="K570" s="8" t="s">
        <v>668</v>
      </c>
    </row>
    <row r="571" spans="1:11">
      <c r="A571" s="1">
        <v>568</v>
      </c>
      <c r="B571" s="13" t="s">
        <v>593</v>
      </c>
      <c r="C571" s="8" t="s">
        <v>4464</v>
      </c>
      <c r="D571" s="12" t="s">
        <v>36</v>
      </c>
      <c r="E571" s="11">
        <v>1366999</v>
      </c>
      <c r="F571" s="10">
        <f t="shared" si="20"/>
        <v>1325989.03</v>
      </c>
      <c r="G571" s="9">
        <f t="shared" si="21"/>
        <v>1284979.0599999998</v>
      </c>
      <c r="H571" s="72">
        <v>754.55</v>
      </c>
      <c r="I571" s="72">
        <v>594.49</v>
      </c>
      <c r="J571" s="72">
        <v>160.06</v>
      </c>
      <c r="K571" s="8" t="s">
        <v>665</v>
      </c>
    </row>
    <row r="572" spans="1:11">
      <c r="A572" s="1">
        <v>569</v>
      </c>
      <c r="B572" s="13" t="s">
        <v>594</v>
      </c>
      <c r="C572" s="8" t="s">
        <v>4464</v>
      </c>
      <c r="D572" s="12" t="s">
        <v>36</v>
      </c>
      <c r="E572" s="11">
        <v>1372999</v>
      </c>
      <c r="F572" s="10">
        <f t="shared" si="20"/>
        <v>1331809.03</v>
      </c>
      <c r="G572" s="9">
        <f t="shared" si="21"/>
        <v>1290619.0599999998</v>
      </c>
      <c r="H572" s="72">
        <v>757.35</v>
      </c>
      <c r="I572" s="72">
        <v>597.29</v>
      </c>
      <c r="J572" s="72">
        <v>160.06</v>
      </c>
      <c r="K572" s="8" t="s">
        <v>665</v>
      </c>
    </row>
    <row r="573" spans="1:11">
      <c r="A573" s="1">
        <v>570</v>
      </c>
      <c r="B573" s="13" t="s">
        <v>595</v>
      </c>
      <c r="C573" s="8" t="s">
        <v>4464</v>
      </c>
      <c r="D573" s="12" t="s">
        <v>36</v>
      </c>
      <c r="E573" s="11">
        <v>1372999</v>
      </c>
      <c r="F573" s="10">
        <f t="shared" si="20"/>
        <v>1331809.03</v>
      </c>
      <c r="G573" s="9">
        <f t="shared" si="21"/>
        <v>1290619.0599999998</v>
      </c>
      <c r="H573" s="72">
        <v>757.35</v>
      </c>
      <c r="I573" s="72">
        <v>597.29</v>
      </c>
      <c r="J573" s="72">
        <v>160.06</v>
      </c>
      <c r="K573" s="8" t="s">
        <v>665</v>
      </c>
    </row>
    <row r="574" spans="1:11">
      <c r="A574" s="1">
        <v>571</v>
      </c>
      <c r="B574" s="13" t="s">
        <v>596</v>
      </c>
      <c r="C574" s="8" t="s">
        <v>4464</v>
      </c>
      <c r="D574" s="12" t="s">
        <v>36</v>
      </c>
      <c r="E574" s="11">
        <v>1372999</v>
      </c>
      <c r="F574" s="10">
        <f t="shared" si="20"/>
        <v>1331809.03</v>
      </c>
      <c r="G574" s="9">
        <f t="shared" si="21"/>
        <v>1290619.0599999998</v>
      </c>
      <c r="H574" s="72">
        <v>757.35</v>
      </c>
      <c r="I574" s="72">
        <v>597.29</v>
      </c>
      <c r="J574" s="72">
        <v>160.06</v>
      </c>
      <c r="K574" s="8" t="s">
        <v>665</v>
      </c>
    </row>
    <row r="575" spans="1:11">
      <c r="A575" s="1">
        <v>572</v>
      </c>
      <c r="B575" s="13" t="s">
        <v>597</v>
      </c>
      <c r="C575" s="8" t="s">
        <v>4464</v>
      </c>
      <c r="D575" s="12" t="s">
        <v>36</v>
      </c>
      <c r="E575" s="11">
        <v>1371999</v>
      </c>
      <c r="F575" s="10">
        <f t="shared" si="20"/>
        <v>1330839.03</v>
      </c>
      <c r="G575" s="9">
        <f t="shared" si="21"/>
        <v>1289679.0599999998</v>
      </c>
      <c r="H575" s="72">
        <v>757.13</v>
      </c>
      <c r="I575" s="72">
        <v>597.07000000000005</v>
      </c>
      <c r="J575" s="72">
        <v>160.06</v>
      </c>
      <c r="K575" s="8" t="s">
        <v>665</v>
      </c>
    </row>
    <row r="576" spans="1:11">
      <c r="A576" s="1">
        <v>573</v>
      </c>
      <c r="B576" s="13" t="s">
        <v>598</v>
      </c>
      <c r="C576" s="8" t="s">
        <v>10</v>
      </c>
      <c r="D576" s="12" t="s">
        <v>36</v>
      </c>
      <c r="E576" s="11">
        <v>1225999</v>
      </c>
      <c r="F576" s="10">
        <f t="shared" si="20"/>
        <v>1189219.03</v>
      </c>
      <c r="G576" s="9">
        <f t="shared" si="21"/>
        <v>1152439.0599999998</v>
      </c>
      <c r="H576" s="72">
        <v>571.78</v>
      </c>
      <c r="I576" s="72">
        <v>571.78</v>
      </c>
      <c r="J576" s="72">
        <v>0</v>
      </c>
      <c r="K576" s="8" t="s">
        <v>668</v>
      </c>
    </row>
    <row r="577" spans="1:11">
      <c r="A577" s="1">
        <v>574</v>
      </c>
      <c r="B577" s="13" t="s">
        <v>599</v>
      </c>
      <c r="C577" s="8" t="s">
        <v>4463</v>
      </c>
      <c r="D577" s="12" t="s">
        <v>36</v>
      </c>
      <c r="E577" s="11">
        <v>1292999</v>
      </c>
      <c r="F577" s="10">
        <f t="shared" si="20"/>
        <v>1254209.03</v>
      </c>
      <c r="G577" s="9">
        <f t="shared" si="21"/>
        <v>1215419.0599999998</v>
      </c>
      <c r="H577" s="72">
        <v>674.14</v>
      </c>
      <c r="I577" s="72">
        <v>567.79999999999995</v>
      </c>
      <c r="J577" s="72">
        <v>106.35</v>
      </c>
      <c r="K577" s="8" t="s">
        <v>665</v>
      </c>
    </row>
    <row r="578" spans="1:11">
      <c r="A578" s="1">
        <v>575</v>
      </c>
      <c r="B578" s="13" t="s">
        <v>600</v>
      </c>
      <c r="C578" s="8" t="s">
        <v>4463</v>
      </c>
      <c r="D578" s="12" t="s">
        <v>24</v>
      </c>
      <c r="E578" s="11">
        <v>2004999</v>
      </c>
      <c r="F578" s="10">
        <f t="shared" si="20"/>
        <v>1944849.03</v>
      </c>
      <c r="G578" s="9">
        <f t="shared" si="21"/>
        <v>1884699.0599999998</v>
      </c>
      <c r="H578" s="72">
        <v>1150.6600000000001</v>
      </c>
      <c r="I578" s="72">
        <v>826.13</v>
      </c>
      <c r="J578" s="72">
        <v>324.52999999999997</v>
      </c>
      <c r="K578" s="8" t="s">
        <v>666</v>
      </c>
    </row>
    <row r="579" spans="1:11">
      <c r="A579" s="1">
        <v>576</v>
      </c>
      <c r="B579" s="13" t="s">
        <v>601</v>
      </c>
      <c r="C579" s="8" t="s">
        <v>4463</v>
      </c>
      <c r="D579" s="12" t="s">
        <v>36</v>
      </c>
      <c r="E579" s="11">
        <v>1498999</v>
      </c>
      <c r="F579" s="10">
        <f t="shared" si="20"/>
        <v>1454029.03</v>
      </c>
      <c r="G579" s="9">
        <f t="shared" si="21"/>
        <v>1409059.0599999998</v>
      </c>
      <c r="H579" s="72">
        <v>934.42</v>
      </c>
      <c r="I579" s="72">
        <v>654.34</v>
      </c>
      <c r="J579" s="72">
        <v>280.08</v>
      </c>
      <c r="K579" s="8" t="s">
        <v>666</v>
      </c>
    </row>
    <row r="580" spans="1:11">
      <c r="A580" s="1">
        <v>577</v>
      </c>
      <c r="B580" s="13" t="s">
        <v>602</v>
      </c>
      <c r="C580" s="8" t="s">
        <v>4463</v>
      </c>
      <c r="D580" s="12" t="s">
        <v>36</v>
      </c>
      <c r="E580" s="11">
        <v>1506999</v>
      </c>
      <c r="F580" s="10">
        <f t="shared" si="20"/>
        <v>1461789.03</v>
      </c>
      <c r="G580" s="9">
        <f t="shared" si="21"/>
        <v>1416579.0599999998</v>
      </c>
      <c r="H580" s="72">
        <v>933.55</v>
      </c>
      <c r="I580" s="72">
        <v>654.34</v>
      </c>
      <c r="J580" s="72">
        <v>279.22000000000003</v>
      </c>
      <c r="K580" s="8" t="s">
        <v>665</v>
      </c>
    </row>
    <row r="581" spans="1:11">
      <c r="A581" s="1">
        <v>578</v>
      </c>
      <c r="B581" s="13" t="s">
        <v>4339</v>
      </c>
      <c r="C581" s="8" t="s">
        <v>4463</v>
      </c>
      <c r="D581" s="12" t="s">
        <v>36</v>
      </c>
      <c r="E581" s="11">
        <v>1260999</v>
      </c>
      <c r="F581" s="10">
        <f t="shared" si="20"/>
        <v>1223169.03</v>
      </c>
      <c r="G581" s="9">
        <f t="shared" si="21"/>
        <v>1185339.0599999998</v>
      </c>
      <c r="H581" s="72">
        <v>705.47</v>
      </c>
      <c r="I581" s="72">
        <v>541.64</v>
      </c>
      <c r="J581" s="72">
        <v>163.83000000000001</v>
      </c>
      <c r="K581" s="8" t="s">
        <v>666</v>
      </c>
    </row>
    <row r="582" spans="1:11">
      <c r="A582" s="1">
        <v>579</v>
      </c>
      <c r="B582" s="13" t="s">
        <v>603</v>
      </c>
      <c r="C582" s="8" t="s">
        <v>10</v>
      </c>
      <c r="D582" s="12" t="s">
        <v>36</v>
      </c>
      <c r="E582" s="11">
        <v>1331999</v>
      </c>
      <c r="F582" s="10">
        <f t="shared" si="20"/>
        <v>1292039.03</v>
      </c>
      <c r="G582" s="9">
        <f t="shared" si="21"/>
        <v>1252079.0599999998</v>
      </c>
      <c r="H582" s="72">
        <v>772.53</v>
      </c>
      <c r="I582" s="72">
        <v>574.79</v>
      </c>
      <c r="J582" s="72">
        <v>197.73</v>
      </c>
      <c r="K582" s="8" t="s">
        <v>668</v>
      </c>
    </row>
    <row r="583" spans="1:11">
      <c r="A583" s="1">
        <v>580</v>
      </c>
      <c r="B583" s="13" t="s">
        <v>5067</v>
      </c>
      <c r="C583" s="8" t="s">
        <v>4463</v>
      </c>
      <c r="D583" s="12" t="s">
        <v>35</v>
      </c>
      <c r="E583" s="11">
        <v>835999</v>
      </c>
      <c r="F583" s="10">
        <f t="shared" si="20"/>
        <v>810919.03</v>
      </c>
      <c r="G583" s="9">
        <f t="shared" si="21"/>
        <v>785839.05999999994</v>
      </c>
      <c r="H583" s="72">
        <v>332.39</v>
      </c>
      <c r="I583" s="72">
        <v>332.39</v>
      </c>
      <c r="J583" s="72">
        <v>0</v>
      </c>
      <c r="K583" s="8" t="s">
        <v>665</v>
      </c>
    </row>
    <row r="584" spans="1:11">
      <c r="A584" s="1">
        <v>581</v>
      </c>
      <c r="B584" s="13" t="s">
        <v>604</v>
      </c>
      <c r="C584" s="8" t="s">
        <v>4463</v>
      </c>
      <c r="D584" s="12" t="s">
        <v>36</v>
      </c>
      <c r="E584" s="11">
        <v>1436999</v>
      </c>
      <c r="F584" s="10">
        <f t="shared" si="20"/>
        <v>1393889.03</v>
      </c>
      <c r="G584" s="9">
        <f t="shared" si="21"/>
        <v>1350779.0599999998</v>
      </c>
      <c r="H584" s="72">
        <v>850.24</v>
      </c>
      <c r="I584" s="72">
        <v>628.94000000000005</v>
      </c>
      <c r="J584" s="72">
        <v>221.31</v>
      </c>
      <c r="K584" s="8" t="s">
        <v>665</v>
      </c>
    </row>
    <row r="585" spans="1:11">
      <c r="A585" s="1">
        <v>582</v>
      </c>
      <c r="B585" s="13" t="s">
        <v>605</v>
      </c>
      <c r="C585" s="8" t="s">
        <v>4463</v>
      </c>
      <c r="D585" s="12" t="s">
        <v>36</v>
      </c>
      <c r="E585" s="11">
        <v>1324999</v>
      </c>
      <c r="F585" s="10">
        <f t="shared" si="20"/>
        <v>1285249.03</v>
      </c>
      <c r="G585" s="9">
        <f t="shared" si="21"/>
        <v>1245499.0599999998</v>
      </c>
      <c r="H585" s="72">
        <v>612.36</v>
      </c>
      <c r="I585" s="72">
        <v>612.36</v>
      </c>
      <c r="J585" s="72">
        <v>0</v>
      </c>
      <c r="K585" s="8" t="s">
        <v>666</v>
      </c>
    </row>
    <row r="586" spans="1:11">
      <c r="A586" s="1">
        <v>583</v>
      </c>
      <c r="B586" s="13" t="s">
        <v>606</v>
      </c>
      <c r="C586" s="8" t="s">
        <v>4463</v>
      </c>
      <c r="D586" s="12" t="s">
        <v>36</v>
      </c>
      <c r="E586" s="11">
        <v>1314999</v>
      </c>
      <c r="F586" s="10">
        <f t="shared" si="20"/>
        <v>1275549.03</v>
      </c>
      <c r="G586" s="9">
        <f t="shared" si="21"/>
        <v>1236099.0599999998</v>
      </c>
      <c r="H586" s="72">
        <v>728.07</v>
      </c>
      <c r="I586" s="72">
        <v>567.58000000000004</v>
      </c>
      <c r="J586" s="72">
        <v>160.49</v>
      </c>
      <c r="K586" s="8" t="s">
        <v>666</v>
      </c>
    </row>
    <row r="587" spans="1:11">
      <c r="A587" s="1">
        <v>584</v>
      </c>
      <c r="B587" s="13" t="s">
        <v>607</v>
      </c>
      <c r="C587" s="8" t="s">
        <v>4463</v>
      </c>
      <c r="D587" s="12" t="s">
        <v>36</v>
      </c>
      <c r="E587" s="11">
        <v>1433999</v>
      </c>
      <c r="F587" s="10">
        <f t="shared" si="20"/>
        <v>1390979.03</v>
      </c>
      <c r="G587" s="9">
        <f t="shared" si="21"/>
        <v>1347959.0599999998</v>
      </c>
      <c r="H587" s="72">
        <v>1044.21</v>
      </c>
      <c r="I587" s="72">
        <v>574.69000000000005</v>
      </c>
      <c r="J587" s="72">
        <v>469.52</v>
      </c>
      <c r="K587" s="8" t="s">
        <v>667</v>
      </c>
    </row>
    <row r="588" spans="1:11">
      <c r="A588" s="1">
        <v>585</v>
      </c>
      <c r="B588" s="13" t="s">
        <v>608</v>
      </c>
      <c r="C588" s="8" t="s">
        <v>4463</v>
      </c>
      <c r="D588" s="12" t="s">
        <v>36</v>
      </c>
      <c r="E588" s="11">
        <v>1380999</v>
      </c>
      <c r="F588" s="10">
        <f t="shared" si="20"/>
        <v>1339569.03</v>
      </c>
      <c r="G588" s="9">
        <f t="shared" si="21"/>
        <v>1298139.0599999998</v>
      </c>
      <c r="H588" s="72">
        <v>827.1</v>
      </c>
      <c r="I588" s="72">
        <v>585.13</v>
      </c>
      <c r="J588" s="72">
        <v>241.97</v>
      </c>
      <c r="K588" s="8" t="s">
        <v>668</v>
      </c>
    </row>
    <row r="589" spans="1:11">
      <c r="A589" s="1">
        <v>586</v>
      </c>
      <c r="B589" s="13" t="s">
        <v>609</v>
      </c>
      <c r="C589" s="8" t="s">
        <v>10</v>
      </c>
      <c r="D589" s="12" t="s">
        <v>36</v>
      </c>
      <c r="E589" s="11">
        <v>1362999</v>
      </c>
      <c r="F589" s="10">
        <f t="shared" si="20"/>
        <v>1322109.03</v>
      </c>
      <c r="G589" s="9">
        <f t="shared" si="21"/>
        <v>1281219.0599999998</v>
      </c>
      <c r="H589" s="72">
        <v>816.01</v>
      </c>
      <c r="I589" s="72">
        <v>585.13</v>
      </c>
      <c r="J589" s="72">
        <v>230.89</v>
      </c>
      <c r="K589" s="8" t="s">
        <v>668</v>
      </c>
    </row>
    <row r="590" spans="1:11">
      <c r="A590" s="1">
        <v>587</v>
      </c>
      <c r="B590" s="13" t="s">
        <v>610</v>
      </c>
      <c r="C590" s="8" t="s">
        <v>4463</v>
      </c>
      <c r="D590" s="12" t="s">
        <v>36</v>
      </c>
      <c r="E590" s="11">
        <v>1335999</v>
      </c>
      <c r="F590" s="10">
        <f t="shared" si="20"/>
        <v>1295919.03</v>
      </c>
      <c r="G590" s="9">
        <f t="shared" si="21"/>
        <v>1255839.0599999998</v>
      </c>
      <c r="H590" s="72">
        <v>770.05</v>
      </c>
      <c r="I590" s="72">
        <v>571.03</v>
      </c>
      <c r="J590" s="72">
        <v>199.02</v>
      </c>
      <c r="K590" s="8" t="s">
        <v>668</v>
      </c>
    </row>
    <row r="591" spans="1:11">
      <c r="A591" s="1">
        <v>588</v>
      </c>
      <c r="B591" s="13" t="s">
        <v>611</v>
      </c>
      <c r="C591" s="8" t="s">
        <v>4463</v>
      </c>
      <c r="D591" s="12" t="s">
        <v>36</v>
      </c>
      <c r="E591" s="11">
        <v>1354999</v>
      </c>
      <c r="F591" s="10">
        <f t="shared" si="20"/>
        <v>1314349.03</v>
      </c>
      <c r="G591" s="9">
        <f t="shared" si="21"/>
        <v>1273699.0599999998</v>
      </c>
      <c r="H591" s="72">
        <v>750.78</v>
      </c>
      <c r="I591" s="72">
        <v>590.72</v>
      </c>
      <c r="J591" s="72">
        <v>160.06</v>
      </c>
      <c r="K591" s="8" t="s">
        <v>668</v>
      </c>
    </row>
    <row r="592" spans="1:11">
      <c r="A592" s="1">
        <v>589</v>
      </c>
      <c r="B592" s="13" t="s">
        <v>612</v>
      </c>
      <c r="C592" s="8" t="s">
        <v>4463</v>
      </c>
      <c r="D592" s="12" t="s">
        <v>36</v>
      </c>
      <c r="E592" s="11">
        <v>1354999</v>
      </c>
      <c r="F592" s="10">
        <f t="shared" si="20"/>
        <v>1314349.03</v>
      </c>
      <c r="G592" s="9">
        <f t="shared" si="21"/>
        <v>1273699.0599999998</v>
      </c>
      <c r="H592" s="72">
        <v>750.78</v>
      </c>
      <c r="I592" s="72">
        <v>590.72</v>
      </c>
      <c r="J592" s="72">
        <v>160.06</v>
      </c>
      <c r="K592" s="8" t="s">
        <v>668</v>
      </c>
    </row>
    <row r="593" spans="1:11">
      <c r="A593" s="1">
        <v>590</v>
      </c>
      <c r="B593" s="13" t="s">
        <v>613</v>
      </c>
      <c r="C593" s="8" t="s">
        <v>10</v>
      </c>
      <c r="D593" s="12" t="s">
        <v>36</v>
      </c>
      <c r="E593" s="11">
        <v>1261999</v>
      </c>
      <c r="F593" s="10">
        <f t="shared" si="20"/>
        <v>1224139.03</v>
      </c>
      <c r="G593" s="9">
        <f t="shared" si="21"/>
        <v>1186279.0599999998</v>
      </c>
      <c r="H593" s="72">
        <v>640.55999999999995</v>
      </c>
      <c r="I593" s="72">
        <v>571.03</v>
      </c>
      <c r="J593" s="72">
        <v>69.53</v>
      </c>
      <c r="K593" s="8" t="s">
        <v>668</v>
      </c>
    </row>
    <row r="594" spans="1:11">
      <c r="A594" s="1">
        <v>591</v>
      </c>
      <c r="B594" s="13" t="s">
        <v>614</v>
      </c>
      <c r="C594" s="8" t="s">
        <v>4463</v>
      </c>
      <c r="D594" s="12" t="s">
        <v>36</v>
      </c>
      <c r="E594" s="11">
        <v>1371999</v>
      </c>
      <c r="F594" s="10">
        <f t="shared" si="20"/>
        <v>1330839.03</v>
      </c>
      <c r="G594" s="9">
        <f t="shared" si="21"/>
        <v>1289679.0599999998</v>
      </c>
      <c r="H594" s="72">
        <v>757.35</v>
      </c>
      <c r="I594" s="72">
        <v>597.29</v>
      </c>
      <c r="J594" s="72">
        <v>160.06</v>
      </c>
      <c r="K594" s="8" t="s">
        <v>665</v>
      </c>
    </row>
    <row r="595" spans="1:11">
      <c r="A595" s="1">
        <v>592</v>
      </c>
      <c r="B595" s="13" t="s">
        <v>615</v>
      </c>
      <c r="C595" s="8" t="s">
        <v>4463</v>
      </c>
      <c r="D595" s="12" t="s">
        <v>36</v>
      </c>
      <c r="E595" s="11">
        <v>1371999</v>
      </c>
      <c r="F595" s="10">
        <f t="shared" si="20"/>
        <v>1330839.03</v>
      </c>
      <c r="G595" s="9">
        <f t="shared" si="21"/>
        <v>1289679.0599999998</v>
      </c>
      <c r="H595" s="72">
        <v>757.35</v>
      </c>
      <c r="I595" s="72">
        <v>597.29</v>
      </c>
      <c r="J595" s="72">
        <v>160.06</v>
      </c>
      <c r="K595" s="8" t="s">
        <v>665</v>
      </c>
    </row>
    <row r="596" spans="1:11">
      <c r="A596" s="1">
        <v>593</v>
      </c>
      <c r="B596" s="13" t="s">
        <v>616</v>
      </c>
      <c r="C596" s="8" t="s">
        <v>4463</v>
      </c>
      <c r="D596" s="12" t="s">
        <v>36</v>
      </c>
      <c r="E596" s="11">
        <v>1371999</v>
      </c>
      <c r="F596" s="10">
        <f t="shared" si="20"/>
        <v>1330839.03</v>
      </c>
      <c r="G596" s="9">
        <f t="shared" si="21"/>
        <v>1289679.0599999998</v>
      </c>
      <c r="H596" s="72">
        <v>757.35</v>
      </c>
      <c r="I596" s="72">
        <v>597.29</v>
      </c>
      <c r="J596" s="72">
        <v>160.06</v>
      </c>
      <c r="K596" s="8" t="s">
        <v>665</v>
      </c>
    </row>
    <row r="597" spans="1:11">
      <c r="A597" s="1">
        <v>594</v>
      </c>
      <c r="B597" s="13" t="s">
        <v>617</v>
      </c>
      <c r="C597" s="8" t="s">
        <v>4463</v>
      </c>
      <c r="D597" s="12" t="s">
        <v>36</v>
      </c>
      <c r="E597" s="11">
        <v>1371999</v>
      </c>
      <c r="F597" s="10">
        <f t="shared" si="20"/>
        <v>1330839.03</v>
      </c>
      <c r="G597" s="9">
        <f t="shared" si="21"/>
        <v>1289679.0599999998</v>
      </c>
      <c r="H597" s="72">
        <v>757.13</v>
      </c>
      <c r="I597" s="72">
        <v>597.07000000000005</v>
      </c>
      <c r="J597" s="72">
        <v>160.06</v>
      </c>
      <c r="K597" s="8" t="s">
        <v>665</v>
      </c>
    </row>
    <row r="598" spans="1:11">
      <c r="A598" s="1">
        <v>595</v>
      </c>
      <c r="B598" s="13" t="s">
        <v>4627</v>
      </c>
      <c r="C598" s="8" t="s">
        <v>10</v>
      </c>
      <c r="D598" s="12" t="s">
        <v>35</v>
      </c>
      <c r="E598" s="11">
        <v>804999</v>
      </c>
      <c r="F598" s="10">
        <f t="shared" si="20"/>
        <v>780849.03</v>
      </c>
      <c r="G598" s="9">
        <f t="shared" si="21"/>
        <v>756699.05999999994</v>
      </c>
      <c r="H598" s="72">
        <v>389.12</v>
      </c>
      <c r="I598" s="72">
        <v>309.57</v>
      </c>
      <c r="J598" s="72">
        <v>79.55</v>
      </c>
      <c r="K598" s="8" t="s">
        <v>668</v>
      </c>
    </row>
    <row r="599" spans="1:11">
      <c r="A599" s="1">
        <v>596</v>
      </c>
      <c r="B599" s="13" t="s">
        <v>618</v>
      </c>
      <c r="C599" s="8" t="s">
        <v>10</v>
      </c>
      <c r="D599" s="12" t="s">
        <v>36</v>
      </c>
      <c r="E599" s="11">
        <v>1346999</v>
      </c>
      <c r="F599" s="10">
        <f t="shared" si="20"/>
        <v>1306589.03</v>
      </c>
      <c r="G599" s="9">
        <f t="shared" si="21"/>
        <v>1266179.0599999998</v>
      </c>
      <c r="H599" s="72">
        <v>750.78</v>
      </c>
      <c r="I599" s="72">
        <v>590.72</v>
      </c>
      <c r="J599" s="72">
        <v>160.06</v>
      </c>
      <c r="K599" s="8" t="s">
        <v>668</v>
      </c>
    </row>
    <row r="600" spans="1:11">
      <c r="A600" s="1">
        <v>597</v>
      </c>
      <c r="B600" s="13" t="s">
        <v>619</v>
      </c>
      <c r="C600" s="8" t="s">
        <v>10</v>
      </c>
      <c r="D600" s="12" t="s">
        <v>36</v>
      </c>
      <c r="E600" s="11">
        <v>1346999</v>
      </c>
      <c r="F600" s="10">
        <f t="shared" si="20"/>
        <v>1306589.03</v>
      </c>
      <c r="G600" s="9">
        <f t="shared" si="21"/>
        <v>1266179.0599999998</v>
      </c>
      <c r="H600" s="72">
        <v>750.78</v>
      </c>
      <c r="I600" s="72">
        <v>590.72</v>
      </c>
      <c r="J600" s="72">
        <v>160.06</v>
      </c>
      <c r="K600" s="8" t="s">
        <v>668</v>
      </c>
    </row>
    <row r="601" spans="1:11">
      <c r="A601" s="1">
        <v>598</v>
      </c>
      <c r="B601" s="13" t="s">
        <v>620</v>
      </c>
      <c r="C601" s="8" t="s">
        <v>10</v>
      </c>
      <c r="D601" s="12" t="s">
        <v>36</v>
      </c>
      <c r="E601" s="11">
        <v>1537033.54</v>
      </c>
      <c r="F601" s="10">
        <f t="shared" si="20"/>
        <v>1490922.5338000001</v>
      </c>
      <c r="G601" s="9">
        <f t="shared" si="21"/>
        <v>1444811.5275999999</v>
      </c>
      <c r="H601" s="72">
        <v>856.7</v>
      </c>
      <c r="I601" s="72">
        <v>596.75</v>
      </c>
      <c r="J601" s="72">
        <v>259.95</v>
      </c>
      <c r="K601" s="8" t="s">
        <v>668</v>
      </c>
    </row>
    <row r="602" spans="1:11">
      <c r="A602" s="1">
        <v>599</v>
      </c>
      <c r="B602" s="13" t="s">
        <v>621</v>
      </c>
      <c r="C602" s="8" t="s">
        <v>10</v>
      </c>
      <c r="D602" s="12" t="s">
        <v>36</v>
      </c>
      <c r="E602" s="11">
        <v>1370999</v>
      </c>
      <c r="F602" s="10">
        <f t="shared" si="20"/>
        <v>1329869.03</v>
      </c>
      <c r="G602" s="9">
        <f t="shared" si="21"/>
        <v>1288739.0599999998</v>
      </c>
      <c r="H602" s="72">
        <v>762.73</v>
      </c>
      <c r="I602" s="72">
        <v>602.66999999999996</v>
      </c>
      <c r="J602" s="72">
        <v>160.06</v>
      </c>
      <c r="K602" s="8" t="s">
        <v>665</v>
      </c>
    </row>
    <row r="603" spans="1:11">
      <c r="A603" s="1">
        <v>600</v>
      </c>
      <c r="B603" s="13" t="s">
        <v>622</v>
      </c>
      <c r="C603" s="8" t="s">
        <v>10</v>
      </c>
      <c r="D603" s="12" t="s">
        <v>36</v>
      </c>
      <c r="E603" s="11">
        <v>1359999</v>
      </c>
      <c r="F603" s="10">
        <f t="shared" si="20"/>
        <v>1319199.03</v>
      </c>
      <c r="G603" s="9">
        <f t="shared" si="21"/>
        <v>1278399.0599999998</v>
      </c>
      <c r="H603" s="72">
        <v>757.35</v>
      </c>
      <c r="I603" s="72">
        <v>597.29</v>
      </c>
      <c r="J603" s="72">
        <v>160.06</v>
      </c>
      <c r="K603" s="8" t="s">
        <v>665</v>
      </c>
    </row>
    <row r="604" spans="1:11">
      <c r="A604" s="1">
        <v>601</v>
      </c>
      <c r="B604" s="13" t="s">
        <v>623</v>
      </c>
      <c r="C604" s="8" t="s">
        <v>10</v>
      </c>
      <c r="D604" s="12" t="s">
        <v>36</v>
      </c>
      <c r="E604" s="11">
        <v>1359999</v>
      </c>
      <c r="F604" s="10">
        <f t="shared" si="20"/>
        <v>1319199.03</v>
      </c>
      <c r="G604" s="9">
        <f t="shared" si="21"/>
        <v>1278399.0599999998</v>
      </c>
      <c r="H604" s="72">
        <v>757.13</v>
      </c>
      <c r="I604" s="72">
        <v>597.07000000000005</v>
      </c>
      <c r="J604" s="72">
        <v>160.06</v>
      </c>
      <c r="K604" s="8" t="s">
        <v>665</v>
      </c>
    </row>
    <row r="605" spans="1:11">
      <c r="A605" s="1">
        <v>602</v>
      </c>
      <c r="B605" s="13" t="s">
        <v>1137</v>
      </c>
      <c r="C605" s="8" t="s">
        <v>4495</v>
      </c>
      <c r="D605" s="12" t="s">
        <v>36</v>
      </c>
      <c r="E605" s="11">
        <v>1524999</v>
      </c>
      <c r="F605" s="10">
        <f t="shared" si="20"/>
        <v>1479249.03</v>
      </c>
      <c r="G605" s="9">
        <f t="shared" si="21"/>
        <v>1433499.0599999998</v>
      </c>
      <c r="H605" s="72">
        <v>1624.7</v>
      </c>
      <c r="I605" s="72">
        <v>567.69000000000005</v>
      </c>
      <c r="J605" s="72">
        <v>1057.02</v>
      </c>
      <c r="K605" s="8" t="s">
        <v>665</v>
      </c>
    </row>
    <row r="606" spans="1:11">
      <c r="A606" s="1">
        <v>603</v>
      </c>
      <c r="B606" s="13" t="s">
        <v>4889</v>
      </c>
      <c r="C606" s="8" t="s">
        <v>4495</v>
      </c>
      <c r="D606" s="12" t="s">
        <v>24</v>
      </c>
      <c r="E606" s="11">
        <v>2141999</v>
      </c>
      <c r="F606" s="10">
        <f t="shared" si="20"/>
        <v>2077739.03</v>
      </c>
      <c r="G606" s="9">
        <f t="shared" si="21"/>
        <v>2013479.0599999998</v>
      </c>
      <c r="H606" s="72">
        <v>2038.25</v>
      </c>
      <c r="I606" s="72">
        <v>826.13</v>
      </c>
      <c r="J606" s="72">
        <v>1212.1199999999999</v>
      </c>
      <c r="K606" s="8" t="s">
        <v>666</v>
      </c>
    </row>
    <row r="607" spans="1:11">
      <c r="A607" s="1">
        <v>604</v>
      </c>
      <c r="B607" s="13" t="s">
        <v>1138</v>
      </c>
      <c r="C607" s="8" t="s">
        <v>4495</v>
      </c>
      <c r="D607" s="12" t="s">
        <v>36</v>
      </c>
      <c r="E607" s="11">
        <v>1497999</v>
      </c>
      <c r="F607" s="10">
        <f t="shared" si="20"/>
        <v>1453059.03</v>
      </c>
      <c r="G607" s="9">
        <f t="shared" si="21"/>
        <v>1408119.0599999998</v>
      </c>
      <c r="H607" s="72">
        <v>934.42</v>
      </c>
      <c r="I607" s="72">
        <v>654.34</v>
      </c>
      <c r="J607" s="72">
        <v>280.08</v>
      </c>
      <c r="K607" s="8" t="s">
        <v>666</v>
      </c>
    </row>
    <row r="608" spans="1:11">
      <c r="A608" s="1">
        <v>605</v>
      </c>
      <c r="B608" s="13" t="s">
        <v>1139</v>
      </c>
      <c r="C608" s="8" t="s">
        <v>4495</v>
      </c>
      <c r="D608" s="12" t="s">
        <v>36</v>
      </c>
      <c r="E608" s="11">
        <v>1504999</v>
      </c>
      <c r="F608" s="10">
        <f t="shared" si="20"/>
        <v>1459849.03</v>
      </c>
      <c r="G608" s="9">
        <f t="shared" si="21"/>
        <v>1414699.0599999998</v>
      </c>
      <c r="H608" s="72">
        <v>933.66</v>
      </c>
      <c r="I608" s="72">
        <v>654.45000000000005</v>
      </c>
      <c r="J608" s="72">
        <v>279.22000000000003</v>
      </c>
      <c r="K608" s="8" t="s">
        <v>665</v>
      </c>
    </row>
    <row r="609" spans="1:11">
      <c r="A609" s="1">
        <v>606</v>
      </c>
      <c r="B609" s="13" t="s">
        <v>1140</v>
      </c>
      <c r="C609" s="8" t="s">
        <v>4495</v>
      </c>
      <c r="D609" s="12" t="s">
        <v>36</v>
      </c>
      <c r="E609" s="11">
        <v>1317999</v>
      </c>
      <c r="F609" s="10">
        <f t="shared" si="20"/>
        <v>1278459.03</v>
      </c>
      <c r="G609" s="9">
        <f t="shared" si="21"/>
        <v>1238919.0599999998</v>
      </c>
      <c r="H609" s="72">
        <v>721.61</v>
      </c>
      <c r="I609" s="72">
        <v>568.12</v>
      </c>
      <c r="J609" s="72">
        <v>153.49</v>
      </c>
      <c r="K609" s="8" t="s">
        <v>665</v>
      </c>
    </row>
    <row r="610" spans="1:11">
      <c r="A610" s="1">
        <v>607</v>
      </c>
      <c r="B610" s="13" t="s">
        <v>1141</v>
      </c>
      <c r="C610" s="8" t="s">
        <v>4495</v>
      </c>
      <c r="D610" s="12" t="s">
        <v>36</v>
      </c>
      <c r="E610" s="11">
        <v>1258999</v>
      </c>
      <c r="F610" s="10">
        <f t="shared" si="20"/>
        <v>1221229.03</v>
      </c>
      <c r="G610" s="9">
        <f t="shared" si="21"/>
        <v>1183459.0599999998</v>
      </c>
      <c r="H610" s="72">
        <v>705.47</v>
      </c>
      <c r="I610" s="72">
        <v>541.64</v>
      </c>
      <c r="J610" s="72">
        <v>163.83000000000001</v>
      </c>
      <c r="K610" s="8" t="s">
        <v>666</v>
      </c>
    </row>
    <row r="611" spans="1:11">
      <c r="A611" s="1">
        <v>608</v>
      </c>
      <c r="B611" s="13" t="s">
        <v>1142</v>
      </c>
      <c r="C611" s="8" t="s">
        <v>4495</v>
      </c>
      <c r="D611" s="12" t="s">
        <v>36</v>
      </c>
      <c r="E611" s="11">
        <v>1267999</v>
      </c>
      <c r="F611" s="10">
        <f t="shared" si="20"/>
        <v>1229959.03</v>
      </c>
      <c r="G611" s="9">
        <f t="shared" si="21"/>
        <v>1191919.0599999998</v>
      </c>
      <c r="H611" s="72">
        <v>700.62</v>
      </c>
      <c r="I611" s="72">
        <v>544.87</v>
      </c>
      <c r="J611" s="72">
        <v>155.75</v>
      </c>
      <c r="K611" s="8" t="s">
        <v>665</v>
      </c>
    </row>
    <row r="612" spans="1:11">
      <c r="A612" s="1">
        <v>609</v>
      </c>
      <c r="B612" s="13" t="s">
        <v>5068</v>
      </c>
      <c r="C612" s="8" t="s">
        <v>4495</v>
      </c>
      <c r="D612" s="12" t="s">
        <v>35</v>
      </c>
      <c r="E612" s="11">
        <v>834999</v>
      </c>
      <c r="F612" s="10">
        <f t="shared" si="20"/>
        <v>809949.03</v>
      </c>
      <c r="G612" s="9">
        <f t="shared" si="21"/>
        <v>784899.05999999994</v>
      </c>
      <c r="H612" s="72">
        <v>332.39</v>
      </c>
      <c r="I612" s="72">
        <v>332.39</v>
      </c>
      <c r="J612" s="72">
        <v>0</v>
      </c>
      <c r="K612" s="8" t="s">
        <v>665</v>
      </c>
    </row>
    <row r="613" spans="1:11">
      <c r="A613" s="1">
        <v>610</v>
      </c>
      <c r="B613" s="13" t="s">
        <v>1143</v>
      </c>
      <c r="C613" s="8" t="s">
        <v>4495</v>
      </c>
      <c r="D613" s="12" t="s">
        <v>36</v>
      </c>
      <c r="E613" s="11">
        <v>1434999</v>
      </c>
      <c r="F613" s="10">
        <f t="shared" si="20"/>
        <v>1391949.03</v>
      </c>
      <c r="G613" s="9">
        <f t="shared" si="21"/>
        <v>1348899.0599999998</v>
      </c>
      <c r="H613" s="72">
        <v>850.24</v>
      </c>
      <c r="I613" s="72">
        <v>628.94000000000005</v>
      </c>
      <c r="J613" s="72">
        <v>221.31</v>
      </c>
      <c r="K613" s="8" t="s">
        <v>665</v>
      </c>
    </row>
    <row r="614" spans="1:11">
      <c r="A614" s="1">
        <v>611</v>
      </c>
      <c r="B614" s="13" t="s">
        <v>1144</v>
      </c>
      <c r="C614" s="8" t="s">
        <v>4495</v>
      </c>
      <c r="D614" s="12" t="s">
        <v>36</v>
      </c>
      <c r="E614" s="11">
        <v>1323999</v>
      </c>
      <c r="F614" s="10">
        <f t="shared" si="20"/>
        <v>1284279.03</v>
      </c>
      <c r="G614" s="9">
        <f t="shared" si="21"/>
        <v>1244559.0599999998</v>
      </c>
      <c r="H614" s="72">
        <v>612.36</v>
      </c>
      <c r="I614" s="72">
        <v>612.36</v>
      </c>
      <c r="J614" s="72">
        <v>0</v>
      </c>
      <c r="K614" s="8" t="s">
        <v>666</v>
      </c>
    </row>
    <row r="615" spans="1:11">
      <c r="A615" s="1">
        <v>612</v>
      </c>
      <c r="B615" s="13" t="s">
        <v>1145</v>
      </c>
      <c r="C615" s="8" t="s">
        <v>4495</v>
      </c>
      <c r="D615" s="12" t="s">
        <v>36</v>
      </c>
      <c r="E615" s="11">
        <v>1313999</v>
      </c>
      <c r="F615" s="10">
        <f t="shared" si="20"/>
        <v>1274579.03</v>
      </c>
      <c r="G615" s="9">
        <f t="shared" si="21"/>
        <v>1235159.0599999998</v>
      </c>
      <c r="H615" s="72">
        <v>728.07</v>
      </c>
      <c r="I615" s="72">
        <v>567.58000000000004</v>
      </c>
      <c r="J615" s="72">
        <v>160.49</v>
      </c>
      <c r="K615" s="8" t="s">
        <v>666</v>
      </c>
    </row>
    <row r="616" spans="1:11">
      <c r="A616" s="1">
        <v>613</v>
      </c>
      <c r="B616" s="13" t="s">
        <v>1146</v>
      </c>
      <c r="C616" s="8" t="s">
        <v>4495</v>
      </c>
      <c r="D616" s="12" t="s">
        <v>36</v>
      </c>
      <c r="E616" s="11">
        <v>1432999</v>
      </c>
      <c r="F616" s="10">
        <f t="shared" si="20"/>
        <v>1390009.03</v>
      </c>
      <c r="G616" s="9">
        <f t="shared" si="21"/>
        <v>1347019.0599999998</v>
      </c>
      <c r="H616" s="72">
        <v>1044.21</v>
      </c>
      <c r="I616" s="72">
        <v>574.69000000000005</v>
      </c>
      <c r="J616" s="72">
        <v>469.52</v>
      </c>
      <c r="K616" s="8" t="s">
        <v>667</v>
      </c>
    </row>
    <row r="617" spans="1:11">
      <c r="A617" s="1">
        <v>614</v>
      </c>
      <c r="B617" s="13" t="s">
        <v>1147</v>
      </c>
      <c r="C617" s="8" t="s">
        <v>4495</v>
      </c>
      <c r="D617" s="12" t="s">
        <v>36</v>
      </c>
      <c r="E617" s="11">
        <v>1375999</v>
      </c>
      <c r="F617" s="10">
        <f t="shared" si="20"/>
        <v>1334719.03</v>
      </c>
      <c r="G617" s="9">
        <f t="shared" si="21"/>
        <v>1293439.0599999998</v>
      </c>
      <c r="H617" s="72">
        <v>821.61</v>
      </c>
      <c r="I617" s="72">
        <v>585.13</v>
      </c>
      <c r="J617" s="72">
        <v>236.48</v>
      </c>
      <c r="K617" s="8" t="s">
        <v>668</v>
      </c>
    </row>
    <row r="618" spans="1:11">
      <c r="A618" s="1">
        <v>615</v>
      </c>
      <c r="B618" s="13" t="s">
        <v>1148</v>
      </c>
      <c r="C618" s="8" t="s">
        <v>4495</v>
      </c>
      <c r="D618" s="12" t="s">
        <v>36</v>
      </c>
      <c r="E618" s="11">
        <v>1337999</v>
      </c>
      <c r="F618" s="10">
        <f t="shared" si="20"/>
        <v>1297859.03</v>
      </c>
      <c r="G618" s="9">
        <f t="shared" si="21"/>
        <v>1257719.0599999998</v>
      </c>
      <c r="H618" s="72">
        <v>775.54</v>
      </c>
      <c r="I618" s="72">
        <v>571.03</v>
      </c>
      <c r="J618" s="72">
        <v>204.51</v>
      </c>
      <c r="K618" s="8" t="s">
        <v>668</v>
      </c>
    </row>
    <row r="619" spans="1:11">
      <c r="A619" s="1">
        <v>616</v>
      </c>
      <c r="B619" s="13" t="s">
        <v>1149</v>
      </c>
      <c r="C619" s="8" t="s">
        <v>4495</v>
      </c>
      <c r="D619" s="12" t="s">
        <v>36</v>
      </c>
      <c r="E619" s="11">
        <v>1353999</v>
      </c>
      <c r="F619" s="10">
        <f t="shared" si="20"/>
        <v>1313379.03</v>
      </c>
      <c r="G619" s="9">
        <f t="shared" si="21"/>
        <v>1272759.0599999998</v>
      </c>
      <c r="H619" s="72">
        <v>750.78</v>
      </c>
      <c r="I619" s="72">
        <v>590.72</v>
      </c>
      <c r="J619" s="72">
        <v>160.06</v>
      </c>
      <c r="K619" s="8" t="s">
        <v>668</v>
      </c>
    </row>
    <row r="620" spans="1:11">
      <c r="A620" s="1">
        <v>617</v>
      </c>
      <c r="B620" s="13" t="s">
        <v>1150</v>
      </c>
      <c r="C620" s="8" t="s">
        <v>4495</v>
      </c>
      <c r="D620" s="12" t="s">
        <v>36</v>
      </c>
      <c r="E620" s="11">
        <v>1353999</v>
      </c>
      <c r="F620" s="10">
        <f t="shared" si="20"/>
        <v>1313379.03</v>
      </c>
      <c r="G620" s="9">
        <f t="shared" si="21"/>
        <v>1272759.0599999998</v>
      </c>
      <c r="H620" s="72">
        <v>750.78</v>
      </c>
      <c r="I620" s="72">
        <v>590.72</v>
      </c>
      <c r="J620" s="72">
        <v>160.06</v>
      </c>
      <c r="K620" s="8" t="s">
        <v>668</v>
      </c>
    </row>
    <row r="621" spans="1:11">
      <c r="A621" s="1">
        <v>618</v>
      </c>
      <c r="B621" s="13" t="s">
        <v>1151</v>
      </c>
      <c r="C621" s="8" t="s">
        <v>4495</v>
      </c>
      <c r="D621" s="12" t="s">
        <v>863</v>
      </c>
      <c r="E621" s="11">
        <v>1607999</v>
      </c>
      <c r="F621" s="10">
        <f t="shared" ref="F621:F654" si="22">E621*0.97</f>
        <v>1559759.03</v>
      </c>
      <c r="G621" s="9">
        <f t="shared" ref="G621:G654" si="23">E621*0.94</f>
        <v>1511519.0599999998</v>
      </c>
      <c r="H621" s="72">
        <v>1260.67</v>
      </c>
      <c r="I621" s="72">
        <v>643.25</v>
      </c>
      <c r="J621" s="72">
        <v>617.41999999999996</v>
      </c>
      <c r="K621" s="8" t="s">
        <v>1220</v>
      </c>
    </row>
    <row r="622" spans="1:11">
      <c r="A622" s="1">
        <v>619</v>
      </c>
      <c r="B622" s="13" t="s">
        <v>1152</v>
      </c>
      <c r="C622" s="8" t="s">
        <v>4495</v>
      </c>
      <c r="D622" s="12" t="s">
        <v>36</v>
      </c>
      <c r="E622" s="11">
        <v>1364999</v>
      </c>
      <c r="F622" s="10">
        <f t="shared" si="22"/>
        <v>1324049.03</v>
      </c>
      <c r="G622" s="9">
        <f t="shared" si="23"/>
        <v>1283099.0599999998</v>
      </c>
      <c r="H622" s="72">
        <v>754.55</v>
      </c>
      <c r="I622" s="72">
        <v>594.49</v>
      </c>
      <c r="J622" s="72">
        <v>160.06</v>
      </c>
      <c r="K622" s="8" t="s">
        <v>665</v>
      </c>
    </row>
    <row r="623" spans="1:11">
      <c r="A623" s="1">
        <v>620</v>
      </c>
      <c r="B623" s="13" t="s">
        <v>1153</v>
      </c>
      <c r="C623" s="8" t="s">
        <v>4495</v>
      </c>
      <c r="D623" s="12" t="s">
        <v>36</v>
      </c>
      <c r="E623" s="11">
        <v>1370999</v>
      </c>
      <c r="F623" s="10">
        <f t="shared" si="22"/>
        <v>1329869.03</v>
      </c>
      <c r="G623" s="9">
        <f t="shared" si="23"/>
        <v>1288739.0599999998</v>
      </c>
      <c r="H623" s="72">
        <v>757.35</v>
      </c>
      <c r="I623" s="72">
        <v>597.29</v>
      </c>
      <c r="J623" s="72">
        <v>160.06</v>
      </c>
      <c r="K623" s="8" t="s">
        <v>665</v>
      </c>
    </row>
    <row r="624" spans="1:11">
      <c r="A624" s="1">
        <v>621</v>
      </c>
      <c r="B624" s="13" t="s">
        <v>1154</v>
      </c>
      <c r="C624" s="8" t="s">
        <v>4495</v>
      </c>
      <c r="D624" s="12" t="s">
        <v>36</v>
      </c>
      <c r="E624" s="11">
        <v>1370999</v>
      </c>
      <c r="F624" s="10">
        <f t="shared" si="22"/>
        <v>1329869.03</v>
      </c>
      <c r="G624" s="9">
        <f t="shared" si="23"/>
        <v>1288739.0599999998</v>
      </c>
      <c r="H624" s="72">
        <v>757.35</v>
      </c>
      <c r="I624" s="72">
        <v>597.29</v>
      </c>
      <c r="J624" s="72">
        <v>160.06</v>
      </c>
      <c r="K624" s="8" t="s">
        <v>665</v>
      </c>
    </row>
    <row r="625" spans="1:11">
      <c r="A625" s="1">
        <v>622</v>
      </c>
      <c r="B625" s="13" t="s">
        <v>1155</v>
      </c>
      <c r="C625" s="8" t="s">
        <v>4495</v>
      </c>
      <c r="D625" s="12" t="s">
        <v>36</v>
      </c>
      <c r="E625" s="11">
        <v>1370999</v>
      </c>
      <c r="F625" s="10">
        <f t="shared" si="22"/>
        <v>1329869.03</v>
      </c>
      <c r="G625" s="9">
        <f t="shared" si="23"/>
        <v>1288739.0599999998</v>
      </c>
      <c r="H625" s="72">
        <v>757.35</v>
      </c>
      <c r="I625" s="72">
        <v>597.29</v>
      </c>
      <c r="J625" s="72">
        <v>160.06</v>
      </c>
      <c r="K625" s="8" t="s">
        <v>665</v>
      </c>
    </row>
    <row r="626" spans="1:11">
      <c r="A626" s="1">
        <v>623</v>
      </c>
      <c r="B626" s="13" t="s">
        <v>1156</v>
      </c>
      <c r="C626" s="8" t="s">
        <v>4495</v>
      </c>
      <c r="D626" s="12" t="s">
        <v>36</v>
      </c>
      <c r="E626" s="11">
        <v>1369999</v>
      </c>
      <c r="F626" s="10">
        <f t="shared" si="22"/>
        <v>1328899.03</v>
      </c>
      <c r="G626" s="9">
        <f t="shared" si="23"/>
        <v>1287799.0599999998</v>
      </c>
      <c r="H626" s="72">
        <v>757.13</v>
      </c>
      <c r="I626" s="72">
        <v>597.07000000000005</v>
      </c>
      <c r="J626" s="72">
        <v>160.06</v>
      </c>
      <c r="K626" s="8" t="s">
        <v>665</v>
      </c>
    </row>
    <row r="627" spans="1:11">
      <c r="A627" s="1">
        <v>624</v>
      </c>
      <c r="B627" s="13" t="s">
        <v>1157</v>
      </c>
      <c r="C627" s="8" t="s">
        <v>4494</v>
      </c>
      <c r="D627" s="12" t="s">
        <v>36</v>
      </c>
      <c r="E627" s="11">
        <v>1235999</v>
      </c>
      <c r="F627" s="10">
        <f t="shared" si="22"/>
        <v>1198919.03</v>
      </c>
      <c r="G627" s="9">
        <f t="shared" si="23"/>
        <v>1161839.0599999998</v>
      </c>
      <c r="H627" s="72">
        <v>571.89</v>
      </c>
      <c r="I627" s="72">
        <v>571.89</v>
      </c>
      <c r="J627" s="72">
        <v>0</v>
      </c>
      <c r="K627" s="8" t="s">
        <v>668</v>
      </c>
    </row>
    <row r="628" spans="1:11">
      <c r="A628" s="1">
        <v>625</v>
      </c>
      <c r="B628" s="13" t="s">
        <v>1158</v>
      </c>
      <c r="C628" s="8" t="s">
        <v>4494</v>
      </c>
      <c r="D628" s="12" t="s">
        <v>36</v>
      </c>
      <c r="E628" s="11">
        <v>1340999</v>
      </c>
      <c r="F628" s="10">
        <f t="shared" si="22"/>
        <v>1300769.03</v>
      </c>
      <c r="G628" s="9">
        <f t="shared" si="23"/>
        <v>1260539.0599999998</v>
      </c>
      <c r="H628" s="72">
        <v>772.42</v>
      </c>
      <c r="I628" s="72">
        <v>574.69000000000005</v>
      </c>
      <c r="J628" s="72">
        <v>197.73</v>
      </c>
      <c r="K628" s="8" t="s">
        <v>668</v>
      </c>
    </row>
    <row r="629" spans="1:11">
      <c r="A629" s="1">
        <v>626</v>
      </c>
      <c r="B629" s="13" t="s">
        <v>1159</v>
      </c>
      <c r="C629" s="8" t="s">
        <v>4494</v>
      </c>
      <c r="D629" s="12" t="s">
        <v>36</v>
      </c>
      <c r="E629" s="11">
        <v>1373999</v>
      </c>
      <c r="F629" s="10">
        <f t="shared" si="22"/>
        <v>1332779.03</v>
      </c>
      <c r="G629" s="9">
        <f t="shared" si="23"/>
        <v>1291559.0599999998</v>
      </c>
      <c r="H629" s="72">
        <v>816.01</v>
      </c>
      <c r="I629" s="72">
        <v>585.13</v>
      </c>
      <c r="J629" s="72">
        <v>230.89</v>
      </c>
      <c r="K629" s="8" t="s">
        <v>668</v>
      </c>
    </row>
    <row r="630" spans="1:11">
      <c r="A630" s="1">
        <v>627</v>
      </c>
      <c r="B630" s="13" t="s">
        <v>1160</v>
      </c>
      <c r="C630" s="8" t="s">
        <v>4494</v>
      </c>
      <c r="D630" s="12" t="s">
        <v>36</v>
      </c>
      <c r="E630" s="11">
        <v>1271999</v>
      </c>
      <c r="F630" s="10">
        <f t="shared" si="22"/>
        <v>1233839.03</v>
      </c>
      <c r="G630" s="9">
        <f t="shared" si="23"/>
        <v>1195679.0599999998</v>
      </c>
      <c r="H630" s="72">
        <v>640.55999999999995</v>
      </c>
      <c r="I630" s="72">
        <v>571.03</v>
      </c>
      <c r="J630" s="72">
        <v>69.53</v>
      </c>
      <c r="K630" s="8" t="s">
        <v>668</v>
      </c>
    </row>
    <row r="631" spans="1:11">
      <c r="A631" s="1">
        <v>628</v>
      </c>
      <c r="B631" s="13" t="s">
        <v>1161</v>
      </c>
      <c r="C631" s="8" t="s">
        <v>4494</v>
      </c>
      <c r="D631" s="12" t="s">
        <v>36</v>
      </c>
      <c r="E631" s="11">
        <v>1352999</v>
      </c>
      <c r="F631" s="10">
        <f t="shared" si="22"/>
        <v>1312409.03</v>
      </c>
      <c r="G631" s="9">
        <f t="shared" si="23"/>
        <v>1271819.0599999998</v>
      </c>
      <c r="H631" s="72">
        <v>750.78</v>
      </c>
      <c r="I631" s="72">
        <v>590.72</v>
      </c>
      <c r="J631" s="72">
        <v>160.06</v>
      </c>
      <c r="K631" s="8" t="s">
        <v>668</v>
      </c>
    </row>
    <row r="632" spans="1:11">
      <c r="A632" s="1">
        <v>629</v>
      </c>
      <c r="B632" s="13" t="s">
        <v>1162</v>
      </c>
      <c r="C632" s="8" t="s">
        <v>4494</v>
      </c>
      <c r="D632" s="12" t="s">
        <v>36</v>
      </c>
      <c r="E632" s="11">
        <v>1352999</v>
      </c>
      <c r="F632" s="10">
        <f t="shared" si="22"/>
        <v>1312409.03</v>
      </c>
      <c r="G632" s="9">
        <f t="shared" si="23"/>
        <v>1271819.0599999998</v>
      </c>
      <c r="H632" s="72">
        <v>750.78</v>
      </c>
      <c r="I632" s="72">
        <v>590.72</v>
      </c>
      <c r="J632" s="72">
        <v>160.06</v>
      </c>
      <c r="K632" s="8" t="s">
        <v>668</v>
      </c>
    </row>
    <row r="633" spans="1:11">
      <c r="A633" s="1">
        <v>630</v>
      </c>
      <c r="B633" s="13" t="s">
        <v>5069</v>
      </c>
      <c r="C633" s="8" t="s">
        <v>4494</v>
      </c>
      <c r="D633" s="12" t="s">
        <v>35</v>
      </c>
      <c r="E633" s="11">
        <v>795999</v>
      </c>
      <c r="F633" s="10">
        <f t="shared" si="22"/>
        <v>772119.03</v>
      </c>
      <c r="G633" s="9">
        <f t="shared" si="23"/>
        <v>748239.05999999994</v>
      </c>
      <c r="H633" s="72">
        <v>383.95</v>
      </c>
      <c r="I633" s="72">
        <v>303.33</v>
      </c>
      <c r="J633" s="72">
        <v>80.62</v>
      </c>
      <c r="K633" s="8" t="s">
        <v>668</v>
      </c>
    </row>
    <row r="634" spans="1:11">
      <c r="A634" s="1">
        <v>631</v>
      </c>
      <c r="B634" s="13" t="s">
        <v>1163</v>
      </c>
      <c r="C634" s="8" t="s">
        <v>4494</v>
      </c>
      <c r="D634" s="12" t="s">
        <v>24</v>
      </c>
      <c r="E634" s="11">
        <v>2117999</v>
      </c>
      <c r="F634" s="10">
        <f t="shared" si="22"/>
        <v>2054459.03</v>
      </c>
      <c r="G634" s="9">
        <f t="shared" si="23"/>
        <v>1990919.0599999998</v>
      </c>
      <c r="H634" s="72">
        <v>1263.1400000000001</v>
      </c>
      <c r="I634" s="72">
        <v>1010.84</v>
      </c>
      <c r="J634" s="72">
        <v>252.31</v>
      </c>
      <c r="K634" s="8" t="s">
        <v>668</v>
      </c>
    </row>
    <row r="635" spans="1:11">
      <c r="A635" s="1">
        <v>632</v>
      </c>
      <c r="B635" s="13" t="s">
        <v>1164</v>
      </c>
      <c r="C635" s="8" t="s">
        <v>4494</v>
      </c>
      <c r="D635" s="12" t="s">
        <v>24</v>
      </c>
      <c r="E635" s="11">
        <v>2135999</v>
      </c>
      <c r="F635" s="10">
        <f t="shared" si="22"/>
        <v>2071919.03</v>
      </c>
      <c r="G635" s="9">
        <f t="shared" si="23"/>
        <v>2007839.0599999998</v>
      </c>
      <c r="H635" s="72">
        <v>1266.3699999999999</v>
      </c>
      <c r="I635" s="72">
        <v>1014.07</v>
      </c>
      <c r="J635" s="72">
        <v>252.31</v>
      </c>
      <c r="K635" s="8" t="s">
        <v>665</v>
      </c>
    </row>
    <row r="636" spans="1:11">
      <c r="A636" s="1">
        <v>633</v>
      </c>
      <c r="B636" s="13" t="s">
        <v>1165</v>
      </c>
      <c r="C636" s="8" t="s">
        <v>4494</v>
      </c>
      <c r="D636" s="12" t="s">
        <v>36</v>
      </c>
      <c r="E636" s="11">
        <v>1363999</v>
      </c>
      <c r="F636" s="10">
        <f t="shared" si="22"/>
        <v>1323079.03</v>
      </c>
      <c r="G636" s="9">
        <f t="shared" si="23"/>
        <v>1282159.0599999998</v>
      </c>
      <c r="H636" s="72">
        <v>754.55</v>
      </c>
      <c r="I636" s="72">
        <v>594.49</v>
      </c>
      <c r="J636" s="72">
        <v>160.06</v>
      </c>
      <c r="K636" s="8" t="s">
        <v>665</v>
      </c>
    </row>
    <row r="637" spans="1:11">
      <c r="A637" s="1">
        <v>634</v>
      </c>
      <c r="B637" s="13" t="s">
        <v>1166</v>
      </c>
      <c r="C637" s="8" t="s">
        <v>4494</v>
      </c>
      <c r="D637" s="12" t="s">
        <v>36</v>
      </c>
      <c r="E637" s="11">
        <v>1369999</v>
      </c>
      <c r="F637" s="10">
        <f t="shared" si="22"/>
        <v>1328899.03</v>
      </c>
      <c r="G637" s="9">
        <f t="shared" si="23"/>
        <v>1287799.0599999998</v>
      </c>
      <c r="H637" s="72">
        <v>757.35</v>
      </c>
      <c r="I637" s="72">
        <v>597.29</v>
      </c>
      <c r="J637" s="72">
        <v>160.06</v>
      </c>
      <c r="K637" s="8" t="s">
        <v>665</v>
      </c>
    </row>
    <row r="638" spans="1:11">
      <c r="A638" s="1">
        <v>635</v>
      </c>
      <c r="B638" s="13" t="s">
        <v>1167</v>
      </c>
      <c r="C638" s="8" t="s">
        <v>4494</v>
      </c>
      <c r="D638" s="12" t="s">
        <v>36</v>
      </c>
      <c r="E638" s="11">
        <v>1369999</v>
      </c>
      <c r="F638" s="10">
        <f t="shared" si="22"/>
        <v>1328899.03</v>
      </c>
      <c r="G638" s="9">
        <f t="shared" si="23"/>
        <v>1287799.0599999998</v>
      </c>
      <c r="H638" s="72">
        <v>757.35</v>
      </c>
      <c r="I638" s="72">
        <v>597.29</v>
      </c>
      <c r="J638" s="72">
        <v>160.06</v>
      </c>
      <c r="K638" s="8" t="s">
        <v>665</v>
      </c>
    </row>
    <row r="639" spans="1:11">
      <c r="A639" s="1">
        <v>636</v>
      </c>
      <c r="B639" s="13" t="s">
        <v>1168</v>
      </c>
      <c r="C639" s="8" t="s">
        <v>4494</v>
      </c>
      <c r="D639" s="12" t="s">
        <v>36</v>
      </c>
      <c r="E639" s="11">
        <v>1369999</v>
      </c>
      <c r="F639" s="10">
        <f t="shared" si="22"/>
        <v>1328899.03</v>
      </c>
      <c r="G639" s="9">
        <f t="shared" si="23"/>
        <v>1287799.0599999998</v>
      </c>
      <c r="H639" s="72">
        <v>757.35</v>
      </c>
      <c r="I639" s="72">
        <v>597.29</v>
      </c>
      <c r="J639" s="72">
        <v>160.06</v>
      </c>
      <c r="K639" s="8" t="s">
        <v>665</v>
      </c>
    </row>
    <row r="640" spans="1:11">
      <c r="A640" s="1">
        <v>637</v>
      </c>
      <c r="B640" s="13" t="s">
        <v>1169</v>
      </c>
      <c r="C640" s="8" t="s">
        <v>4494</v>
      </c>
      <c r="D640" s="12" t="s">
        <v>36</v>
      </c>
      <c r="E640" s="11">
        <v>1369999</v>
      </c>
      <c r="F640" s="10">
        <f t="shared" si="22"/>
        <v>1328899.03</v>
      </c>
      <c r="G640" s="9">
        <f t="shared" si="23"/>
        <v>1287799.0599999998</v>
      </c>
      <c r="H640" s="72">
        <v>757.13</v>
      </c>
      <c r="I640" s="72">
        <v>597.07000000000005</v>
      </c>
      <c r="J640" s="72">
        <v>160.06</v>
      </c>
      <c r="K640" s="8" t="s">
        <v>665</v>
      </c>
    </row>
    <row r="641" spans="1:11">
      <c r="A641" s="1">
        <v>638</v>
      </c>
      <c r="B641" s="13" t="s">
        <v>1170</v>
      </c>
      <c r="C641" s="8" t="s">
        <v>33</v>
      </c>
      <c r="D641" s="12" t="s">
        <v>36</v>
      </c>
      <c r="E641" s="11">
        <v>1234999</v>
      </c>
      <c r="F641" s="10">
        <f t="shared" si="22"/>
        <v>1197949.03</v>
      </c>
      <c r="G641" s="9">
        <f t="shared" si="23"/>
        <v>1160899.0599999998</v>
      </c>
      <c r="H641" s="72">
        <v>571.89</v>
      </c>
      <c r="I641" s="72">
        <v>571.89</v>
      </c>
      <c r="J641" s="72">
        <v>0</v>
      </c>
      <c r="K641" s="8" t="s">
        <v>668</v>
      </c>
    </row>
    <row r="642" spans="1:11">
      <c r="A642" s="1">
        <v>639</v>
      </c>
      <c r="B642" s="13" t="s">
        <v>1171</v>
      </c>
      <c r="C642" s="8" t="s">
        <v>33</v>
      </c>
      <c r="D642" s="12" t="s">
        <v>36</v>
      </c>
      <c r="E642" s="11">
        <v>1339999</v>
      </c>
      <c r="F642" s="10">
        <f t="shared" si="22"/>
        <v>1299799.03</v>
      </c>
      <c r="G642" s="9">
        <f t="shared" si="23"/>
        <v>1259599.0599999998</v>
      </c>
      <c r="H642" s="72">
        <v>772.42</v>
      </c>
      <c r="I642" s="72">
        <v>574.69000000000005</v>
      </c>
      <c r="J642" s="72">
        <v>197.73</v>
      </c>
      <c r="K642" s="8" t="s">
        <v>668</v>
      </c>
    </row>
    <row r="643" spans="1:11">
      <c r="A643" s="1">
        <v>640</v>
      </c>
      <c r="B643" s="13" t="s">
        <v>1172</v>
      </c>
      <c r="C643" s="8" t="s">
        <v>33</v>
      </c>
      <c r="D643" s="12" t="s">
        <v>36</v>
      </c>
      <c r="E643" s="11">
        <v>1372999</v>
      </c>
      <c r="F643" s="10">
        <f t="shared" si="22"/>
        <v>1331809.03</v>
      </c>
      <c r="G643" s="9">
        <f t="shared" si="23"/>
        <v>1290619.0599999998</v>
      </c>
      <c r="H643" s="72">
        <v>816.01</v>
      </c>
      <c r="I643" s="72">
        <v>585.13</v>
      </c>
      <c r="J643" s="72">
        <v>230.89</v>
      </c>
      <c r="K643" s="8" t="s">
        <v>668</v>
      </c>
    </row>
    <row r="644" spans="1:11">
      <c r="A644" s="1">
        <v>641</v>
      </c>
      <c r="B644" s="13" t="s">
        <v>1173</v>
      </c>
      <c r="C644" s="8" t="s">
        <v>33</v>
      </c>
      <c r="D644" s="12" t="s">
        <v>36</v>
      </c>
      <c r="E644" s="11">
        <v>1271999</v>
      </c>
      <c r="F644" s="10">
        <f t="shared" si="22"/>
        <v>1233839.03</v>
      </c>
      <c r="G644" s="9">
        <f t="shared" si="23"/>
        <v>1195679.0599999998</v>
      </c>
      <c r="H644" s="72">
        <v>640.55999999999995</v>
      </c>
      <c r="I644" s="72">
        <v>571.03</v>
      </c>
      <c r="J644" s="72">
        <v>69.53</v>
      </c>
      <c r="K644" s="8" t="s">
        <v>668</v>
      </c>
    </row>
    <row r="645" spans="1:11">
      <c r="A645" s="1">
        <v>642</v>
      </c>
      <c r="B645" s="13" t="s">
        <v>1174</v>
      </c>
      <c r="C645" s="8" t="s">
        <v>33</v>
      </c>
      <c r="D645" s="12" t="s">
        <v>36</v>
      </c>
      <c r="E645" s="11">
        <v>1352999</v>
      </c>
      <c r="F645" s="10">
        <f t="shared" si="22"/>
        <v>1312409.03</v>
      </c>
      <c r="G645" s="9">
        <f t="shared" si="23"/>
        <v>1271819.0599999998</v>
      </c>
      <c r="H645" s="72">
        <v>750.78</v>
      </c>
      <c r="I645" s="72">
        <v>590.72</v>
      </c>
      <c r="J645" s="72">
        <v>160.06</v>
      </c>
      <c r="K645" s="8" t="s">
        <v>668</v>
      </c>
    </row>
    <row r="646" spans="1:11">
      <c r="A646" s="1">
        <v>643</v>
      </c>
      <c r="B646" s="13" t="s">
        <v>1175</v>
      </c>
      <c r="C646" s="8" t="s">
        <v>33</v>
      </c>
      <c r="D646" s="12" t="s">
        <v>36</v>
      </c>
      <c r="E646" s="11">
        <v>1352999</v>
      </c>
      <c r="F646" s="10">
        <f t="shared" si="22"/>
        <v>1312409.03</v>
      </c>
      <c r="G646" s="9">
        <f t="shared" si="23"/>
        <v>1271819.0599999998</v>
      </c>
      <c r="H646" s="72">
        <v>750.78</v>
      </c>
      <c r="I646" s="72">
        <v>590.72</v>
      </c>
      <c r="J646" s="72">
        <v>160.06</v>
      </c>
      <c r="K646" s="8" t="s">
        <v>668</v>
      </c>
    </row>
    <row r="647" spans="1:11">
      <c r="A647" s="1">
        <v>644</v>
      </c>
      <c r="B647" s="13" t="s">
        <v>1176</v>
      </c>
      <c r="C647" s="8" t="s">
        <v>33</v>
      </c>
      <c r="D647" s="12" t="s">
        <v>24</v>
      </c>
      <c r="E647" s="11">
        <v>2115999</v>
      </c>
      <c r="F647" s="10">
        <f t="shared" si="22"/>
        <v>2052519.03</v>
      </c>
      <c r="G647" s="9">
        <f t="shared" si="23"/>
        <v>1989039.0599999998</v>
      </c>
      <c r="H647" s="72">
        <v>1263.1400000000001</v>
      </c>
      <c r="I647" s="72">
        <v>1010.84</v>
      </c>
      <c r="J647" s="72">
        <v>252.31</v>
      </c>
      <c r="K647" s="8" t="s">
        <v>668</v>
      </c>
    </row>
    <row r="648" spans="1:11">
      <c r="A648" s="1">
        <v>645</v>
      </c>
      <c r="B648" s="13" t="s">
        <v>1177</v>
      </c>
      <c r="C648" s="8" t="s">
        <v>33</v>
      </c>
      <c r="D648" s="12" t="s">
        <v>24</v>
      </c>
      <c r="E648" s="11">
        <v>2134999</v>
      </c>
      <c r="F648" s="10">
        <f t="shared" si="22"/>
        <v>2070949.03</v>
      </c>
      <c r="G648" s="9">
        <f t="shared" si="23"/>
        <v>2006899.0599999998</v>
      </c>
      <c r="H648" s="72">
        <v>1266.3699999999999</v>
      </c>
      <c r="I648" s="72">
        <v>1014.07</v>
      </c>
      <c r="J648" s="72">
        <v>252.31</v>
      </c>
      <c r="K648" s="8" t="s">
        <v>665</v>
      </c>
    </row>
    <row r="649" spans="1:11">
      <c r="A649" s="1">
        <v>646</v>
      </c>
      <c r="B649" s="13" t="s">
        <v>1178</v>
      </c>
      <c r="C649" s="8" t="s">
        <v>33</v>
      </c>
      <c r="D649" s="12" t="s">
        <v>36</v>
      </c>
      <c r="E649" s="11">
        <v>1368999</v>
      </c>
      <c r="F649" s="10">
        <f t="shared" si="22"/>
        <v>1327929.03</v>
      </c>
      <c r="G649" s="9">
        <f t="shared" si="23"/>
        <v>1286859.0599999998</v>
      </c>
      <c r="H649" s="72">
        <v>757.35</v>
      </c>
      <c r="I649" s="72">
        <v>597.29</v>
      </c>
      <c r="J649" s="72">
        <v>160.06</v>
      </c>
      <c r="K649" s="8" t="s">
        <v>665</v>
      </c>
    </row>
    <row r="650" spans="1:11">
      <c r="A650" s="1">
        <v>647</v>
      </c>
      <c r="B650" s="13" t="s">
        <v>1179</v>
      </c>
      <c r="C650" s="8" t="s">
        <v>33</v>
      </c>
      <c r="D650" s="12" t="s">
        <v>36</v>
      </c>
      <c r="E650" s="11">
        <v>1368999</v>
      </c>
      <c r="F650" s="10">
        <f t="shared" si="22"/>
        <v>1327929.03</v>
      </c>
      <c r="G650" s="9">
        <f t="shared" si="23"/>
        <v>1286859.0599999998</v>
      </c>
      <c r="H650" s="72">
        <v>757.35</v>
      </c>
      <c r="I650" s="72">
        <v>597.29</v>
      </c>
      <c r="J650" s="72">
        <v>160.06</v>
      </c>
      <c r="K650" s="8" t="s">
        <v>665</v>
      </c>
    </row>
    <row r="651" spans="1:11">
      <c r="A651" s="1">
        <v>648</v>
      </c>
      <c r="B651" s="13" t="s">
        <v>1180</v>
      </c>
      <c r="C651" s="8" t="s">
        <v>33</v>
      </c>
      <c r="D651" s="12" t="s">
        <v>36</v>
      </c>
      <c r="E651" s="11">
        <v>1368999</v>
      </c>
      <c r="F651" s="10">
        <f t="shared" si="22"/>
        <v>1327929.03</v>
      </c>
      <c r="G651" s="9">
        <f t="shared" si="23"/>
        <v>1286859.0599999998</v>
      </c>
      <c r="H651" s="72">
        <v>757.35</v>
      </c>
      <c r="I651" s="72">
        <v>597.29</v>
      </c>
      <c r="J651" s="72">
        <v>160.06</v>
      </c>
      <c r="K651" s="8" t="s">
        <v>665</v>
      </c>
    </row>
    <row r="652" spans="1:11">
      <c r="A652" s="1">
        <v>649</v>
      </c>
      <c r="B652" s="13" t="s">
        <v>1181</v>
      </c>
      <c r="C652" s="8" t="s">
        <v>33</v>
      </c>
      <c r="D652" s="12" t="s">
        <v>36</v>
      </c>
      <c r="E652" s="11">
        <v>1368999</v>
      </c>
      <c r="F652" s="10">
        <f t="shared" si="22"/>
        <v>1327929.03</v>
      </c>
      <c r="G652" s="9">
        <f t="shared" si="23"/>
        <v>1286859.0599999998</v>
      </c>
      <c r="H652" s="72">
        <v>757.13</v>
      </c>
      <c r="I652" s="72">
        <v>597.07000000000005</v>
      </c>
      <c r="J652" s="72">
        <v>160.06</v>
      </c>
      <c r="K652" s="8" t="s">
        <v>665</v>
      </c>
    </row>
    <row r="653" spans="1:11">
      <c r="A653" s="1">
        <v>650</v>
      </c>
      <c r="B653" s="13" t="s">
        <v>1182</v>
      </c>
      <c r="C653" s="8" t="s">
        <v>34</v>
      </c>
      <c r="D653" s="12" t="s">
        <v>36</v>
      </c>
      <c r="E653" s="11">
        <v>1234999</v>
      </c>
      <c r="F653" s="10">
        <f t="shared" si="22"/>
        <v>1197949.03</v>
      </c>
      <c r="G653" s="9">
        <f t="shared" si="23"/>
        <v>1160899.0599999998</v>
      </c>
      <c r="H653" s="72">
        <v>571.89</v>
      </c>
      <c r="I653" s="72">
        <v>571.89</v>
      </c>
      <c r="J653" s="72">
        <v>0</v>
      </c>
      <c r="K653" s="8" t="s">
        <v>668</v>
      </c>
    </row>
    <row r="654" spans="1:11">
      <c r="A654" s="1">
        <v>651</v>
      </c>
      <c r="B654" s="13" t="s">
        <v>1183</v>
      </c>
      <c r="C654" s="8" t="s">
        <v>34</v>
      </c>
      <c r="D654" s="12" t="s">
        <v>36</v>
      </c>
      <c r="E654" s="11">
        <v>1339999</v>
      </c>
      <c r="F654" s="10">
        <f t="shared" si="22"/>
        <v>1299799.03</v>
      </c>
      <c r="G654" s="9">
        <f t="shared" si="23"/>
        <v>1259599.0599999998</v>
      </c>
      <c r="H654" s="72">
        <v>772.42</v>
      </c>
      <c r="I654" s="72">
        <v>574.69000000000005</v>
      </c>
      <c r="J654" s="72">
        <v>197.73</v>
      </c>
      <c r="K654" s="8" t="s">
        <v>668</v>
      </c>
    </row>
    <row r="655" spans="1:11">
      <c r="A655" s="1">
        <v>652</v>
      </c>
      <c r="B655" s="13" t="s">
        <v>1184</v>
      </c>
      <c r="C655" s="8" t="s">
        <v>34</v>
      </c>
      <c r="D655" s="12" t="s">
        <v>36</v>
      </c>
      <c r="E655" s="11">
        <v>1371999</v>
      </c>
      <c r="F655" s="10">
        <f t="shared" ref="F655:F716" si="24">E655*0.97</f>
        <v>1330839.03</v>
      </c>
      <c r="G655" s="9">
        <f t="shared" ref="G655:G716" si="25">E655*0.94</f>
        <v>1289679.0599999998</v>
      </c>
      <c r="H655" s="72">
        <v>816.01</v>
      </c>
      <c r="I655" s="72">
        <v>585.13</v>
      </c>
      <c r="J655" s="72">
        <v>230.89</v>
      </c>
      <c r="K655" s="8" t="s">
        <v>668</v>
      </c>
    </row>
    <row r="656" spans="1:11">
      <c r="A656" s="1">
        <v>653</v>
      </c>
      <c r="B656" s="13" t="s">
        <v>1185</v>
      </c>
      <c r="C656" s="8" t="s">
        <v>34</v>
      </c>
      <c r="D656" s="12" t="s">
        <v>36</v>
      </c>
      <c r="E656" s="11">
        <v>1270999</v>
      </c>
      <c r="F656" s="10">
        <f t="shared" si="24"/>
        <v>1232869.03</v>
      </c>
      <c r="G656" s="9">
        <f t="shared" si="25"/>
        <v>1194739.0599999998</v>
      </c>
      <c r="H656" s="72">
        <v>640.55999999999995</v>
      </c>
      <c r="I656" s="72">
        <v>571.03</v>
      </c>
      <c r="J656" s="72">
        <v>69.53</v>
      </c>
      <c r="K656" s="8" t="s">
        <v>668</v>
      </c>
    </row>
    <row r="657" spans="1:11">
      <c r="A657" s="1">
        <v>654</v>
      </c>
      <c r="B657" s="13" t="s">
        <v>1186</v>
      </c>
      <c r="C657" s="8" t="s">
        <v>34</v>
      </c>
      <c r="D657" s="12" t="s">
        <v>36</v>
      </c>
      <c r="E657" s="11">
        <v>1351999</v>
      </c>
      <c r="F657" s="10">
        <f t="shared" si="24"/>
        <v>1311439.03</v>
      </c>
      <c r="G657" s="9">
        <f t="shared" si="25"/>
        <v>1270879.0599999998</v>
      </c>
      <c r="H657" s="72">
        <v>750.78</v>
      </c>
      <c r="I657" s="72">
        <v>590.72</v>
      </c>
      <c r="J657" s="72">
        <v>160.06</v>
      </c>
      <c r="K657" s="8" t="s">
        <v>668</v>
      </c>
    </row>
    <row r="658" spans="1:11">
      <c r="A658" s="1">
        <v>655</v>
      </c>
      <c r="B658" s="13" t="s">
        <v>1187</v>
      </c>
      <c r="C658" s="8" t="s">
        <v>34</v>
      </c>
      <c r="D658" s="12" t="s">
        <v>36</v>
      </c>
      <c r="E658" s="11">
        <v>1351999</v>
      </c>
      <c r="F658" s="10">
        <f t="shared" si="24"/>
        <v>1311439.03</v>
      </c>
      <c r="G658" s="9">
        <f t="shared" si="25"/>
        <v>1270879.0599999998</v>
      </c>
      <c r="H658" s="72">
        <v>750.78</v>
      </c>
      <c r="I658" s="72">
        <v>590.72</v>
      </c>
      <c r="J658" s="72">
        <v>160.06</v>
      </c>
      <c r="K658" s="8" t="s">
        <v>668</v>
      </c>
    </row>
    <row r="659" spans="1:11">
      <c r="A659" s="1">
        <v>656</v>
      </c>
      <c r="B659" s="13" t="s">
        <v>1188</v>
      </c>
      <c r="C659" s="8" t="s">
        <v>34</v>
      </c>
      <c r="D659" s="12" t="s">
        <v>24</v>
      </c>
      <c r="E659" s="11">
        <v>2114999</v>
      </c>
      <c r="F659" s="10">
        <f t="shared" si="24"/>
        <v>2051549.03</v>
      </c>
      <c r="G659" s="9">
        <f t="shared" si="25"/>
        <v>1988099.0599999998</v>
      </c>
      <c r="H659" s="72">
        <v>1263.1400000000001</v>
      </c>
      <c r="I659" s="72">
        <v>1010.84</v>
      </c>
      <c r="J659" s="72">
        <v>252.31</v>
      </c>
      <c r="K659" s="8" t="s">
        <v>668</v>
      </c>
    </row>
    <row r="660" spans="1:11">
      <c r="A660" s="1">
        <v>657</v>
      </c>
      <c r="B660" s="13" t="s">
        <v>1189</v>
      </c>
      <c r="C660" s="8" t="s">
        <v>34</v>
      </c>
      <c r="D660" s="12" t="s">
        <v>24</v>
      </c>
      <c r="E660" s="11">
        <v>2133999</v>
      </c>
      <c r="F660" s="10">
        <f t="shared" si="24"/>
        <v>2069979.03</v>
      </c>
      <c r="G660" s="9">
        <f t="shared" si="25"/>
        <v>2005959.0599999998</v>
      </c>
      <c r="H660" s="72">
        <v>1266.3699999999999</v>
      </c>
      <c r="I660" s="72">
        <v>1014.07</v>
      </c>
      <c r="J660" s="72">
        <v>252.31</v>
      </c>
      <c r="K660" s="8" t="s">
        <v>665</v>
      </c>
    </row>
    <row r="661" spans="1:11">
      <c r="A661" s="1">
        <v>658</v>
      </c>
      <c r="B661" s="13" t="s">
        <v>1190</v>
      </c>
      <c r="C661" s="8" t="s">
        <v>34</v>
      </c>
      <c r="D661" s="12" t="s">
        <v>36</v>
      </c>
      <c r="E661" s="11">
        <v>1362999</v>
      </c>
      <c r="F661" s="10">
        <f t="shared" si="24"/>
        <v>1322109.03</v>
      </c>
      <c r="G661" s="9">
        <f t="shared" si="25"/>
        <v>1281219.0599999998</v>
      </c>
      <c r="H661" s="72">
        <v>754.55</v>
      </c>
      <c r="I661" s="72">
        <v>594.49</v>
      </c>
      <c r="J661" s="72">
        <v>160.06</v>
      </c>
      <c r="K661" s="8" t="s">
        <v>665</v>
      </c>
    </row>
    <row r="662" spans="1:11">
      <c r="A662" s="1">
        <v>659</v>
      </c>
      <c r="B662" s="13" t="s">
        <v>1191</v>
      </c>
      <c r="C662" s="8" t="s">
        <v>34</v>
      </c>
      <c r="D662" s="12" t="s">
        <v>36</v>
      </c>
      <c r="E662" s="11">
        <v>1368999</v>
      </c>
      <c r="F662" s="10">
        <f t="shared" si="24"/>
        <v>1327929.03</v>
      </c>
      <c r="G662" s="9">
        <f t="shared" si="25"/>
        <v>1286859.0599999998</v>
      </c>
      <c r="H662" s="72">
        <v>757.35</v>
      </c>
      <c r="I662" s="72">
        <v>597.29</v>
      </c>
      <c r="J662" s="72">
        <v>160.06</v>
      </c>
      <c r="K662" s="8" t="s">
        <v>665</v>
      </c>
    </row>
    <row r="663" spans="1:11">
      <c r="A663" s="1">
        <v>660</v>
      </c>
      <c r="B663" s="13" t="s">
        <v>1192</v>
      </c>
      <c r="C663" s="8" t="s">
        <v>34</v>
      </c>
      <c r="D663" s="12" t="s">
        <v>36</v>
      </c>
      <c r="E663" s="11">
        <v>1368999</v>
      </c>
      <c r="F663" s="10">
        <f t="shared" si="24"/>
        <v>1327929.03</v>
      </c>
      <c r="G663" s="9">
        <f t="shared" si="25"/>
        <v>1286859.0599999998</v>
      </c>
      <c r="H663" s="72">
        <v>757.35</v>
      </c>
      <c r="I663" s="72">
        <v>597.29</v>
      </c>
      <c r="J663" s="72">
        <v>160.06</v>
      </c>
      <c r="K663" s="8" t="s">
        <v>665</v>
      </c>
    </row>
    <row r="664" spans="1:11">
      <c r="A664" s="1">
        <v>661</v>
      </c>
      <c r="B664" s="13" t="s">
        <v>1193</v>
      </c>
      <c r="C664" s="8" t="s">
        <v>34</v>
      </c>
      <c r="D664" s="12" t="s">
        <v>36</v>
      </c>
      <c r="E664" s="11">
        <v>1367999</v>
      </c>
      <c r="F664" s="10">
        <f t="shared" si="24"/>
        <v>1326959.03</v>
      </c>
      <c r="G664" s="9">
        <f t="shared" si="25"/>
        <v>1285919.0599999998</v>
      </c>
      <c r="H664" s="72">
        <v>757.13</v>
      </c>
      <c r="I664" s="72">
        <v>597.07000000000005</v>
      </c>
      <c r="J664" s="72">
        <v>160.06</v>
      </c>
      <c r="K664" s="8" t="s">
        <v>665</v>
      </c>
    </row>
    <row r="665" spans="1:11">
      <c r="A665" s="1">
        <v>662</v>
      </c>
      <c r="B665" s="13" t="s">
        <v>624</v>
      </c>
      <c r="C665" s="8" t="s">
        <v>4461</v>
      </c>
      <c r="D665" s="12" t="s">
        <v>36</v>
      </c>
      <c r="E665" s="11">
        <v>1233999</v>
      </c>
      <c r="F665" s="10">
        <f t="shared" si="24"/>
        <v>1196979.03</v>
      </c>
      <c r="G665" s="9">
        <f t="shared" si="25"/>
        <v>1159959.0599999998</v>
      </c>
      <c r="H665" s="72">
        <v>571.89</v>
      </c>
      <c r="I665" s="72">
        <v>571.89</v>
      </c>
      <c r="J665" s="72">
        <v>0</v>
      </c>
      <c r="K665" s="8" t="s">
        <v>668</v>
      </c>
    </row>
    <row r="666" spans="1:11">
      <c r="A666" s="1">
        <v>663</v>
      </c>
      <c r="B666" s="13" t="s">
        <v>625</v>
      </c>
      <c r="C666" s="8" t="s">
        <v>4461</v>
      </c>
      <c r="D666" s="12" t="s">
        <v>36</v>
      </c>
      <c r="E666" s="11">
        <v>1338999</v>
      </c>
      <c r="F666" s="10">
        <f t="shared" si="24"/>
        <v>1298829.03</v>
      </c>
      <c r="G666" s="9">
        <f t="shared" si="25"/>
        <v>1258659.0599999998</v>
      </c>
      <c r="H666" s="72">
        <v>772.42</v>
      </c>
      <c r="I666" s="72">
        <v>574.69000000000005</v>
      </c>
      <c r="J666" s="72">
        <v>197.73</v>
      </c>
      <c r="K666" s="8" t="s">
        <v>668</v>
      </c>
    </row>
    <row r="667" spans="1:11">
      <c r="A667" s="1">
        <v>664</v>
      </c>
      <c r="B667" s="13" t="s">
        <v>626</v>
      </c>
      <c r="C667" s="8" t="s">
        <v>4461</v>
      </c>
      <c r="D667" s="12" t="s">
        <v>36</v>
      </c>
      <c r="E667" s="11">
        <v>1370999</v>
      </c>
      <c r="F667" s="10">
        <f t="shared" si="24"/>
        <v>1329869.03</v>
      </c>
      <c r="G667" s="9">
        <f t="shared" si="25"/>
        <v>1288739.0599999998</v>
      </c>
      <c r="H667" s="72">
        <v>816.01</v>
      </c>
      <c r="I667" s="72">
        <v>585.13</v>
      </c>
      <c r="J667" s="72">
        <v>230.89</v>
      </c>
      <c r="K667" s="8" t="s">
        <v>668</v>
      </c>
    </row>
    <row r="668" spans="1:11">
      <c r="A668" s="1">
        <v>665</v>
      </c>
      <c r="B668" s="13" t="s">
        <v>627</v>
      </c>
      <c r="C668" s="8" t="s">
        <v>4461</v>
      </c>
      <c r="D668" s="12" t="s">
        <v>36</v>
      </c>
      <c r="E668" s="11">
        <v>1269999</v>
      </c>
      <c r="F668" s="10">
        <f t="shared" si="24"/>
        <v>1231899.03</v>
      </c>
      <c r="G668" s="9">
        <f t="shared" si="25"/>
        <v>1193799.0599999998</v>
      </c>
      <c r="H668" s="72">
        <v>640.55999999999995</v>
      </c>
      <c r="I668" s="72">
        <v>571.03</v>
      </c>
      <c r="J668" s="72">
        <v>69.53</v>
      </c>
      <c r="K668" s="8" t="s">
        <v>668</v>
      </c>
    </row>
    <row r="669" spans="1:11">
      <c r="A669" s="1">
        <v>666</v>
      </c>
      <c r="B669" s="13" t="s">
        <v>4890</v>
      </c>
      <c r="C669" s="8" t="s">
        <v>4461</v>
      </c>
      <c r="D669" s="12" t="s">
        <v>35</v>
      </c>
      <c r="E669" s="11">
        <v>809999</v>
      </c>
      <c r="F669" s="10">
        <f t="shared" si="24"/>
        <v>785699.03</v>
      </c>
      <c r="G669" s="9">
        <f t="shared" si="25"/>
        <v>761399.05999999994</v>
      </c>
      <c r="H669" s="72">
        <v>389.12</v>
      </c>
      <c r="I669" s="72">
        <v>309.57</v>
      </c>
      <c r="J669" s="72">
        <v>79.55</v>
      </c>
      <c r="K669" s="8" t="s">
        <v>668</v>
      </c>
    </row>
    <row r="670" spans="1:11">
      <c r="A670" s="1">
        <v>667</v>
      </c>
      <c r="B670" s="13" t="s">
        <v>628</v>
      </c>
      <c r="C670" s="8" t="s">
        <v>4461</v>
      </c>
      <c r="D670" s="12" t="s">
        <v>36</v>
      </c>
      <c r="E670" s="11">
        <v>1350999</v>
      </c>
      <c r="F670" s="10">
        <f t="shared" si="24"/>
        <v>1310469.03</v>
      </c>
      <c r="G670" s="9">
        <f t="shared" si="25"/>
        <v>1269939.0599999998</v>
      </c>
      <c r="H670" s="72">
        <v>750.78</v>
      </c>
      <c r="I670" s="72">
        <v>590.72</v>
      </c>
      <c r="J670" s="72">
        <v>160.06</v>
      </c>
      <c r="K670" s="8" t="s">
        <v>668</v>
      </c>
    </row>
    <row r="671" spans="1:11">
      <c r="A671" s="1">
        <v>668</v>
      </c>
      <c r="B671" s="13" t="s">
        <v>629</v>
      </c>
      <c r="C671" s="8" t="s">
        <v>4461</v>
      </c>
      <c r="D671" s="12" t="s">
        <v>36</v>
      </c>
      <c r="E671" s="11">
        <v>1350999</v>
      </c>
      <c r="F671" s="10">
        <f t="shared" si="24"/>
        <v>1310469.03</v>
      </c>
      <c r="G671" s="9">
        <f t="shared" si="25"/>
        <v>1269939.0599999998</v>
      </c>
      <c r="H671" s="72">
        <v>750.78</v>
      </c>
      <c r="I671" s="72">
        <v>590.72</v>
      </c>
      <c r="J671" s="72">
        <v>160.06</v>
      </c>
      <c r="K671" s="8" t="s">
        <v>668</v>
      </c>
    </row>
    <row r="672" spans="1:11">
      <c r="A672" s="1">
        <v>669</v>
      </c>
      <c r="B672" s="13" t="s">
        <v>630</v>
      </c>
      <c r="C672" s="8" t="s">
        <v>4461</v>
      </c>
      <c r="D672" s="12" t="s">
        <v>24</v>
      </c>
      <c r="E672" s="11">
        <v>2113999</v>
      </c>
      <c r="F672" s="10">
        <f t="shared" si="24"/>
        <v>2050579.03</v>
      </c>
      <c r="G672" s="9">
        <f t="shared" si="25"/>
        <v>1987159.0599999998</v>
      </c>
      <c r="H672" s="72">
        <v>1263.1400000000001</v>
      </c>
      <c r="I672" s="72">
        <v>1010.84</v>
      </c>
      <c r="J672" s="72">
        <v>252.31</v>
      </c>
      <c r="K672" s="8" t="s">
        <v>668</v>
      </c>
    </row>
    <row r="673" spans="1:11">
      <c r="A673" s="1">
        <v>670</v>
      </c>
      <c r="B673" s="13" t="s">
        <v>631</v>
      </c>
      <c r="C673" s="8" t="s">
        <v>4461</v>
      </c>
      <c r="D673" s="12" t="s">
        <v>24</v>
      </c>
      <c r="E673" s="11">
        <v>2132999</v>
      </c>
      <c r="F673" s="10">
        <f t="shared" si="24"/>
        <v>2069009.03</v>
      </c>
      <c r="G673" s="9">
        <f t="shared" si="25"/>
        <v>2005019.0599999998</v>
      </c>
      <c r="H673" s="72">
        <v>1266.3699999999999</v>
      </c>
      <c r="I673" s="72">
        <v>1014.07</v>
      </c>
      <c r="J673" s="72">
        <v>252.31</v>
      </c>
      <c r="K673" s="8" t="s">
        <v>665</v>
      </c>
    </row>
    <row r="674" spans="1:11">
      <c r="A674" s="1">
        <v>671</v>
      </c>
      <c r="B674" s="13" t="s">
        <v>4891</v>
      </c>
      <c r="C674" s="8" t="s">
        <v>4461</v>
      </c>
      <c r="D674" s="12" t="s">
        <v>36</v>
      </c>
      <c r="E674" s="11">
        <v>1367999</v>
      </c>
      <c r="F674" s="10">
        <f t="shared" si="24"/>
        <v>1326959.03</v>
      </c>
      <c r="G674" s="9">
        <f t="shared" si="25"/>
        <v>1285919.0599999998</v>
      </c>
      <c r="H674" s="72">
        <v>757.35</v>
      </c>
      <c r="I674" s="72">
        <v>597.29</v>
      </c>
      <c r="J674" s="72">
        <v>160.06</v>
      </c>
      <c r="K674" s="8" t="s">
        <v>665</v>
      </c>
    </row>
    <row r="675" spans="1:11">
      <c r="A675" s="1">
        <v>672</v>
      </c>
      <c r="B675" s="13" t="s">
        <v>1194</v>
      </c>
      <c r="C675" s="8" t="s">
        <v>4461</v>
      </c>
      <c r="D675" s="12" t="s">
        <v>36</v>
      </c>
      <c r="E675" s="11">
        <v>1367999</v>
      </c>
      <c r="F675" s="10">
        <f t="shared" si="24"/>
        <v>1326959.03</v>
      </c>
      <c r="G675" s="9">
        <f t="shared" si="25"/>
        <v>1285919.0599999998</v>
      </c>
      <c r="H675" s="72">
        <v>757.35</v>
      </c>
      <c r="I675" s="72">
        <v>597.29</v>
      </c>
      <c r="J675" s="72">
        <v>160.06</v>
      </c>
      <c r="K675" s="8" t="s">
        <v>665</v>
      </c>
    </row>
    <row r="676" spans="1:11">
      <c r="A676" s="1">
        <v>673</v>
      </c>
      <c r="B676" s="13" t="s">
        <v>632</v>
      </c>
      <c r="C676" s="8" t="s">
        <v>4461</v>
      </c>
      <c r="D676" s="12" t="s">
        <v>36</v>
      </c>
      <c r="E676" s="11">
        <v>1367999</v>
      </c>
      <c r="F676" s="10">
        <f t="shared" si="24"/>
        <v>1326959.03</v>
      </c>
      <c r="G676" s="9">
        <f t="shared" si="25"/>
        <v>1285919.0599999998</v>
      </c>
      <c r="H676" s="72">
        <v>757.13</v>
      </c>
      <c r="I676" s="72">
        <v>597.07000000000005</v>
      </c>
      <c r="J676" s="72">
        <v>160.06</v>
      </c>
      <c r="K676" s="8" t="s">
        <v>665</v>
      </c>
    </row>
    <row r="677" spans="1:11">
      <c r="A677" s="1">
        <v>674</v>
      </c>
      <c r="B677" s="13" t="s">
        <v>735</v>
      </c>
      <c r="C677" s="8" t="s">
        <v>4460</v>
      </c>
      <c r="D677" s="12" t="s">
        <v>36</v>
      </c>
      <c r="E677" s="11">
        <v>1370999</v>
      </c>
      <c r="F677" s="10">
        <f t="shared" si="24"/>
        <v>1329869.03</v>
      </c>
      <c r="G677" s="9">
        <f t="shared" si="25"/>
        <v>1288739.0599999998</v>
      </c>
      <c r="H677" s="72">
        <v>816.01</v>
      </c>
      <c r="I677" s="72">
        <v>585.13</v>
      </c>
      <c r="J677" s="72">
        <v>230.89</v>
      </c>
      <c r="K677" s="8" t="s">
        <v>668</v>
      </c>
    </row>
    <row r="678" spans="1:11">
      <c r="A678" s="1">
        <v>675</v>
      </c>
      <c r="B678" s="13" t="s">
        <v>736</v>
      </c>
      <c r="C678" s="8" t="s">
        <v>4460</v>
      </c>
      <c r="D678" s="12" t="s">
        <v>36</v>
      </c>
      <c r="E678" s="11">
        <v>1269999</v>
      </c>
      <c r="F678" s="10">
        <f t="shared" si="24"/>
        <v>1231899.03</v>
      </c>
      <c r="G678" s="9">
        <f t="shared" si="25"/>
        <v>1193799.0599999998</v>
      </c>
      <c r="H678" s="72">
        <v>640.55999999999995</v>
      </c>
      <c r="I678" s="72">
        <v>571.03</v>
      </c>
      <c r="J678" s="72">
        <v>69.53</v>
      </c>
      <c r="K678" s="8" t="s">
        <v>668</v>
      </c>
    </row>
    <row r="679" spans="1:11">
      <c r="A679" s="1">
        <v>676</v>
      </c>
      <c r="B679" s="13" t="s">
        <v>737</v>
      </c>
      <c r="C679" s="8" t="s">
        <v>4460</v>
      </c>
      <c r="D679" s="12" t="s">
        <v>36</v>
      </c>
      <c r="E679" s="11">
        <v>1350999</v>
      </c>
      <c r="F679" s="10">
        <f t="shared" si="24"/>
        <v>1310469.03</v>
      </c>
      <c r="G679" s="9">
        <f t="shared" si="25"/>
        <v>1269939.0599999998</v>
      </c>
      <c r="H679" s="72">
        <v>750.78</v>
      </c>
      <c r="I679" s="72">
        <v>590.72</v>
      </c>
      <c r="J679" s="72">
        <v>160.06</v>
      </c>
      <c r="K679" s="8" t="s">
        <v>668</v>
      </c>
    </row>
    <row r="680" spans="1:11">
      <c r="A680" s="1">
        <v>677</v>
      </c>
      <c r="B680" s="13" t="s">
        <v>738</v>
      </c>
      <c r="C680" s="8" t="s">
        <v>4460</v>
      </c>
      <c r="D680" s="12" t="s">
        <v>36</v>
      </c>
      <c r="E680" s="11">
        <v>1350999</v>
      </c>
      <c r="F680" s="10">
        <f t="shared" si="24"/>
        <v>1310469.03</v>
      </c>
      <c r="G680" s="9">
        <f t="shared" si="25"/>
        <v>1269939.0599999998</v>
      </c>
      <c r="H680" s="72">
        <v>750.78</v>
      </c>
      <c r="I680" s="72">
        <v>590.72</v>
      </c>
      <c r="J680" s="72">
        <v>160.06</v>
      </c>
      <c r="K680" s="8" t="s">
        <v>668</v>
      </c>
    </row>
    <row r="681" spans="1:11">
      <c r="A681" s="1">
        <v>678</v>
      </c>
      <c r="B681" s="13" t="s">
        <v>739</v>
      </c>
      <c r="C681" s="8" t="s">
        <v>4460</v>
      </c>
      <c r="D681" s="12" t="s">
        <v>24</v>
      </c>
      <c r="E681" s="11">
        <v>2112999</v>
      </c>
      <c r="F681" s="10">
        <f t="shared" si="24"/>
        <v>2049609.03</v>
      </c>
      <c r="G681" s="9">
        <f t="shared" si="25"/>
        <v>1986219.0599999998</v>
      </c>
      <c r="H681" s="72">
        <v>1263.1400000000001</v>
      </c>
      <c r="I681" s="72">
        <v>1010.84</v>
      </c>
      <c r="J681" s="72">
        <v>252.31</v>
      </c>
      <c r="K681" s="8" t="s">
        <v>668</v>
      </c>
    </row>
    <row r="682" spans="1:11">
      <c r="A682" s="1">
        <v>679</v>
      </c>
      <c r="B682" s="13" t="s">
        <v>740</v>
      </c>
      <c r="C682" s="8" t="s">
        <v>4460</v>
      </c>
      <c r="D682" s="12" t="s">
        <v>24</v>
      </c>
      <c r="E682" s="11">
        <v>2131999</v>
      </c>
      <c r="F682" s="10">
        <f t="shared" si="24"/>
        <v>2068039.03</v>
      </c>
      <c r="G682" s="9">
        <f t="shared" si="25"/>
        <v>2004079.0599999998</v>
      </c>
      <c r="H682" s="72">
        <v>1266.3699999999999</v>
      </c>
      <c r="I682" s="72">
        <v>1014.07</v>
      </c>
      <c r="J682" s="72">
        <v>252.31</v>
      </c>
      <c r="K682" s="8" t="s">
        <v>665</v>
      </c>
    </row>
    <row r="683" spans="1:11">
      <c r="A683" s="1">
        <v>680</v>
      </c>
      <c r="B683" s="13" t="s">
        <v>741</v>
      </c>
      <c r="C683" s="8" t="s">
        <v>4460</v>
      </c>
      <c r="D683" s="12" t="s">
        <v>36</v>
      </c>
      <c r="E683" s="11">
        <v>1366999</v>
      </c>
      <c r="F683" s="10">
        <f t="shared" si="24"/>
        <v>1325989.03</v>
      </c>
      <c r="G683" s="9">
        <f t="shared" si="25"/>
        <v>1284979.0599999998</v>
      </c>
      <c r="H683" s="72">
        <v>757.35</v>
      </c>
      <c r="I683" s="72">
        <v>597.29</v>
      </c>
      <c r="J683" s="72">
        <v>160.06</v>
      </c>
      <c r="K683" s="8" t="s">
        <v>665</v>
      </c>
    </row>
    <row r="684" spans="1:11">
      <c r="A684" s="1">
        <v>681</v>
      </c>
      <c r="B684" s="13" t="s">
        <v>742</v>
      </c>
      <c r="C684" s="8" t="s">
        <v>4460</v>
      </c>
      <c r="D684" s="12" t="s">
        <v>36</v>
      </c>
      <c r="E684" s="11">
        <v>1366999</v>
      </c>
      <c r="F684" s="10">
        <f t="shared" si="24"/>
        <v>1325989.03</v>
      </c>
      <c r="G684" s="9">
        <f t="shared" si="25"/>
        <v>1284979.0599999998</v>
      </c>
      <c r="H684" s="72">
        <v>757.35</v>
      </c>
      <c r="I684" s="72">
        <v>597.29</v>
      </c>
      <c r="J684" s="72">
        <v>160.06</v>
      </c>
      <c r="K684" s="8" t="s">
        <v>665</v>
      </c>
    </row>
    <row r="685" spans="1:11">
      <c r="A685" s="1">
        <v>682</v>
      </c>
      <c r="B685" s="13" t="s">
        <v>743</v>
      </c>
      <c r="C685" s="8" t="s">
        <v>4460</v>
      </c>
      <c r="D685" s="12" t="s">
        <v>36</v>
      </c>
      <c r="E685" s="11">
        <v>1366999</v>
      </c>
      <c r="F685" s="10">
        <f t="shared" si="24"/>
        <v>1325989.03</v>
      </c>
      <c r="G685" s="9">
        <f t="shared" si="25"/>
        <v>1284979.0599999998</v>
      </c>
      <c r="H685" s="72">
        <v>757.13</v>
      </c>
      <c r="I685" s="72">
        <v>597.07000000000005</v>
      </c>
      <c r="J685" s="72">
        <v>160.06</v>
      </c>
      <c r="K685" s="8" t="s">
        <v>665</v>
      </c>
    </row>
    <row r="686" spans="1:11">
      <c r="A686" s="1">
        <v>683</v>
      </c>
      <c r="B686" s="13" t="s">
        <v>633</v>
      </c>
      <c r="C686" s="8" t="s">
        <v>11</v>
      </c>
      <c r="D686" s="12" t="s">
        <v>36</v>
      </c>
      <c r="E686" s="11">
        <v>1371999</v>
      </c>
      <c r="F686" s="10">
        <f t="shared" si="24"/>
        <v>1330839.03</v>
      </c>
      <c r="G686" s="9">
        <f t="shared" si="25"/>
        <v>1289679.0599999998</v>
      </c>
      <c r="H686" s="72">
        <v>821.61</v>
      </c>
      <c r="I686" s="72">
        <v>585.13</v>
      </c>
      <c r="J686" s="72">
        <v>236.48</v>
      </c>
      <c r="K686" s="8" t="s">
        <v>668</v>
      </c>
    </row>
    <row r="687" spans="1:11">
      <c r="A687" s="1">
        <v>684</v>
      </c>
      <c r="B687" s="13" t="s">
        <v>634</v>
      </c>
      <c r="C687" s="8" t="s">
        <v>11</v>
      </c>
      <c r="D687" s="12" t="s">
        <v>36</v>
      </c>
      <c r="E687" s="11">
        <v>1333999</v>
      </c>
      <c r="F687" s="10">
        <f t="shared" si="24"/>
        <v>1293979.03</v>
      </c>
      <c r="G687" s="9">
        <f t="shared" si="25"/>
        <v>1253959.0599999998</v>
      </c>
      <c r="H687" s="72">
        <v>775.54</v>
      </c>
      <c r="I687" s="72">
        <v>571.03</v>
      </c>
      <c r="J687" s="72">
        <v>204.51</v>
      </c>
      <c r="K687" s="8" t="s">
        <v>668</v>
      </c>
    </row>
    <row r="688" spans="1:11">
      <c r="A688" s="1">
        <v>685</v>
      </c>
      <c r="B688" s="13" t="s">
        <v>635</v>
      </c>
      <c r="C688" s="8" t="s">
        <v>11</v>
      </c>
      <c r="D688" s="12" t="s">
        <v>36</v>
      </c>
      <c r="E688" s="11">
        <v>1349999</v>
      </c>
      <c r="F688" s="10">
        <f t="shared" si="24"/>
        <v>1309499.03</v>
      </c>
      <c r="G688" s="9">
        <f t="shared" si="25"/>
        <v>1268999.0599999998</v>
      </c>
      <c r="H688" s="72">
        <v>750.78</v>
      </c>
      <c r="I688" s="72">
        <v>590.72</v>
      </c>
      <c r="J688" s="72">
        <v>160.06</v>
      </c>
      <c r="K688" s="8" t="s">
        <v>668</v>
      </c>
    </row>
    <row r="689" spans="1:11">
      <c r="A689" s="1">
        <v>686</v>
      </c>
      <c r="B689" s="13" t="s">
        <v>636</v>
      </c>
      <c r="C689" s="8" t="s">
        <v>11</v>
      </c>
      <c r="D689" s="12" t="s">
        <v>36</v>
      </c>
      <c r="E689" s="11">
        <v>1349999</v>
      </c>
      <c r="F689" s="10">
        <f t="shared" si="24"/>
        <v>1309499.03</v>
      </c>
      <c r="G689" s="9">
        <f t="shared" si="25"/>
        <v>1268999.0599999998</v>
      </c>
      <c r="H689" s="72">
        <v>750.78</v>
      </c>
      <c r="I689" s="72">
        <v>590.72</v>
      </c>
      <c r="J689" s="72">
        <v>160.06</v>
      </c>
      <c r="K689" s="8" t="s">
        <v>668</v>
      </c>
    </row>
    <row r="690" spans="1:11">
      <c r="A690" s="1">
        <v>687</v>
      </c>
      <c r="B690" s="13" t="s">
        <v>637</v>
      </c>
      <c r="C690" s="8" t="s">
        <v>11</v>
      </c>
      <c r="D690" s="12" t="s">
        <v>24</v>
      </c>
      <c r="E690" s="11">
        <v>2111999</v>
      </c>
      <c r="F690" s="10">
        <f t="shared" si="24"/>
        <v>2048639.03</v>
      </c>
      <c r="G690" s="9">
        <f t="shared" si="25"/>
        <v>1985279.0599999998</v>
      </c>
      <c r="H690" s="72">
        <v>1263.1400000000001</v>
      </c>
      <c r="I690" s="72">
        <v>1010.84</v>
      </c>
      <c r="J690" s="72">
        <v>252.31</v>
      </c>
      <c r="K690" s="8" t="s">
        <v>668</v>
      </c>
    </row>
    <row r="691" spans="1:11">
      <c r="A691" s="1">
        <v>688</v>
      </c>
      <c r="B691" s="13" t="s">
        <v>638</v>
      </c>
      <c r="C691" s="8" t="s">
        <v>11</v>
      </c>
      <c r="D691" s="12" t="s">
        <v>24</v>
      </c>
      <c r="E691" s="11">
        <v>2130999</v>
      </c>
      <c r="F691" s="10">
        <f t="shared" si="24"/>
        <v>2067069.03</v>
      </c>
      <c r="G691" s="9">
        <f t="shared" si="25"/>
        <v>2003139.0599999998</v>
      </c>
      <c r="H691" s="72">
        <v>1266.3699999999999</v>
      </c>
      <c r="I691" s="72">
        <v>1014.07</v>
      </c>
      <c r="J691" s="72">
        <v>252.31</v>
      </c>
      <c r="K691" s="8" t="s">
        <v>665</v>
      </c>
    </row>
    <row r="692" spans="1:11">
      <c r="A692" s="1">
        <v>689</v>
      </c>
      <c r="B692" s="13" t="s">
        <v>639</v>
      </c>
      <c r="C692" s="8" t="s">
        <v>11</v>
      </c>
      <c r="D692" s="12" t="s">
        <v>36</v>
      </c>
      <c r="E692" s="11">
        <v>1359999</v>
      </c>
      <c r="F692" s="10">
        <f t="shared" si="24"/>
        <v>1319199.03</v>
      </c>
      <c r="G692" s="9">
        <f t="shared" si="25"/>
        <v>1278399.0599999998</v>
      </c>
      <c r="H692" s="72">
        <v>754.55</v>
      </c>
      <c r="I692" s="72">
        <v>594.49</v>
      </c>
      <c r="J692" s="72">
        <v>160.06</v>
      </c>
      <c r="K692" s="8" t="s">
        <v>665</v>
      </c>
    </row>
    <row r="693" spans="1:11">
      <c r="A693" s="1">
        <v>690</v>
      </c>
      <c r="B693" s="13" t="s">
        <v>640</v>
      </c>
      <c r="C693" s="8" t="s">
        <v>11</v>
      </c>
      <c r="D693" s="12" t="s">
        <v>36</v>
      </c>
      <c r="E693" s="11">
        <v>1366999</v>
      </c>
      <c r="F693" s="10">
        <f t="shared" si="24"/>
        <v>1325989.03</v>
      </c>
      <c r="G693" s="9">
        <f t="shared" si="25"/>
        <v>1284979.0599999998</v>
      </c>
      <c r="H693" s="72">
        <v>757.35</v>
      </c>
      <c r="I693" s="72">
        <v>597.29</v>
      </c>
      <c r="J693" s="72">
        <v>160.06</v>
      </c>
      <c r="K693" s="8" t="s">
        <v>665</v>
      </c>
    </row>
    <row r="694" spans="1:11">
      <c r="A694" s="1">
        <v>691</v>
      </c>
      <c r="B694" s="13" t="s">
        <v>641</v>
      </c>
      <c r="C694" s="8" t="s">
        <v>11</v>
      </c>
      <c r="D694" s="12" t="s">
        <v>36</v>
      </c>
      <c r="E694" s="11">
        <v>1366999</v>
      </c>
      <c r="F694" s="10">
        <f t="shared" si="24"/>
        <v>1325989.03</v>
      </c>
      <c r="G694" s="9">
        <f t="shared" si="25"/>
        <v>1284979.0599999998</v>
      </c>
      <c r="H694" s="72">
        <v>757.35</v>
      </c>
      <c r="I694" s="72">
        <v>597.29</v>
      </c>
      <c r="J694" s="72">
        <v>160.06</v>
      </c>
      <c r="K694" s="8" t="s">
        <v>665</v>
      </c>
    </row>
    <row r="695" spans="1:11">
      <c r="A695" s="1">
        <v>692</v>
      </c>
      <c r="B695" s="13" t="s">
        <v>642</v>
      </c>
      <c r="C695" s="8" t="s">
        <v>11</v>
      </c>
      <c r="D695" s="12" t="s">
        <v>36</v>
      </c>
      <c r="E695" s="11">
        <v>1366999</v>
      </c>
      <c r="F695" s="10">
        <f t="shared" si="24"/>
        <v>1325989.03</v>
      </c>
      <c r="G695" s="9">
        <f t="shared" si="25"/>
        <v>1284979.0599999998</v>
      </c>
      <c r="H695" s="72">
        <v>757.35</v>
      </c>
      <c r="I695" s="72">
        <v>597.29</v>
      </c>
      <c r="J695" s="72">
        <v>160.06</v>
      </c>
      <c r="K695" s="8" t="s">
        <v>665</v>
      </c>
    </row>
    <row r="696" spans="1:11">
      <c r="A696" s="1">
        <v>693</v>
      </c>
      <c r="B696" s="13" t="s">
        <v>643</v>
      </c>
      <c r="C696" s="8" t="s">
        <v>11</v>
      </c>
      <c r="D696" s="12" t="s">
        <v>48</v>
      </c>
      <c r="E696" s="11">
        <v>2944999</v>
      </c>
      <c r="F696" s="10">
        <f t="shared" si="24"/>
        <v>2856649.03</v>
      </c>
      <c r="G696" s="9">
        <f t="shared" si="25"/>
        <v>2768299.06</v>
      </c>
      <c r="H696" s="72">
        <v>2521.02</v>
      </c>
      <c r="I696" s="72">
        <v>1138.28</v>
      </c>
      <c r="J696" s="72">
        <v>1382.73</v>
      </c>
      <c r="K696" s="8" t="s">
        <v>665</v>
      </c>
    </row>
    <row r="697" spans="1:11">
      <c r="A697" s="1">
        <v>694</v>
      </c>
      <c r="B697" s="13" t="s">
        <v>744</v>
      </c>
      <c r="C697" s="8" t="s">
        <v>12</v>
      </c>
      <c r="D697" s="12" t="s">
        <v>36</v>
      </c>
      <c r="E697" s="11">
        <v>1291999</v>
      </c>
      <c r="F697" s="10">
        <f t="shared" si="24"/>
        <v>1253239.03</v>
      </c>
      <c r="G697" s="9">
        <f t="shared" si="25"/>
        <v>1214479.0599999998</v>
      </c>
      <c r="H697" s="72">
        <v>682.86</v>
      </c>
      <c r="I697" s="72">
        <v>567.69000000000005</v>
      </c>
      <c r="J697" s="72">
        <v>115.17</v>
      </c>
      <c r="K697" s="8" t="s">
        <v>665</v>
      </c>
    </row>
    <row r="698" spans="1:11">
      <c r="A698" s="1">
        <v>695</v>
      </c>
      <c r="B698" s="13" t="s">
        <v>4340</v>
      </c>
      <c r="C698" s="8" t="s">
        <v>12</v>
      </c>
      <c r="D698" s="12" t="s">
        <v>24</v>
      </c>
      <c r="E698" s="11">
        <v>1998999</v>
      </c>
      <c r="F698" s="10">
        <f t="shared" si="24"/>
        <v>1939029.03</v>
      </c>
      <c r="G698" s="9">
        <f t="shared" si="25"/>
        <v>1879059.0599999998</v>
      </c>
      <c r="H698" s="72">
        <v>1160.1300000000001</v>
      </c>
      <c r="I698" s="72">
        <v>826.13</v>
      </c>
      <c r="J698" s="72">
        <v>334</v>
      </c>
      <c r="K698" s="8" t="s">
        <v>666</v>
      </c>
    </row>
    <row r="699" spans="1:11">
      <c r="A699" s="1">
        <v>696</v>
      </c>
      <c r="B699" s="13" t="s">
        <v>745</v>
      </c>
      <c r="C699" s="8" t="s">
        <v>12</v>
      </c>
      <c r="D699" s="12" t="s">
        <v>36</v>
      </c>
      <c r="E699" s="11">
        <v>1494999</v>
      </c>
      <c r="F699" s="10">
        <f t="shared" si="24"/>
        <v>1450149.03</v>
      </c>
      <c r="G699" s="9">
        <f t="shared" si="25"/>
        <v>1405299.0599999998</v>
      </c>
      <c r="H699" s="72">
        <v>925.59</v>
      </c>
      <c r="I699" s="72">
        <v>654.45000000000005</v>
      </c>
      <c r="J699" s="72">
        <v>271.14</v>
      </c>
      <c r="K699" s="8" t="s">
        <v>666</v>
      </c>
    </row>
    <row r="700" spans="1:11">
      <c r="A700" s="1">
        <v>697</v>
      </c>
      <c r="B700" s="13" t="s">
        <v>746</v>
      </c>
      <c r="C700" s="8" t="s">
        <v>12</v>
      </c>
      <c r="D700" s="12" t="s">
        <v>36</v>
      </c>
      <c r="E700" s="11">
        <v>1494999</v>
      </c>
      <c r="F700" s="10">
        <f t="shared" si="24"/>
        <v>1450149.03</v>
      </c>
      <c r="G700" s="9">
        <f t="shared" si="25"/>
        <v>1405299.0599999998</v>
      </c>
      <c r="H700" s="72">
        <v>924.84</v>
      </c>
      <c r="I700" s="72">
        <v>654.45000000000005</v>
      </c>
      <c r="J700" s="72">
        <v>270.39</v>
      </c>
      <c r="K700" s="8" t="s">
        <v>665</v>
      </c>
    </row>
    <row r="701" spans="1:11">
      <c r="A701" s="1">
        <v>698</v>
      </c>
      <c r="B701" s="13" t="s">
        <v>4341</v>
      </c>
      <c r="C701" s="8" t="s">
        <v>12</v>
      </c>
      <c r="D701" s="12" t="s">
        <v>36</v>
      </c>
      <c r="E701" s="11">
        <v>1254999</v>
      </c>
      <c r="F701" s="10">
        <f t="shared" si="24"/>
        <v>1217349.03</v>
      </c>
      <c r="G701" s="9">
        <f t="shared" si="25"/>
        <v>1179699.0599999998</v>
      </c>
      <c r="H701" s="72">
        <v>705.47</v>
      </c>
      <c r="I701" s="72">
        <v>541.64</v>
      </c>
      <c r="J701" s="72">
        <v>163.83000000000001</v>
      </c>
      <c r="K701" s="8" t="s">
        <v>666</v>
      </c>
    </row>
    <row r="702" spans="1:11">
      <c r="A702" s="1">
        <v>699</v>
      </c>
      <c r="B702" s="13" t="s">
        <v>1195</v>
      </c>
      <c r="C702" s="8" t="s">
        <v>12</v>
      </c>
      <c r="D702" s="12" t="s">
        <v>36</v>
      </c>
      <c r="E702" s="11">
        <v>1263999</v>
      </c>
      <c r="F702" s="10">
        <f t="shared" si="24"/>
        <v>1226079.03</v>
      </c>
      <c r="G702" s="9">
        <f t="shared" si="25"/>
        <v>1188159.0599999998</v>
      </c>
      <c r="H702" s="72">
        <v>700.62</v>
      </c>
      <c r="I702" s="72">
        <v>544.87</v>
      </c>
      <c r="J702" s="72">
        <v>155.75</v>
      </c>
      <c r="K702" s="8" t="s">
        <v>665</v>
      </c>
    </row>
    <row r="703" spans="1:11">
      <c r="A703" s="1">
        <v>700</v>
      </c>
      <c r="B703" s="13" t="s">
        <v>747</v>
      </c>
      <c r="C703" s="8" t="s">
        <v>12</v>
      </c>
      <c r="D703" s="12" t="s">
        <v>35</v>
      </c>
      <c r="E703" s="11">
        <v>831999</v>
      </c>
      <c r="F703" s="10">
        <f t="shared" si="24"/>
        <v>807039.03</v>
      </c>
      <c r="G703" s="9">
        <f t="shared" si="25"/>
        <v>782079.05999999994</v>
      </c>
      <c r="H703" s="72">
        <v>332.39</v>
      </c>
      <c r="I703" s="72">
        <v>332.39</v>
      </c>
      <c r="J703" s="72">
        <v>0</v>
      </c>
      <c r="K703" s="8" t="s">
        <v>665</v>
      </c>
    </row>
    <row r="704" spans="1:11">
      <c r="A704" s="1">
        <v>701</v>
      </c>
      <c r="B704" s="13" t="s">
        <v>5070</v>
      </c>
      <c r="C704" s="8" t="s">
        <v>12</v>
      </c>
      <c r="D704" s="12" t="s">
        <v>35</v>
      </c>
      <c r="E704" s="11">
        <v>778999</v>
      </c>
      <c r="F704" s="10">
        <f t="shared" si="24"/>
        <v>755629.03</v>
      </c>
      <c r="G704" s="9">
        <f t="shared" si="25"/>
        <v>732259.05999999994</v>
      </c>
      <c r="H704" s="72">
        <v>311.39999999999998</v>
      </c>
      <c r="I704" s="72">
        <v>311.39999999999998</v>
      </c>
      <c r="J704" s="72">
        <v>0</v>
      </c>
      <c r="K704" s="8" t="s">
        <v>665</v>
      </c>
    </row>
    <row r="705" spans="1:11">
      <c r="A705" s="1">
        <v>702</v>
      </c>
      <c r="B705" s="13" t="s">
        <v>748</v>
      </c>
      <c r="C705" s="8" t="s">
        <v>12</v>
      </c>
      <c r="D705" s="12" t="s">
        <v>36</v>
      </c>
      <c r="E705" s="11">
        <v>1429999</v>
      </c>
      <c r="F705" s="10">
        <f t="shared" si="24"/>
        <v>1387099.03</v>
      </c>
      <c r="G705" s="9">
        <f t="shared" si="25"/>
        <v>1344199.0599999998</v>
      </c>
      <c r="H705" s="72">
        <v>850.24</v>
      </c>
      <c r="I705" s="72">
        <v>628.94000000000005</v>
      </c>
      <c r="J705" s="72">
        <v>221.31</v>
      </c>
      <c r="K705" s="8" t="s">
        <v>665</v>
      </c>
    </row>
    <row r="706" spans="1:11">
      <c r="A706" s="1">
        <v>703</v>
      </c>
      <c r="B706" s="13" t="s">
        <v>749</v>
      </c>
      <c r="C706" s="8" t="s">
        <v>12</v>
      </c>
      <c r="D706" s="12" t="s">
        <v>36</v>
      </c>
      <c r="E706" s="11">
        <v>1319999</v>
      </c>
      <c r="F706" s="10">
        <f t="shared" si="24"/>
        <v>1280399.03</v>
      </c>
      <c r="G706" s="9">
        <f t="shared" si="25"/>
        <v>1240799.0599999998</v>
      </c>
      <c r="H706" s="72">
        <v>612.36</v>
      </c>
      <c r="I706" s="72">
        <v>612.36</v>
      </c>
      <c r="J706" s="72">
        <v>0</v>
      </c>
      <c r="K706" s="8" t="s">
        <v>666</v>
      </c>
    </row>
    <row r="707" spans="1:11">
      <c r="A707" s="1">
        <v>704</v>
      </c>
      <c r="B707" s="13" t="s">
        <v>750</v>
      </c>
      <c r="C707" s="8" t="s">
        <v>12</v>
      </c>
      <c r="D707" s="12" t="s">
        <v>36</v>
      </c>
      <c r="E707" s="11">
        <v>1304999</v>
      </c>
      <c r="F707" s="10">
        <f t="shared" si="24"/>
        <v>1265849.03</v>
      </c>
      <c r="G707" s="9">
        <f t="shared" si="25"/>
        <v>1226699.0599999998</v>
      </c>
      <c r="H707" s="72">
        <v>725.92</v>
      </c>
      <c r="I707" s="72">
        <v>565.42999999999995</v>
      </c>
      <c r="J707" s="72">
        <v>160.49</v>
      </c>
      <c r="K707" s="8" t="s">
        <v>666</v>
      </c>
    </row>
    <row r="708" spans="1:11">
      <c r="A708" s="1">
        <v>705</v>
      </c>
      <c r="B708" s="13" t="s">
        <v>751</v>
      </c>
      <c r="C708" s="8" t="s">
        <v>12</v>
      </c>
      <c r="D708" s="12" t="s">
        <v>36</v>
      </c>
      <c r="E708" s="11">
        <v>1427999</v>
      </c>
      <c r="F708" s="10">
        <f t="shared" si="24"/>
        <v>1385159.03</v>
      </c>
      <c r="G708" s="9">
        <f t="shared" si="25"/>
        <v>1342319.0599999998</v>
      </c>
      <c r="H708" s="72">
        <v>1044.31</v>
      </c>
      <c r="I708" s="72">
        <v>574.79</v>
      </c>
      <c r="J708" s="72">
        <v>469.52</v>
      </c>
      <c r="K708" s="8" t="s">
        <v>667</v>
      </c>
    </row>
    <row r="709" spans="1:11">
      <c r="A709" s="1">
        <v>706</v>
      </c>
      <c r="B709" s="13" t="s">
        <v>752</v>
      </c>
      <c r="C709" s="8" t="s">
        <v>12</v>
      </c>
      <c r="D709" s="12" t="s">
        <v>36</v>
      </c>
      <c r="E709" s="11">
        <v>1370999</v>
      </c>
      <c r="F709" s="10">
        <f t="shared" si="24"/>
        <v>1329869.03</v>
      </c>
      <c r="G709" s="9">
        <f t="shared" si="25"/>
        <v>1288739.0599999998</v>
      </c>
      <c r="H709" s="72">
        <v>821.61</v>
      </c>
      <c r="I709" s="72">
        <v>585.13</v>
      </c>
      <c r="J709" s="72">
        <v>236.48</v>
      </c>
      <c r="K709" s="8" t="s">
        <v>668</v>
      </c>
    </row>
    <row r="710" spans="1:11">
      <c r="A710" s="1">
        <v>707</v>
      </c>
      <c r="B710" s="13" t="s">
        <v>753</v>
      </c>
      <c r="C710" s="8" t="s">
        <v>12</v>
      </c>
      <c r="D710" s="12" t="s">
        <v>36</v>
      </c>
      <c r="E710" s="11">
        <v>1333999</v>
      </c>
      <c r="F710" s="10">
        <f t="shared" si="24"/>
        <v>1293979.03</v>
      </c>
      <c r="G710" s="9">
        <f t="shared" si="25"/>
        <v>1253959.0599999998</v>
      </c>
      <c r="H710" s="72">
        <v>775.54</v>
      </c>
      <c r="I710" s="72">
        <v>571.03</v>
      </c>
      <c r="J710" s="72">
        <v>204.51</v>
      </c>
      <c r="K710" s="8" t="s">
        <v>668</v>
      </c>
    </row>
    <row r="711" spans="1:11">
      <c r="A711" s="1">
        <v>708</v>
      </c>
      <c r="B711" s="13" t="s">
        <v>754</v>
      </c>
      <c r="C711" s="8" t="s">
        <v>12</v>
      </c>
      <c r="D711" s="12" t="s">
        <v>36</v>
      </c>
      <c r="E711" s="11">
        <v>1349999</v>
      </c>
      <c r="F711" s="10">
        <f t="shared" si="24"/>
        <v>1309499.03</v>
      </c>
      <c r="G711" s="9">
        <f t="shared" si="25"/>
        <v>1268999.0599999998</v>
      </c>
      <c r="H711" s="72">
        <v>750.78</v>
      </c>
      <c r="I711" s="72">
        <v>590.72</v>
      </c>
      <c r="J711" s="72">
        <v>160.06</v>
      </c>
      <c r="K711" s="8" t="s">
        <v>668</v>
      </c>
    </row>
    <row r="712" spans="1:11">
      <c r="A712" s="1">
        <v>709</v>
      </c>
      <c r="B712" s="13" t="s">
        <v>755</v>
      </c>
      <c r="C712" s="8" t="s">
        <v>12</v>
      </c>
      <c r="D712" s="12" t="s">
        <v>36</v>
      </c>
      <c r="E712" s="11">
        <v>1349999</v>
      </c>
      <c r="F712" s="10">
        <f t="shared" si="24"/>
        <v>1309499.03</v>
      </c>
      <c r="G712" s="9">
        <f t="shared" si="25"/>
        <v>1268999.0599999998</v>
      </c>
      <c r="H712" s="72">
        <v>750.78</v>
      </c>
      <c r="I712" s="72">
        <v>590.72</v>
      </c>
      <c r="J712" s="72">
        <v>160.06</v>
      </c>
      <c r="K712" s="8" t="s">
        <v>668</v>
      </c>
    </row>
    <row r="713" spans="1:11">
      <c r="A713" s="1">
        <v>710</v>
      </c>
      <c r="B713" s="13" t="s">
        <v>756</v>
      </c>
      <c r="C713" s="8" t="s">
        <v>12</v>
      </c>
      <c r="D713" s="12" t="s">
        <v>36</v>
      </c>
      <c r="E713" s="11">
        <v>1428999</v>
      </c>
      <c r="F713" s="10">
        <f t="shared" si="24"/>
        <v>1386129.03</v>
      </c>
      <c r="G713" s="9">
        <f t="shared" si="25"/>
        <v>1343259.0599999998</v>
      </c>
      <c r="H713" s="72">
        <v>815.69</v>
      </c>
      <c r="I713" s="72">
        <v>643.36</v>
      </c>
      <c r="J713" s="72">
        <v>172.33</v>
      </c>
      <c r="K713" s="8" t="s">
        <v>668</v>
      </c>
    </row>
    <row r="714" spans="1:11">
      <c r="A714" s="1">
        <v>711</v>
      </c>
      <c r="B714" s="13" t="s">
        <v>1196</v>
      </c>
      <c r="C714" s="8" t="s">
        <v>12</v>
      </c>
      <c r="D714" s="12" t="s">
        <v>36</v>
      </c>
      <c r="E714" s="11">
        <v>1442999</v>
      </c>
      <c r="F714" s="10">
        <f t="shared" si="24"/>
        <v>1399709.03</v>
      </c>
      <c r="G714" s="9">
        <f t="shared" si="25"/>
        <v>1356419.0599999998</v>
      </c>
      <c r="H714" s="72">
        <v>818.92</v>
      </c>
      <c r="I714" s="72">
        <v>646.59</v>
      </c>
      <c r="J714" s="72">
        <v>172.33</v>
      </c>
      <c r="K714" s="8" t="s">
        <v>665</v>
      </c>
    </row>
    <row r="715" spans="1:11">
      <c r="A715" s="1">
        <v>712</v>
      </c>
      <c r="B715" s="13" t="s">
        <v>757</v>
      </c>
      <c r="C715" s="8" t="s">
        <v>12</v>
      </c>
      <c r="D715" s="12" t="s">
        <v>36</v>
      </c>
      <c r="E715" s="11">
        <v>1359999</v>
      </c>
      <c r="F715" s="10">
        <f t="shared" si="24"/>
        <v>1319199.03</v>
      </c>
      <c r="G715" s="9">
        <f t="shared" si="25"/>
        <v>1278399.0599999998</v>
      </c>
      <c r="H715" s="72">
        <v>754.33</v>
      </c>
      <c r="I715" s="72">
        <v>594.28</v>
      </c>
      <c r="J715" s="72">
        <v>160.06</v>
      </c>
      <c r="K715" s="8" t="s">
        <v>665</v>
      </c>
    </row>
    <row r="716" spans="1:11">
      <c r="A716" s="1">
        <v>713</v>
      </c>
      <c r="B716" s="13" t="s">
        <v>758</v>
      </c>
      <c r="C716" s="8" t="s">
        <v>12</v>
      </c>
      <c r="D716" s="12" t="s">
        <v>36</v>
      </c>
      <c r="E716" s="11">
        <v>1365999</v>
      </c>
      <c r="F716" s="10">
        <f t="shared" si="24"/>
        <v>1325019.03</v>
      </c>
      <c r="G716" s="9">
        <f t="shared" si="25"/>
        <v>1284039.0599999998</v>
      </c>
      <c r="H716" s="72">
        <v>757.35</v>
      </c>
      <c r="I716" s="72">
        <v>597.29</v>
      </c>
      <c r="J716" s="72">
        <v>160.06</v>
      </c>
      <c r="K716" s="8" t="s">
        <v>665</v>
      </c>
    </row>
    <row r="717" spans="1:11">
      <c r="A717" s="1">
        <v>714</v>
      </c>
      <c r="B717" s="13" t="s">
        <v>759</v>
      </c>
      <c r="C717" s="8" t="s">
        <v>12</v>
      </c>
      <c r="D717" s="12" t="s">
        <v>36</v>
      </c>
      <c r="E717" s="11">
        <v>1365999</v>
      </c>
      <c r="F717" s="10">
        <f t="shared" ref="F717:F754" si="26">E717*0.97</f>
        <v>1325019.03</v>
      </c>
      <c r="G717" s="9">
        <f t="shared" ref="G717:G754" si="27">E717*0.94</f>
        <v>1284039.0599999998</v>
      </c>
      <c r="H717" s="72">
        <v>757.35</v>
      </c>
      <c r="I717" s="72">
        <v>597.29</v>
      </c>
      <c r="J717" s="72">
        <v>160.06</v>
      </c>
      <c r="K717" s="8" t="s">
        <v>665</v>
      </c>
    </row>
    <row r="718" spans="1:11">
      <c r="A718" s="1">
        <v>715</v>
      </c>
      <c r="B718" s="13" t="s">
        <v>760</v>
      </c>
      <c r="C718" s="8" t="s">
        <v>12</v>
      </c>
      <c r="D718" s="12" t="s">
        <v>36</v>
      </c>
      <c r="E718" s="11">
        <v>1365999</v>
      </c>
      <c r="F718" s="10">
        <f t="shared" si="26"/>
        <v>1325019.03</v>
      </c>
      <c r="G718" s="9">
        <f t="shared" si="27"/>
        <v>1284039.0599999998</v>
      </c>
      <c r="H718" s="72">
        <v>757.13</v>
      </c>
      <c r="I718" s="72">
        <v>597.07000000000005</v>
      </c>
      <c r="J718" s="72">
        <v>160.06</v>
      </c>
      <c r="K718" s="8" t="s">
        <v>665</v>
      </c>
    </row>
    <row r="719" spans="1:11">
      <c r="A719" s="1">
        <v>716</v>
      </c>
      <c r="B719" s="13" t="s">
        <v>644</v>
      </c>
      <c r="C719" s="8" t="s">
        <v>32</v>
      </c>
      <c r="D719" s="12" t="s">
        <v>24</v>
      </c>
      <c r="E719" s="11">
        <v>1997999</v>
      </c>
      <c r="F719" s="10">
        <f t="shared" si="26"/>
        <v>1938059.03</v>
      </c>
      <c r="G719" s="9">
        <f t="shared" si="27"/>
        <v>1878119.0599999998</v>
      </c>
      <c r="H719" s="72">
        <v>1160.1300000000001</v>
      </c>
      <c r="I719" s="72">
        <v>826.13</v>
      </c>
      <c r="J719" s="72">
        <v>334</v>
      </c>
      <c r="K719" s="8" t="s">
        <v>669</v>
      </c>
    </row>
    <row r="720" spans="1:11">
      <c r="A720" s="1">
        <v>717</v>
      </c>
      <c r="B720" s="13" t="s">
        <v>645</v>
      </c>
      <c r="C720" s="8" t="s">
        <v>32</v>
      </c>
      <c r="D720" s="12" t="s">
        <v>36</v>
      </c>
      <c r="E720" s="11">
        <v>1494999</v>
      </c>
      <c r="F720" s="10">
        <f t="shared" si="26"/>
        <v>1450149.03</v>
      </c>
      <c r="G720" s="9">
        <f t="shared" si="27"/>
        <v>1405299.0599999998</v>
      </c>
      <c r="H720" s="72">
        <v>925.59</v>
      </c>
      <c r="I720" s="72">
        <v>654.45000000000005</v>
      </c>
      <c r="J720" s="72">
        <v>271.14</v>
      </c>
      <c r="K720" s="8" t="s">
        <v>666</v>
      </c>
    </row>
    <row r="721" spans="1:11">
      <c r="A721" s="1">
        <v>718</v>
      </c>
      <c r="B721" s="13" t="s">
        <v>646</v>
      </c>
      <c r="C721" s="8" t="s">
        <v>32</v>
      </c>
      <c r="D721" s="12" t="s">
        <v>36</v>
      </c>
      <c r="E721" s="11">
        <v>1494999</v>
      </c>
      <c r="F721" s="10">
        <f t="shared" si="26"/>
        <v>1450149.03</v>
      </c>
      <c r="G721" s="9">
        <f t="shared" si="27"/>
        <v>1405299.0599999998</v>
      </c>
      <c r="H721" s="72">
        <v>924.84</v>
      </c>
      <c r="I721" s="72">
        <v>654.45000000000005</v>
      </c>
      <c r="J721" s="72">
        <v>270.39</v>
      </c>
      <c r="K721" s="8" t="s">
        <v>665</v>
      </c>
    </row>
    <row r="722" spans="1:11">
      <c r="A722" s="1">
        <v>719</v>
      </c>
      <c r="B722" s="13" t="s">
        <v>4342</v>
      </c>
      <c r="C722" s="8" t="s">
        <v>32</v>
      </c>
      <c r="D722" s="12" t="s">
        <v>36</v>
      </c>
      <c r="E722" s="11">
        <v>1253999</v>
      </c>
      <c r="F722" s="10">
        <f t="shared" si="26"/>
        <v>1216379.03</v>
      </c>
      <c r="G722" s="9">
        <f t="shared" si="27"/>
        <v>1178759.0599999998</v>
      </c>
      <c r="H722" s="72">
        <v>705.47</v>
      </c>
      <c r="I722" s="72">
        <v>541.64</v>
      </c>
      <c r="J722" s="72">
        <v>163.83000000000001</v>
      </c>
      <c r="K722" s="8" t="s">
        <v>666</v>
      </c>
    </row>
    <row r="723" spans="1:11">
      <c r="A723" s="1">
        <v>720</v>
      </c>
      <c r="B723" s="13" t="s">
        <v>4593</v>
      </c>
      <c r="C723" s="8" t="s">
        <v>32</v>
      </c>
      <c r="D723" s="12" t="s">
        <v>35</v>
      </c>
      <c r="E723" s="11">
        <v>830999</v>
      </c>
      <c r="F723" s="10">
        <f t="shared" si="26"/>
        <v>806069.03</v>
      </c>
      <c r="G723" s="9">
        <f t="shared" si="27"/>
        <v>781139.05999999994</v>
      </c>
      <c r="H723" s="72">
        <v>332.39</v>
      </c>
      <c r="I723" s="72">
        <v>332.39</v>
      </c>
      <c r="J723" s="72">
        <v>0</v>
      </c>
      <c r="K723" s="8" t="s">
        <v>665</v>
      </c>
    </row>
    <row r="724" spans="1:11">
      <c r="A724" s="1">
        <v>721</v>
      </c>
      <c r="B724" s="13" t="s">
        <v>4892</v>
      </c>
      <c r="C724" s="8" t="s">
        <v>32</v>
      </c>
      <c r="D724" s="12" t="s">
        <v>35</v>
      </c>
      <c r="E724" s="11">
        <v>778999</v>
      </c>
      <c r="F724" s="10">
        <f t="shared" si="26"/>
        <v>755629.03</v>
      </c>
      <c r="G724" s="9">
        <f t="shared" si="27"/>
        <v>732259.05999999994</v>
      </c>
      <c r="H724" s="72">
        <v>311.39999999999998</v>
      </c>
      <c r="I724" s="72">
        <v>311.39999999999998</v>
      </c>
      <c r="J724" s="72">
        <v>0</v>
      </c>
      <c r="K724" s="8" t="s">
        <v>665</v>
      </c>
    </row>
    <row r="725" spans="1:11">
      <c r="A725" s="1">
        <v>722</v>
      </c>
      <c r="B725" s="13" t="s">
        <v>647</v>
      </c>
      <c r="C725" s="8" t="s">
        <v>32</v>
      </c>
      <c r="D725" s="12" t="s">
        <v>36</v>
      </c>
      <c r="E725" s="11">
        <v>1428999</v>
      </c>
      <c r="F725" s="10">
        <f t="shared" si="26"/>
        <v>1386129.03</v>
      </c>
      <c r="G725" s="9">
        <f t="shared" si="27"/>
        <v>1343259.0599999998</v>
      </c>
      <c r="H725" s="72">
        <v>850.24</v>
      </c>
      <c r="I725" s="72">
        <v>628.94000000000005</v>
      </c>
      <c r="J725" s="72">
        <v>221.31</v>
      </c>
      <c r="K725" s="8" t="s">
        <v>665</v>
      </c>
    </row>
    <row r="726" spans="1:11">
      <c r="A726" s="1">
        <v>723</v>
      </c>
      <c r="B726" s="13" t="s">
        <v>648</v>
      </c>
      <c r="C726" s="8" t="s">
        <v>32</v>
      </c>
      <c r="D726" s="12" t="s">
        <v>36</v>
      </c>
      <c r="E726" s="11">
        <v>1318999</v>
      </c>
      <c r="F726" s="10">
        <f t="shared" si="26"/>
        <v>1279429.03</v>
      </c>
      <c r="G726" s="9">
        <f t="shared" si="27"/>
        <v>1239859.0599999998</v>
      </c>
      <c r="H726" s="72">
        <v>612.36</v>
      </c>
      <c r="I726" s="72">
        <v>612.36</v>
      </c>
      <c r="J726" s="72">
        <v>0</v>
      </c>
      <c r="K726" s="8" t="s">
        <v>666</v>
      </c>
    </row>
    <row r="727" spans="1:11">
      <c r="A727" s="1">
        <v>724</v>
      </c>
      <c r="B727" s="13" t="s">
        <v>649</v>
      </c>
      <c r="C727" s="8" t="s">
        <v>32</v>
      </c>
      <c r="D727" s="12" t="s">
        <v>36</v>
      </c>
      <c r="E727" s="11">
        <v>1303999</v>
      </c>
      <c r="F727" s="10">
        <f t="shared" si="26"/>
        <v>1264879.03</v>
      </c>
      <c r="G727" s="9">
        <f t="shared" si="27"/>
        <v>1225759.0599999998</v>
      </c>
      <c r="H727" s="72">
        <v>725.92</v>
      </c>
      <c r="I727" s="72">
        <v>565.42999999999995</v>
      </c>
      <c r="J727" s="72">
        <v>160.49</v>
      </c>
      <c r="K727" s="8" t="s">
        <v>666</v>
      </c>
    </row>
    <row r="728" spans="1:11">
      <c r="A728" s="1">
        <v>725</v>
      </c>
      <c r="B728" s="13" t="s">
        <v>650</v>
      </c>
      <c r="C728" s="8" t="s">
        <v>32</v>
      </c>
      <c r="D728" s="12" t="s">
        <v>36</v>
      </c>
      <c r="E728" s="11">
        <v>1426999</v>
      </c>
      <c r="F728" s="10">
        <f t="shared" si="26"/>
        <v>1384189.03</v>
      </c>
      <c r="G728" s="9">
        <f t="shared" si="27"/>
        <v>1341379.0599999998</v>
      </c>
      <c r="H728" s="72">
        <v>1044.31</v>
      </c>
      <c r="I728" s="72">
        <v>574.79</v>
      </c>
      <c r="J728" s="72">
        <v>469.52</v>
      </c>
      <c r="K728" s="8" t="s">
        <v>667</v>
      </c>
    </row>
    <row r="729" spans="1:11">
      <c r="A729" s="1">
        <v>726</v>
      </c>
      <c r="B729" s="13" t="s">
        <v>651</v>
      </c>
      <c r="C729" s="8" t="s">
        <v>32</v>
      </c>
      <c r="D729" s="12" t="s">
        <v>36</v>
      </c>
      <c r="E729" s="11">
        <v>1370999</v>
      </c>
      <c r="F729" s="10">
        <f t="shared" si="26"/>
        <v>1329869.03</v>
      </c>
      <c r="G729" s="9">
        <f t="shared" si="27"/>
        <v>1288739.0599999998</v>
      </c>
      <c r="H729" s="72">
        <v>821.61</v>
      </c>
      <c r="I729" s="72">
        <v>585.13</v>
      </c>
      <c r="J729" s="72">
        <v>236.48</v>
      </c>
      <c r="K729" s="8" t="s">
        <v>668</v>
      </c>
    </row>
    <row r="730" spans="1:11">
      <c r="A730" s="1">
        <v>727</v>
      </c>
      <c r="B730" s="13" t="s">
        <v>652</v>
      </c>
      <c r="C730" s="8" t="s">
        <v>32</v>
      </c>
      <c r="D730" s="12" t="s">
        <v>36</v>
      </c>
      <c r="E730" s="11">
        <v>1331999</v>
      </c>
      <c r="F730" s="10">
        <f t="shared" si="26"/>
        <v>1292039.03</v>
      </c>
      <c r="G730" s="9">
        <f t="shared" si="27"/>
        <v>1252079.0599999998</v>
      </c>
      <c r="H730" s="72">
        <v>775.54</v>
      </c>
      <c r="I730" s="72">
        <v>571.03</v>
      </c>
      <c r="J730" s="72">
        <v>204.51</v>
      </c>
      <c r="K730" s="8" t="s">
        <v>668</v>
      </c>
    </row>
    <row r="731" spans="1:11">
      <c r="A731" s="1">
        <v>728</v>
      </c>
      <c r="B731" s="13" t="s">
        <v>653</v>
      </c>
      <c r="C731" s="8" t="s">
        <v>32</v>
      </c>
      <c r="D731" s="12" t="s">
        <v>36</v>
      </c>
      <c r="E731" s="11">
        <v>1349999</v>
      </c>
      <c r="F731" s="10">
        <f t="shared" si="26"/>
        <v>1309499.03</v>
      </c>
      <c r="G731" s="9">
        <f t="shared" si="27"/>
        <v>1268999.0599999998</v>
      </c>
      <c r="H731" s="72">
        <v>750.78</v>
      </c>
      <c r="I731" s="72">
        <v>590.72</v>
      </c>
      <c r="J731" s="72">
        <v>160.06</v>
      </c>
      <c r="K731" s="8" t="s">
        <v>668</v>
      </c>
    </row>
    <row r="732" spans="1:11">
      <c r="A732" s="1">
        <v>729</v>
      </c>
      <c r="B732" s="13" t="s">
        <v>654</v>
      </c>
      <c r="C732" s="8" t="s">
        <v>32</v>
      </c>
      <c r="D732" s="12" t="s">
        <v>36</v>
      </c>
      <c r="E732" s="11">
        <v>1349999</v>
      </c>
      <c r="F732" s="10">
        <f t="shared" si="26"/>
        <v>1309499.03</v>
      </c>
      <c r="G732" s="9">
        <f t="shared" si="27"/>
        <v>1268999.0599999998</v>
      </c>
      <c r="H732" s="72">
        <v>750.78</v>
      </c>
      <c r="I732" s="72">
        <v>590.72</v>
      </c>
      <c r="J732" s="72">
        <v>160.06</v>
      </c>
      <c r="K732" s="8" t="s">
        <v>668</v>
      </c>
    </row>
    <row r="733" spans="1:11">
      <c r="A733" s="1">
        <v>730</v>
      </c>
      <c r="B733" s="13" t="s">
        <v>655</v>
      </c>
      <c r="C733" s="8" t="s">
        <v>32</v>
      </c>
      <c r="D733" s="12" t="s">
        <v>36</v>
      </c>
      <c r="E733" s="11">
        <v>1345999</v>
      </c>
      <c r="F733" s="10">
        <f t="shared" si="26"/>
        <v>1305619.03</v>
      </c>
      <c r="G733" s="9">
        <f t="shared" si="27"/>
        <v>1265239.0599999998</v>
      </c>
      <c r="H733" s="72">
        <v>738.62</v>
      </c>
      <c r="I733" s="72">
        <v>590.72</v>
      </c>
      <c r="J733" s="72">
        <v>147.9</v>
      </c>
      <c r="K733" s="8" t="s">
        <v>668</v>
      </c>
    </row>
    <row r="734" spans="1:11">
      <c r="A734" s="1">
        <v>731</v>
      </c>
      <c r="B734" s="13" t="s">
        <v>4628</v>
      </c>
      <c r="C734" s="8" t="s">
        <v>32</v>
      </c>
      <c r="D734" s="12" t="s">
        <v>35</v>
      </c>
      <c r="E734" s="11">
        <v>792999</v>
      </c>
      <c r="F734" s="10">
        <f t="shared" si="26"/>
        <v>769209.03</v>
      </c>
      <c r="G734" s="9">
        <f t="shared" si="27"/>
        <v>745419.05999999994</v>
      </c>
      <c r="H734" s="72">
        <v>383.95</v>
      </c>
      <c r="I734" s="72">
        <v>303.33</v>
      </c>
      <c r="J734" s="72">
        <v>80.62</v>
      </c>
      <c r="K734" s="8" t="s">
        <v>668</v>
      </c>
    </row>
    <row r="735" spans="1:11">
      <c r="A735" s="1">
        <v>732</v>
      </c>
      <c r="B735" s="13" t="s">
        <v>656</v>
      </c>
      <c r="C735" s="8" t="s">
        <v>32</v>
      </c>
      <c r="D735" s="12" t="s">
        <v>36</v>
      </c>
      <c r="E735" s="11">
        <v>1427999</v>
      </c>
      <c r="F735" s="10">
        <f t="shared" si="26"/>
        <v>1385159.03</v>
      </c>
      <c r="G735" s="9">
        <f t="shared" si="27"/>
        <v>1342319.0599999998</v>
      </c>
      <c r="H735" s="72">
        <v>815.69</v>
      </c>
      <c r="I735" s="72">
        <v>643.36</v>
      </c>
      <c r="J735" s="72">
        <v>172.33</v>
      </c>
      <c r="K735" s="8" t="s">
        <v>668</v>
      </c>
    </row>
    <row r="736" spans="1:11">
      <c r="A736" s="1">
        <v>733</v>
      </c>
      <c r="B736" s="13" t="s">
        <v>680</v>
      </c>
      <c r="C736" s="8" t="s">
        <v>32</v>
      </c>
      <c r="D736" s="12" t="s">
        <v>36</v>
      </c>
      <c r="E736" s="11">
        <v>1441999</v>
      </c>
      <c r="F736" s="10">
        <f t="shared" si="26"/>
        <v>1398739.03</v>
      </c>
      <c r="G736" s="9">
        <f t="shared" si="27"/>
        <v>1355479.0599999998</v>
      </c>
      <c r="H736" s="72">
        <v>818.81</v>
      </c>
      <c r="I736" s="72">
        <v>646.48</v>
      </c>
      <c r="J736" s="72">
        <v>172.33</v>
      </c>
      <c r="K736" s="8" t="s">
        <v>665</v>
      </c>
    </row>
    <row r="737" spans="1:11">
      <c r="A737" s="1">
        <v>734</v>
      </c>
      <c r="B737" s="13" t="s">
        <v>4594</v>
      </c>
      <c r="C737" s="8" t="s">
        <v>32</v>
      </c>
      <c r="D737" s="12" t="s">
        <v>36</v>
      </c>
      <c r="E737" s="11">
        <v>1364999</v>
      </c>
      <c r="F737" s="10">
        <f t="shared" si="26"/>
        <v>1324049.03</v>
      </c>
      <c r="G737" s="9">
        <f t="shared" si="27"/>
        <v>1283099.0599999998</v>
      </c>
      <c r="H737" s="72">
        <v>757.35</v>
      </c>
      <c r="I737" s="72">
        <v>597.29</v>
      </c>
      <c r="J737" s="72">
        <v>160.06</v>
      </c>
      <c r="K737" s="8" t="s">
        <v>665</v>
      </c>
    </row>
    <row r="738" spans="1:11">
      <c r="A738" s="1">
        <v>735</v>
      </c>
      <c r="B738" s="13" t="s">
        <v>657</v>
      </c>
      <c r="C738" s="8" t="s">
        <v>32</v>
      </c>
      <c r="D738" s="12" t="s">
        <v>36</v>
      </c>
      <c r="E738" s="11">
        <v>1364999</v>
      </c>
      <c r="F738" s="10">
        <f t="shared" si="26"/>
        <v>1324049.03</v>
      </c>
      <c r="G738" s="9">
        <f t="shared" si="27"/>
        <v>1283099.0599999998</v>
      </c>
      <c r="H738" s="72">
        <v>757.35</v>
      </c>
      <c r="I738" s="72">
        <v>597.29</v>
      </c>
      <c r="J738" s="72">
        <v>160.06</v>
      </c>
      <c r="K738" s="8" t="s">
        <v>665</v>
      </c>
    </row>
    <row r="739" spans="1:11">
      <c r="A739" s="1">
        <v>736</v>
      </c>
      <c r="B739" s="13" t="s">
        <v>4629</v>
      </c>
      <c r="C739" s="8" t="s">
        <v>32</v>
      </c>
      <c r="D739" s="12" t="s">
        <v>36</v>
      </c>
      <c r="E739" s="11">
        <v>1364999</v>
      </c>
      <c r="F739" s="10">
        <f t="shared" si="26"/>
        <v>1324049.03</v>
      </c>
      <c r="G739" s="9">
        <f t="shared" si="27"/>
        <v>1283099.0599999998</v>
      </c>
      <c r="H739" s="72">
        <v>757.13</v>
      </c>
      <c r="I739" s="72">
        <v>597.07000000000005</v>
      </c>
      <c r="J739" s="72">
        <v>160.06</v>
      </c>
      <c r="K739" s="8" t="s">
        <v>665</v>
      </c>
    </row>
    <row r="740" spans="1:11">
      <c r="A740" s="1">
        <v>737</v>
      </c>
      <c r="B740" s="13" t="s">
        <v>658</v>
      </c>
      <c r="C740" s="8" t="s">
        <v>3</v>
      </c>
      <c r="D740" s="12" t="s">
        <v>36</v>
      </c>
      <c r="E740" s="11">
        <v>1310999</v>
      </c>
      <c r="F740" s="10">
        <f t="shared" si="26"/>
        <v>1271669.03</v>
      </c>
      <c r="G740" s="9">
        <f t="shared" si="27"/>
        <v>1232339.0599999998</v>
      </c>
      <c r="H740" s="72">
        <v>738.08</v>
      </c>
      <c r="I740" s="72">
        <v>569.95000000000005</v>
      </c>
      <c r="J740" s="72">
        <v>168.13</v>
      </c>
      <c r="K740" s="8" t="s">
        <v>666</v>
      </c>
    </row>
    <row r="741" spans="1:11">
      <c r="A741" s="1">
        <v>738</v>
      </c>
      <c r="B741" s="13" t="s">
        <v>659</v>
      </c>
      <c r="C741" s="8" t="s">
        <v>3</v>
      </c>
      <c r="D741" s="12" t="s">
        <v>36</v>
      </c>
      <c r="E741" s="11">
        <v>1427999</v>
      </c>
      <c r="F741" s="10">
        <f t="shared" si="26"/>
        <v>1385159.03</v>
      </c>
      <c r="G741" s="9">
        <f t="shared" si="27"/>
        <v>1342319.0599999998</v>
      </c>
      <c r="H741" s="72">
        <v>1040.98</v>
      </c>
      <c r="I741" s="72">
        <v>580.07000000000005</v>
      </c>
      <c r="J741" s="72">
        <v>460.91</v>
      </c>
      <c r="K741" s="8" t="s">
        <v>667</v>
      </c>
    </row>
    <row r="742" spans="1:11">
      <c r="A742" s="1">
        <v>739</v>
      </c>
      <c r="B742" s="13" t="s">
        <v>660</v>
      </c>
      <c r="C742" s="8" t="s">
        <v>3</v>
      </c>
      <c r="D742" s="12" t="s">
        <v>36</v>
      </c>
      <c r="E742" s="11">
        <v>1361999</v>
      </c>
      <c r="F742" s="10">
        <f t="shared" si="26"/>
        <v>1321139.03</v>
      </c>
      <c r="G742" s="9">
        <f t="shared" si="27"/>
        <v>1280279.0599999998</v>
      </c>
      <c r="H742" s="72">
        <v>816.01</v>
      </c>
      <c r="I742" s="72">
        <v>585.13</v>
      </c>
      <c r="J742" s="72">
        <v>230.89</v>
      </c>
      <c r="K742" s="8" t="s">
        <v>668</v>
      </c>
    </row>
    <row r="743" spans="1:11">
      <c r="A743" s="1">
        <v>740</v>
      </c>
      <c r="B743" s="13" t="s">
        <v>661</v>
      </c>
      <c r="C743" s="8" t="s">
        <v>3</v>
      </c>
      <c r="D743" s="12" t="s">
        <v>36</v>
      </c>
      <c r="E743" s="11">
        <v>1261999</v>
      </c>
      <c r="F743" s="10">
        <f t="shared" si="26"/>
        <v>1224139.03</v>
      </c>
      <c r="G743" s="9">
        <f t="shared" si="27"/>
        <v>1186279.0599999998</v>
      </c>
      <c r="H743" s="72">
        <v>640.55999999999995</v>
      </c>
      <c r="I743" s="72">
        <v>571.03</v>
      </c>
      <c r="J743" s="72">
        <v>69.53</v>
      </c>
      <c r="K743" s="8" t="s">
        <v>668</v>
      </c>
    </row>
    <row r="744" spans="1:11">
      <c r="A744" s="1">
        <v>741</v>
      </c>
      <c r="B744" s="13" t="s">
        <v>662</v>
      </c>
      <c r="C744" s="8" t="s">
        <v>3</v>
      </c>
      <c r="D744" s="12" t="s">
        <v>35</v>
      </c>
      <c r="E744" s="11">
        <v>803999</v>
      </c>
      <c r="F744" s="10">
        <f t="shared" si="26"/>
        <v>779879.03</v>
      </c>
      <c r="G744" s="9">
        <f t="shared" si="27"/>
        <v>755759.05999999994</v>
      </c>
      <c r="H744" s="72">
        <v>389.12</v>
      </c>
      <c r="I744" s="72">
        <v>309.57</v>
      </c>
      <c r="J744" s="72">
        <v>79.55</v>
      </c>
      <c r="K744" s="8" t="s">
        <v>668</v>
      </c>
    </row>
    <row r="745" spans="1:11">
      <c r="A745" s="1">
        <v>742</v>
      </c>
      <c r="B745" s="13" t="s">
        <v>663</v>
      </c>
      <c r="C745" s="8" t="s">
        <v>3</v>
      </c>
      <c r="D745" s="12" t="s">
        <v>36</v>
      </c>
      <c r="E745" s="11">
        <v>1345999</v>
      </c>
      <c r="F745" s="10">
        <f t="shared" si="26"/>
        <v>1305619.03</v>
      </c>
      <c r="G745" s="9">
        <f t="shared" si="27"/>
        <v>1265239.0599999998</v>
      </c>
      <c r="H745" s="72">
        <v>750.78</v>
      </c>
      <c r="I745" s="72">
        <v>590.72</v>
      </c>
      <c r="J745" s="72">
        <v>160.06</v>
      </c>
      <c r="K745" s="8" t="s">
        <v>668</v>
      </c>
    </row>
    <row r="746" spans="1:11">
      <c r="A746" s="1">
        <v>743</v>
      </c>
      <c r="B746" s="13" t="s">
        <v>1197</v>
      </c>
      <c r="C746" s="8" t="s">
        <v>4459</v>
      </c>
      <c r="D746" s="12" t="s">
        <v>36</v>
      </c>
      <c r="E746" s="11">
        <v>1290999</v>
      </c>
      <c r="F746" s="10">
        <f t="shared" si="26"/>
        <v>1252269.03</v>
      </c>
      <c r="G746" s="9">
        <f t="shared" si="27"/>
        <v>1213539.0599999998</v>
      </c>
      <c r="H746" s="72">
        <v>682.86</v>
      </c>
      <c r="I746" s="72">
        <v>567.69000000000005</v>
      </c>
      <c r="J746" s="72">
        <v>115.17</v>
      </c>
      <c r="K746" s="8" t="s">
        <v>665</v>
      </c>
    </row>
    <row r="747" spans="1:11">
      <c r="A747" s="1">
        <v>744</v>
      </c>
      <c r="B747" s="13" t="s">
        <v>1198</v>
      </c>
      <c r="C747" s="8" t="s">
        <v>4459</v>
      </c>
      <c r="D747" s="12" t="s">
        <v>24</v>
      </c>
      <c r="E747" s="11">
        <v>1994999</v>
      </c>
      <c r="F747" s="10">
        <f t="shared" si="26"/>
        <v>1935149.03</v>
      </c>
      <c r="G747" s="9">
        <f t="shared" si="27"/>
        <v>1875299.0599999998</v>
      </c>
      <c r="H747" s="72">
        <v>1152.49</v>
      </c>
      <c r="I747" s="72">
        <v>826.13</v>
      </c>
      <c r="J747" s="72">
        <v>326.36</v>
      </c>
      <c r="K747" s="8" t="s">
        <v>669</v>
      </c>
    </row>
    <row r="748" spans="1:11">
      <c r="A748" s="1">
        <v>745</v>
      </c>
      <c r="B748" s="13" t="s">
        <v>1199</v>
      </c>
      <c r="C748" s="8" t="s">
        <v>4459</v>
      </c>
      <c r="D748" s="12" t="s">
        <v>36</v>
      </c>
      <c r="E748" s="11">
        <v>1500999</v>
      </c>
      <c r="F748" s="10">
        <f t="shared" si="26"/>
        <v>1455969.03</v>
      </c>
      <c r="G748" s="9">
        <f t="shared" si="27"/>
        <v>1410939.0599999998</v>
      </c>
      <c r="H748" s="72">
        <v>952.28</v>
      </c>
      <c r="I748" s="72">
        <v>654.45000000000005</v>
      </c>
      <c r="J748" s="72">
        <v>297.83999999999997</v>
      </c>
      <c r="K748" s="8" t="s">
        <v>666</v>
      </c>
    </row>
    <row r="749" spans="1:11">
      <c r="A749" s="1">
        <v>746</v>
      </c>
      <c r="B749" s="13" t="s">
        <v>1200</v>
      </c>
      <c r="C749" s="8" t="s">
        <v>4459</v>
      </c>
      <c r="D749" s="12" t="s">
        <v>36</v>
      </c>
      <c r="E749" s="11">
        <v>1494999</v>
      </c>
      <c r="F749" s="10">
        <f t="shared" si="26"/>
        <v>1450149.03</v>
      </c>
      <c r="G749" s="9">
        <f t="shared" si="27"/>
        <v>1405299.0599999998</v>
      </c>
      <c r="H749" s="72">
        <v>924.84</v>
      </c>
      <c r="I749" s="72">
        <v>654.45000000000005</v>
      </c>
      <c r="J749" s="72">
        <v>270.39</v>
      </c>
      <c r="K749" s="8" t="s">
        <v>665</v>
      </c>
    </row>
    <row r="750" spans="1:11">
      <c r="A750" s="1">
        <v>747</v>
      </c>
      <c r="B750" s="13" t="s">
        <v>1201</v>
      </c>
      <c r="C750" s="8" t="s">
        <v>4459</v>
      </c>
      <c r="D750" s="12" t="s">
        <v>36</v>
      </c>
      <c r="E750" s="11">
        <v>1314999</v>
      </c>
      <c r="F750" s="10">
        <f t="shared" si="26"/>
        <v>1275549.03</v>
      </c>
      <c r="G750" s="9">
        <f t="shared" si="27"/>
        <v>1236099.0599999998</v>
      </c>
      <c r="H750" s="72">
        <v>722.8</v>
      </c>
      <c r="I750" s="72">
        <v>569.29999999999995</v>
      </c>
      <c r="J750" s="72">
        <v>153.49</v>
      </c>
      <c r="K750" s="8" t="s">
        <v>665</v>
      </c>
    </row>
    <row r="751" spans="1:11">
      <c r="A751" s="1">
        <v>748</v>
      </c>
      <c r="B751" s="13" t="s">
        <v>1202</v>
      </c>
      <c r="C751" s="8" t="s">
        <v>4459</v>
      </c>
      <c r="D751" s="12" t="s">
        <v>36</v>
      </c>
      <c r="E751" s="11">
        <v>1251999</v>
      </c>
      <c r="F751" s="10">
        <f t="shared" si="26"/>
        <v>1214439.03</v>
      </c>
      <c r="G751" s="9">
        <f t="shared" si="27"/>
        <v>1176879.0599999998</v>
      </c>
      <c r="H751" s="72">
        <v>703.31</v>
      </c>
      <c r="I751" s="72">
        <v>541.64</v>
      </c>
      <c r="J751" s="72">
        <v>161.66999999999999</v>
      </c>
      <c r="K751" s="8" t="s">
        <v>666</v>
      </c>
    </row>
    <row r="752" spans="1:11">
      <c r="A752" s="1">
        <v>749</v>
      </c>
      <c r="B752" s="13" t="s">
        <v>1203</v>
      </c>
      <c r="C752" s="8" t="s">
        <v>4459</v>
      </c>
      <c r="D752" s="12" t="s">
        <v>36</v>
      </c>
      <c r="E752" s="11">
        <v>1262999</v>
      </c>
      <c r="F752" s="10">
        <f t="shared" si="26"/>
        <v>1225109.03</v>
      </c>
      <c r="G752" s="9">
        <f t="shared" si="27"/>
        <v>1187219.0599999998</v>
      </c>
      <c r="H752" s="72">
        <v>700.62</v>
      </c>
      <c r="I752" s="72">
        <v>544.87</v>
      </c>
      <c r="J752" s="72">
        <v>155.75</v>
      </c>
      <c r="K752" s="8" t="s">
        <v>665</v>
      </c>
    </row>
    <row r="753" spans="1:11">
      <c r="A753" s="1">
        <v>750</v>
      </c>
      <c r="B753" s="13" t="s">
        <v>4595</v>
      </c>
      <c r="C753" s="8" t="s">
        <v>4459</v>
      </c>
      <c r="D753" s="12" t="s">
        <v>35</v>
      </c>
      <c r="E753" s="250">
        <v>830999</v>
      </c>
      <c r="F753" s="10">
        <f t="shared" si="26"/>
        <v>806069.03</v>
      </c>
      <c r="G753" s="9">
        <f t="shared" si="27"/>
        <v>781139.05999999994</v>
      </c>
      <c r="H753" s="72">
        <v>332.39</v>
      </c>
      <c r="I753" s="72">
        <v>332.39</v>
      </c>
      <c r="J753" s="72">
        <v>0</v>
      </c>
      <c r="K753" s="8" t="s">
        <v>665</v>
      </c>
    </row>
    <row r="754" spans="1:11">
      <c r="A754" s="1">
        <v>751</v>
      </c>
      <c r="B754" s="13" t="s">
        <v>4596</v>
      </c>
      <c r="C754" s="8" t="s">
        <v>4459</v>
      </c>
      <c r="D754" s="12" t="s">
        <v>35</v>
      </c>
      <c r="E754" s="250">
        <v>778999</v>
      </c>
      <c r="F754" s="10">
        <f t="shared" si="26"/>
        <v>755629.03</v>
      </c>
      <c r="G754" s="9">
        <f t="shared" si="27"/>
        <v>732259.05999999994</v>
      </c>
      <c r="H754" s="72">
        <v>311.39999999999998</v>
      </c>
      <c r="I754" s="72">
        <v>311.39999999999998</v>
      </c>
      <c r="J754" s="72">
        <v>0</v>
      </c>
      <c r="K754" s="8" t="s">
        <v>665</v>
      </c>
    </row>
    <row r="755" spans="1:11">
      <c r="A755" s="1">
        <v>752</v>
      </c>
      <c r="B755" s="13" t="s">
        <v>1204</v>
      </c>
      <c r="C755" s="1" t="s">
        <v>4459</v>
      </c>
      <c r="D755" s="1" t="s">
        <v>36</v>
      </c>
      <c r="E755" s="250">
        <v>1428999</v>
      </c>
      <c r="F755" s="10">
        <f t="shared" ref="F755:F771" si="28">E755*0.97</f>
        <v>1386129.03</v>
      </c>
      <c r="G755" s="9">
        <f t="shared" ref="G755:G771" si="29">E755*0.94</f>
        <v>1343259.0599999998</v>
      </c>
      <c r="H755" s="236">
        <v>850.24</v>
      </c>
      <c r="I755" s="236">
        <v>628.94000000000005</v>
      </c>
      <c r="J755" s="236">
        <v>221.31</v>
      </c>
      <c r="K755" s="1" t="s">
        <v>665</v>
      </c>
    </row>
    <row r="756" spans="1:11">
      <c r="A756" s="1">
        <v>753</v>
      </c>
      <c r="B756" s="13" t="s">
        <v>1205</v>
      </c>
      <c r="C756" s="1" t="s">
        <v>4459</v>
      </c>
      <c r="D756" s="1" t="s">
        <v>36</v>
      </c>
      <c r="E756" s="250">
        <v>1317999</v>
      </c>
      <c r="F756" s="10">
        <f t="shared" si="28"/>
        <v>1278459.03</v>
      </c>
      <c r="G756" s="9">
        <f t="shared" si="29"/>
        <v>1238919.0599999998</v>
      </c>
      <c r="H756" s="236">
        <v>612.36</v>
      </c>
      <c r="I756" s="236">
        <v>612.36</v>
      </c>
      <c r="J756" s="236">
        <v>0</v>
      </c>
      <c r="K756" s="1" t="s">
        <v>666</v>
      </c>
    </row>
    <row r="757" spans="1:11">
      <c r="A757" s="1">
        <v>754</v>
      </c>
      <c r="B757" s="13" t="s">
        <v>1206</v>
      </c>
      <c r="C757" s="1" t="s">
        <v>4459</v>
      </c>
      <c r="D757" s="1" t="s">
        <v>36</v>
      </c>
      <c r="E757" s="250">
        <v>1302999</v>
      </c>
      <c r="F757" s="10">
        <f t="shared" si="28"/>
        <v>1263909.03</v>
      </c>
      <c r="G757" s="9">
        <f t="shared" si="29"/>
        <v>1224819.0599999998</v>
      </c>
      <c r="H757" s="236">
        <v>725.92</v>
      </c>
      <c r="I757" s="236">
        <v>565.42999999999995</v>
      </c>
      <c r="J757" s="236">
        <v>160.49</v>
      </c>
      <c r="K757" s="1" t="s">
        <v>666</v>
      </c>
    </row>
    <row r="758" spans="1:11">
      <c r="A758" s="1">
        <v>755</v>
      </c>
      <c r="B758" s="13" t="s">
        <v>1207</v>
      </c>
      <c r="C758" s="1" t="s">
        <v>4459</v>
      </c>
      <c r="D758" s="1" t="s">
        <v>36</v>
      </c>
      <c r="E758" s="250">
        <v>1425999</v>
      </c>
      <c r="F758" s="10">
        <f t="shared" si="28"/>
        <v>1383219.03</v>
      </c>
      <c r="G758" s="9">
        <f t="shared" si="29"/>
        <v>1340439.0599999998</v>
      </c>
      <c r="H758" s="236">
        <v>1044.31</v>
      </c>
      <c r="I758" s="236">
        <v>574.79</v>
      </c>
      <c r="J758" s="236">
        <v>469.52</v>
      </c>
      <c r="K758" s="1" t="s">
        <v>667</v>
      </c>
    </row>
    <row r="759" spans="1:11">
      <c r="A759" s="1">
        <v>756</v>
      </c>
      <c r="B759" s="13" t="s">
        <v>1208</v>
      </c>
      <c r="C759" s="1" t="s">
        <v>4459</v>
      </c>
      <c r="D759" s="1" t="s">
        <v>36</v>
      </c>
      <c r="E759" s="250">
        <v>1373999</v>
      </c>
      <c r="F759" s="10">
        <f t="shared" si="28"/>
        <v>1332779.03</v>
      </c>
      <c r="G759" s="9">
        <f t="shared" si="29"/>
        <v>1291559.0599999998</v>
      </c>
      <c r="H759" s="236">
        <v>827.1</v>
      </c>
      <c r="I759" s="236">
        <v>585.13</v>
      </c>
      <c r="J759" s="236">
        <v>241.97</v>
      </c>
      <c r="K759" s="1" t="s">
        <v>668</v>
      </c>
    </row>
    <row r="760" spans="1:11">
      <c r="A760" s="1">
        <v>757</v>
      </c>
      <c r="B760" s="13" t="s">
        <v>1209</v>
      </c>
      <c r="C760" s="1" t="s">
        <v>4459</v>
      </c>
      <c r="D760" s="1" t="s">
        <v>36</v>
      </c>
      <c r="E760" s="250">
        <v>1331999</v>
      </c>
      <c r="F760" s="10">
        <f t="shared" si="28"/>
        <v>1292039.03</v>
      </c>
      <c r="G760" s="9">
        <f t="shared" si="29"/>
        <v>1252079.0599999998</v>
      </c>
      <c r="H760" s="236">
        <v>770.05</v>
      </c>
      <c r="I760" s="236">
        <v>571.03</v>
      </c>
      <c r="J760" s="236">
        <v>199.02</v>
      </c>
      <c r="K760" s="1" t="s">
        <v>668</v>
      </c>
    </row>
    <row r="761" spans="1:11">
      <c r="A761" s="1">
        <v>758</v>
      </c>
      <c r="B761" s="13" t="s">
        <v>1210</v>
      </c>
      <c r="C761" s="1" t="s">
        <v>4459</v>
      </c>
      <c r="D761" s="1" t="s">
        <v>36</v>
      </c>
      <c r="E761" s="250">
        <v>1349999</v>
      </c>
      <c r="F761" s="10">
        <f t="shared" si="28"/>
        <v>1309499.03</v>
      </c>
      <c r="G761" s="9">
        <f t="shared" si="29"/>
        <v>1268999.0599999998</v>
      </c>
      <c r="H761" s="236">
        <v>750.78</v>
      </c>
      <c r="I761" s="236">
        <v>590.72</v>
      </c>
      <c r="J761" s="236">
        <v>160.06</v>
      </c>
      <c r="K761" s="1" t="s">
        <v>668</v>
      </c>
    </row>
    <row r="762" spans="1:11">
      <c r="A762" s="1">
        <v>759</v>
      </c>
      <c r="B762" s="13" t="s">
        <v>1211</v>
      </c>
      <c r="C762" s="1" t="s">
        <v>4459</v>
      </c>
      <c r="D762" s="1" t="s">
        <v>36</v>
      </c>
      <c r="E762" s="250">
        <v>1349999</v>
      </c>
      <c r="F762" s="10">
        <f t="shared" si="28"/>
        <v>1309499.03</v>
      </c>
      <c r="G762" s="9">
        <f t="shared" si="29"/>
        <v>1268999.0599999998</v>
      </c>
      <c r="H762" s="236">
        <v>750.78</v>
      </c>
      <c r="I762" s="236">
        <v>590.72</v>
      </c>
      <c r="J762" s="236">
        <v>160.06</v>
      </c>
      <c r="K762" s="1" t="s">
        <v>668</v>
      </c>
    </row>
    <row r="763" spans="1:11">
      <c r="A763" s="1">
        <v>760</v>
      </c>
      <c r="B763" s="13" t="s">
        <v>1212</v>
      </c>
      <c r="C763" s="1" t="s">
        <v>4459</v>
      </c>
      <c r="D763" s="1" t="s">
        <v>36</v>
      </c>
      <c r="E763" s="250">
        <v>1344999</v>
      </c>
      <c r="F763" s="10">
        <f t="shared" si="28"/>
        <v>1304649.03</v>
      </c>
      <c r="G763" s="9">
        <f t="shared" si="29"/>
        <v>1264299.0599999998</v>
      </c>
      <c r="H763" s="236">
        <v>738.62</v>
      </c>
      <c r="I763" s="236">
        <v>590.72</v>
      </c>
      <c r="J763" s="236">
        <v>147.9</v>
      </c>
      <c r="K763" s="1" t="s">
        <v>668</v>
      </c>
    </row>
    <row r="764" spans="1:11">
      <c r="A764" s="1">
        <v>761</v>
      </c>
      <c r="B764" s="13" t="s">
        <v>4893</v>
      </c>
      <c r="C764" s="1" t="s">
        <v>4459</v>
      </c>
      <c r="D764" s="1" t="s">
        <v>35</v>
      </c>
      <c r="E764" s="250">
        <v>798999</v>
      </c>
      <c r="F764" s="10">
        <f t="shared" si="28"/>
        <v>775029.03</v>
      </c>
      <c r="G764" s="9">
        <f t="shared" si="29"/>
        <v>751059.05999999994</v>
      </c>
      <c r="H764" s="236">
        <v>376.74</v>
      </c>
      <c r="I764" s="236">
        <v>308.27999999999997</v>
      </c>
      <c r="J764" s="236">
        <v>68.459999999999994</v>
      </c>
      <c r="K764" s="1" t="s">
        <v>668</v>
      </c>
    </row>
    <row r="765" spans="1:11">
      <c r="A765" s="1">
        <v>762</v>
      </c>
      <c r="B765" s="13" t="s">
        <v>1213</v>
      </c>
      <c r="C765" s="1" t="s">
        <v>4459</v>
      </c>
      <c r="D765" s="1" t="s">
        <v>36</v>
      </c>
      <c r="E765" s="250">
        <v>1427999</v>
      </c>
      <c r="F765" s="10">
        <f t="shared" si="28"/>
        <v>1385159.03</v>
      </c>
      <c r="G765" s="9">
        <f t="shared" si="29"/>
        <v>1342319.0599999998</v>
      </c>
      <c r="H765" s="236">
        <v>815.69</v>
      </c>
      <c r="I765" s="236">
        <v>643.36</v>
      </c>
      <c r="J765" s="236">
        <v>172.33</v>
      </c>
      <c r="K765" s="1" t="s">
        <v>668</v>
      </c>
    </row>
    <row r="766" spans="1:11">
      <c r="A766" s="1">
        <v>763</v>
      </c>
      <c r="B766" s="13" t="s">
        <v>1214</v>
      </c>
      <c r="C766" s="1" t="s">
        <v>4459</v>
      </c>
      <c r="D766" s="1" t="s">
        <v>36</v>
      </c>
      <c r="E766" s="250">
        <v>1441999</v>
      </c>
      <c r="F766" s="10">
        <f t="shared" si="28"/>
        <v>1398739.03</v>
      </c>
      <c r="G766" s="9">
        <f t="shared" si="29"/>
        <v>1355479.0599999998</v>
      </c>
      <c r="H766" s="236">
        <v>818.81</v>
      </c>
      <c r="I766" s="236">
        <v>646.48</v>
      </c>
      <c r="J766" s="236">
        <v>172.33</v>
      </c>
      <c r="K766" s="1" t="s">
        <v>665</v>
      </c>
    </row>
    <row r="767" spans="1:11">
      <c r="A767" s="1">
        <v>764</v>
      </c>
      <c r="B767" s="13" t="s">
        <v>1215</v>
      </c>
      <c r="C767" s="1" t="s">
        <v>4459</v>
      </c>
      <c r="D767" s="1" t="s">
        <v>36</v>
      </c>
      <c r="E767" s="250">
        <v>1359999</v>
      </c>
      <c r="F767" s="10">
        <f t="shared" si="28"/>
        <v>1319199.03</v>
      </c>
      <c r="G767" s="9">
        <f t="shared" si="29"/>
        <v>1278399.0599999998</v>
      </c>
      <c r="H767" s="236">
        <v>754.33</v>
      </c>
      <c r="I767" s="236">
        <v>594.28</v>
      </c>
      <c r="J767" s="236">
        <v>160.06</v>
      </c>
      <c r="K767" s="1" t="s">
        <v>665</v>
      </c>
    </row>
    <row r="768" spans="1:11">
      <c r="A768" s="1">
        <v>765</v>
      </c>
      <c r="B768" s="13" t="s">
        <v>1216</v>
      </c>
      <c r="C768" s="1" t="s">
        <v>4459</v>
      </c>
      <c r="D768" s="1" t="s">
        <v>36</v>
      </c>
      <c r="E768" s="250">
        <v>1364999</v>
      </c>
      <c r="F768" s="10">
        <f t="shared" si="28"/>
        <v>1324049.03</v>
      </c>
      <c r="G768" s="9">
        <f t="shared" si="29"/>
        <v>1283099.0599999998</v>
      </c>
      <c r="H768" s="236">
        <v>757.35</v>
      </c>
      <c r="I768" s="236">
        <v>597.29</v>
      </c>
      <c r="J768" s="236">
        <v>160.06</v>
      </c>
      <c r="K768" s="1" t="s">
        <v>665</v>
      </c>
    </row>
    <row r="769" spans="1:11">
      <c r="A769" s="1">
        <v>766</v>
      </c>
      <c r="B769" s="13" t="s">
        <v>1217</v>
      </c>
      <c r="C769" s="1" t="s">
        <v>4459</v>
      </c>
      <c r="D769" s="1" t="s">
        <v>36</v>
      </c>
      <c r="E769" s="250">
        <v>1364999</v>
      </c>
      <c r="F769" s="10">
        <f t="shared" si="28"/>
        <v>1324049.03</v>
      </c>
      <c r="G769" s="9">
        <f t="shared" si="29"/>
        <v>1283099.0599999998</v>
      </c>
      <c r="H769" s="236">
        <v>757.35</v>
      </c>
      <c r="I769" s="236">
        <v>597.29</v>
      </c>
      <c r="J769" s="236">
        <v>160.06</v>
      </c>
      <c r="K769" s="1" t="s">
        <v>665</v>
      </c>
    </row>
    <row r="770" spans="1:11">
      <c r="A770" s="1">
        <v>767</v>
      </c>
      <c r="B770" s="13" t="s">
        <v>1218</v>
      </c>
      <c r="C770" s="1" t="s">
        <v>4459</v>
      </c>
      <c r="D770" s="1" t="s">
        <v>36</v>
      </c>
      <c r="E770" s="250">
        <v>1364999</v>
      </c>
      <c r="F770" s="10">
        <f t="shared" si="28"/>
        <v>1324049.03</v>
      </c>
      <c r="G770" s="9">
        <f t="shared" si="29"/>
        <v>1283099.0599999998</v>
      </c>
      <c r="H770" s="236">
        <v>757.35</v>
      </c>
      <c r="I770" s="236">
        <v>597.29</v>
      </c>
      <c r="J770" s="236">
        <v>160.06</v>
      </c>
      <c r="K770" s="1" t="s">
        <v>665</v>
      </c>
    </row>
    <row r="771" spans="1:11">
      <c r="A771" s="1">
        <v>768</v>
      </c>
      <c r="B771" s="13" t="s">
        <v>1219</v>
      </c>
      <c r="C771" s="1" t="s">
        <v>4459</v>
      </c>
      <c r="D771" s="1" t="s">
        <v>36</v>
      </c>
      <c r="E771" s="250">
        <v>1363999</v>
      </c>
      <c r="F771" s="10">
        <f t="shared" si="28"/>
        <v>1323079.03</v>
      </c>
      <c r="G771" s="9">
        <f t="shared" si="29"/>
        <v>1282159.0599999998</v>
      </c>
      <c r="H771" s="236">
        <v>757.13</v>
      </c>
      <c r="I771" s="236">
        <v>597.07000000000005</v>
      </c>
      <c r="J771" s="236">
        <v>160.06</v>
      </c>
      <c r="K771" s="1" t="s">
        <v>665</v>
      </c>
    </row>
  </sheetData>
  <autoFilter ref="A3:K762" xr:uid="{E98E5860-9124-47C8-93EF-A424A49A5791}"/>
  <mergeCells count="2">
    <mergeCell ref="A1:K1"/>
    <mergeCell ref="A2:K2"/>
  </mergeCells>
  <conditionalFormatting sqref="B1">
    <cfRule type="duplicateValues" dxfId="9893" priority="6250"/>
    <cfRule type="duplicateValues" dxfId="9892" priority="6251"/>
    <cfRule type="duplicateValues" dxfId="9891" priority="6252"/>
    <cfRule type="duplicateValues" dxfId="9890" priority="6253"/>
    <cfRule type="duplicateValues" dxfId="9889" priority="6254"/>
    <cfRule type="duplicateValues" dxfId="9888" priority="6255"/>
    <cfRule type="duplicateValues" dxfId="9887" priority="6256"/>
    <cfRule type="duplicateValues" dxfId="9886" priority="6257"/>
    <cfRule type="duplicateValues" dxfId="9885" priority="6258"/>
    <cfRule type="duplicateValues" dxfId="9884" priority="6259"/>
    <cfRule type="duplicateValues" dxfId="9883" priority="6260"/>
    <cfRule type="duplicateValues" dxfId="9882" priority="6261"/>
    <cfRule type="duplicateValues" dxfId="9881" priority="6262"/>
    <cfRule type="duplicateValues" dxfId="9880" priority="6263"/>
  </conditionalFormatting>
  <conditionalFormatting sqref="B1:B3">
    <cfRule type="duplicateValues" dxfId="9879" priority="6206"/>
    <cfRule type="duplicateValues" dxfId="9878" priority="6207"/>
    <cfRule type="duplicateValues" dxfId="9877" priority="6208"/>
    <cfRule type="duplicateValues" dxfId="9876" priority="6209"/>
    <cfRule type="duplicateValues" dxfId="9875" priority="6210"/>
    <cfRule type="duplicateValues" dxfId="9874" priority="6211"/>
    <cfRule type="duplicateValues" dxfId="9873" priority="6212"/>
    <cfRule type="duplicateValues" dxfId="9872" priority="6213"/>
    <cfRule type="duplicateValues" dxfId="9871" priority="6214"/>
    <cfRule type="duplicateValues" dxfId="9870" priority="6215"/>
    <cfRule type="duplicateValues" dxfId="9869" priority="6216"/>
    <cfRule type="duplicateValues" dxfId="9868" priority="6217"/>
    <cfRule type="duplicateValues" dxfId="9867" priority="6218"/>
    <cfRule type="duplicateValues" dxfId="9866" priority="6219"/>
    <cfRule type="duplicateValues" dxfId="9865" priority="6220"/>
    <cfRule type="duplicateValues" dxfId="9864" priority="6221"/>
    <cfRule type="duplicateValues" dxfId="9863" priority="6222"/>
    <cfRule type="duplicateValues" dxfId="9862" priority="6223"/>
    <cfRule type="duplicateValues" dxfId="9861" priority="6224"/>
    <cfRule type="duplicateValues" dxfId="9860" priority="6225"/>
    <cfRule type="duplicateValues" dxfId="9859" priority="6226"/>
    <cfRule type="duplicateValues" dxfId="9858" priority="6227"/>
    <cfRule type="duplicateValues" dxfId="9857" priority="6228"/>
    <cfRule type="duplicateValues" dxfId="9856" priority="6229"/>
    <cfRule type="duplicateValues" dxfId="9855" priority="6230"/>
    <cfRule type="duplicateValues" dxfId="9854" priority="6231"/>
    <cfRule type="duplicateValues" dxfId="9853" priority="6232"/>
    <cfRule type="duplicateValues" dxfId="9852" priority="6233"/>
    <cfRule type="duplicateValues" dxfId="9851" priority="6234"/>
    <cfRule type="duplicateValues" dxfId="9850" priority="6235"/>
    <cfRule type="duplicateValues" dxfId="9849" priority="6236"/>
    <cfRule type="duplicateValues" dxfId="9848" priority="6237"/>
    <cfRule type="duplicateValues" dxfId="9847" priority="6238"/>
    <cfRule type="duplicateValues" dxfId="9846" priority="6239"/>
    <cfRule type="duplicateValues" dxfId="9845" priority="6240"/>
    <cfRule type="duplicateValues" dxfId="9844" priority="6241"/>
    <cfRule type="duplicateValues" dxfId="9843" priority="6242"/>
    <cfRule type="duplicateValues" dxfId="9842" priority="6243"/>
    <cfRule type="duplicateValues" dxfId="9841" priority="6244"/>
    <cfRule type="duplicateValues" dxfId="9840" priority="6245"/>
    <cfRule type="duplicateValues" dxfId="9839" priority="6246"/>
    <cfRule type="duplicateValues" dxfId="9838" priority="6247"/>
    <cfRule type="duplicateValues" dxfId="9837" priority="6248"/>
    <cfRule type="duplicateValues" dxfId="9836" priority="6249"/>
  </conditionalFormatting>
  <conditionalFormatting sqref="B3">
    <cfRule type="duplicateValues" dxfId="9835" priority="6179"/>
  </conditionalFormatting>
  <conditionalFormatting sqref="B4:B7">
    <cfRule type="duplicateValues" dxfId="9834" priority="6134"/>
    <cfRule type="duplicateValues" dxfId="9833" priority="6135"/>
    <cfRule type="duplicateValues" dxfId="9832" priority="6136"/>
    <cfRule type="duplicateValues" dxfId="9831" priority="6137"/>
    <cfRule type="duplicateValues" dxfId="9830" priority="6138"/>
    <cfRule type="duplicateValues" dxfId="9829" priority="6139"/>
    <cfRule type="duplicateValues" dxfId="9828" priority="6140"/>
    <cfRule type="duplicateValues" dxfId="9827" priority="6141"/>
    <cfRule type="duplicateValues" dxfId="9826" priority="6142"/>
    <cfRule type="duplicateValues" dxfId="9825" priority="6143"/>
    <cfRule type="duplicateValues" dxfId="9824" priority="6144"/>
    <cfRule type="duplicateValues" dxfId="9823" priority="6145"/>
    <cfRule type="duplicateValues" dxfId="9822" priority="6146"/>
    <cfRule type="duplicateValues" dxfId="9821" priority="6147"/>
    <cfRule type="duplicateValues" dxfId="9820" priority="6148"/>
    <cfRule type="duplicateValues" dxfId="9819" priority="6149"/>
    <cfRule type="duplicateValues" dxfId="9818" priority="6150"/>
    <cfRule type="duplicateValues" dxfId="9817" priority="6151"/>
    <cfRule type="duplicateValues" dxfId="9816" priority="6152"/>
    <cfRule type="duplicateValues" dxfId="9815" priority="6153"/>
    <cfRule type="duplicateValues" dxfId="9814" priority="6154"/>
    <cfRule type="duplicateValues" dxfId="9813" priority="6155"/>
    <cfRule type="duplicateValues" dxfId="9812" priority="6156"/>
    <cfRule type="duplicateValues" dxfId="9811" priority="6157"/>
    <cfRule type="duplicateValues" dxfId="9810" priority="6158"/>
    <cfRule type="duplicateValues" dxfId="9809" priority="6159"/>
    <cfRule type="duplicateValues" dxfId="9808" priority="6160"/>
    <cfRule type="duplicateValues" dxfId="9807" priority="6161"/>
    <cfRule type="duplicateValues" dxfId="9806" priority="6162"/>
    <cfRule type="duplicateValues" dxfId="9805" priority="6163"/>
    <cfRule type="duplicateValues" dxfId="9804" priority="6164"/>
    <cfRule type="duplicateValues" dxfId="9803" priority="6165"/>
    <cfRule type="duplicateValues" dxfId="9802" priority="6166"/>
    <cfRule type="duplicateValues" dxfId="9801" priority="6167"/>
    <cfRule type="duplicateValues" dxfId="9800" priority="6168"/>
    <cfRule type="duplicateValues" dxfId="9799" priority="6169"/>
    <cfRule type="duplicateValues" dxfId="9798" priority="6170"/>
    <cfRule type="duplicateValues" dxfId="9797" priority="6171"/>
    <cfRule type="duplicateValues" dxfId="9796" priority="6172"/>
    <cfRule type="duplicateValues" dxfId="9795" priority="6173"/>
    <cfRule type="duplicateValues" dxfId="9794" priority="6174"/>
    <cfRule type="duplicateValues" dxfId="9793" priority="6175"/>
    <cfRule type="duplicateValues" dxfId="9792" priority="6176"/>
    <cfRule type="duplicateValues" dxfId="9791" priority="6177"/>
    <cfRule type="duplicateValues" dxfId="9790" priority="6178"/>
  </conditionalFormatting>
  <conditionalFormatting sqref="B5:B7">
    <cfRule type="duplicateValues" dxfId="9789" priority="6090"/>
    <cfRule type="duplicateValues" dxfId="9788" priority="6091"/>
    <cfRule type="duplicateValues" dxfId="9787" priority="6092"/>
    <cfRule type="duplicateValues" dxfId="9786" priority="6093"/>
    <cfRule type="duplicateValues" dxfId="9785" priority="6094"/>
    <cfRule type="duplicateValues" dxfId="9784" priority="6095"/>
    <cfRule type="duplicateValues" dxfId="9783" priority="6096"/>
    <cfRule type="duplicateValues" dxfId="9782" priority="6097"/>
    <cfRule type="duplicateValues" dxfId="9781" priority="6098"/>
    <cfRule type="duplicateValues" dxfId="9780" priority="6099"/>
    <cfRule type="duplicateValues" dxfId="9779" priority="6100"/>
    <cfRule type="duplicateValues" dxfId="9778" priority="6101"/>
    <cfRule type="duplicateValues" dxfId="9777" priority="6102"/>
    <cfRule type="duplicateValues" dxfId="9776" priority="6103"/>
    <cfRule type="duplicateValues" dxfId="9775" priority="6104"/>
    <cfRule type="duplicateValues" dxfId="9774" priority="6105"/>
    <cfRule type="duplicateValues" dxfId="9773" priority="6106"/>
    <cfRule type="duplicateValues" dxfId="9772" priority="6107"/>
    <cfRule type="duplicateValues" dxfId="9771" priority="6108"/>
    <cfRule type="duplicateValues" dxfId="9770" priority="6109"/>
    <cfRule type="duplicateValues" dxfId="9769" priority="6110"/>
    <cfRule type="duplicateValues" dxfId="9768" priority="6111"/>
    <cfRule type="duplicateValues" dxfId="9767" priority="6112"/>
    <cfRule type="duplicateValues" dxfId="9766" priority="6113"/>
    <cfRule type="duplicateValues" dxfId="9765" priority="6114"/>
    <cfRule type="duplicateValues" dxfId="9764" priority="6115"/>
    <cfRule type="duplicateValues" dxfId="9763" priority="6116"/>
    <cfRule type="duplicateValues" dxfId="9762" priority="6117"/>
    <cfRule type="duplicateValues" dxfId="9761" priority="6118"/>
    <cfRule type="duplicateValues" dxfId="9760" priority="6119"/>
    <cfRule type="duplicateValues" dxfId="9759" priority="6120"/>
    <cfRule type="duplicateValues" dxfId="9758" priority="6121"/>
    <cfRule type="duplicateValues" dxfId="9757" priority="6122"/>
    <cfRule type="duplicateValues" dxfId="9756" priority="6123"/>
    <cfRule type="duplicateValues" dxfId="9755" priority="6124"/>
    <cfRule type="duplicateValues" dxfId="9754" priority="6125"/>
    <cfRule type="duplicateValues" dxfId="9753" priority="6126"/>
    <cfRule type="duplicateValues" dxfId="9752" priority="6127"/>
    <cfRule type="duplicateValues" dxfId="9751" priority="6128"/>
    <cfRule type="duplicateValues" dxfId="9750" priority="6129"/>
    <cfRule type="duplicateValues" dxfId="9749" priority="6130"/>
    <cfRule type="duplicateValues" dxfId="9748" priority="6131"/>
    <cfRule type="duplicateValues" dxfId="9747" priority="6132"/>
    <cfRule type="duplicateValues" dxfId="9746" priority="6133"/>
  </conditionalFormatting>
  <conditionalFormatting sqref="B8:B14">
    <cfRule type="duplicateValues" dxfId="9745" priority="6001"/>
    <cfRule type="duplicateValues" dxfId="9744" priority="6002"/>
    <cfRule type="duplicateValues" dxfId="9743" priority="6003"/>
    <cfRule type="duplicateValues" dxfId="9742" priority="6004"/>
    <cfRule type="duplicateValues" dxfId="9741" priority="6005"/>
    <cfRule type="duplicateValues" dxfId="9740" priority="6006"/>
    <cfRule type="duplicateValues" dxfId="9739" priority="6007"/>
    <cfRule type="duplicateValues" dxfId="9738" priority="6008"/>
    <cfRule type="duplicateValues" dxfId="9737" priority="6009"/>
    <cfRule type="duplicateValues" dxfId="9736" priority="6010"/>
    <cfRule type="duplicateValues" dxfId="9735" priority="6011"/>
    <cfRule type="duplicateValues" dxfId="9734" priority="6012"/>
    <cfRule type="duplicateValues" dxfId="9733" priority="6013"/>
    <cfRule type="duplicateValues" dxfId="9732" priority="6014"/>
    <cfRule type="duplicateValues" dxfId="9731" priority="6015"/>
    <cfRule type="duplicateValues" dxfId="9730" priority="6016"/>
    <cfRule type="duplicateValues" dxfId="9729" priority="6017"/>
    <cfRule type="duplicateValues" dxfId="9728" priority="6018"/>
    <cfRule type="duplicateValues" dxfId="9727" priority="6019"/>
    <cfRule type="duplicateValues" dxfId="9726" priority="6020"/>
    <cfRule type="duplicateValues" dxfId="9725" priority="6021"/>
    <cfRule type="duplicateValues" dxfId="9724" priority="6022"/>
    <cfRule type="duplicateValues" dxfId="9723" priority="6023"/>
    <cfRule type="duplicateValues" dxfId="9722" priority="6024"/>
    <cfRule type="duplicateValues" dxfId="9721" priority="6025"/>
    <cfRule type="duplicateValues" dxfId="9720" priority="6026"/>
    <cfRule type="duplicateValues" dxfId="9719" priority="6027"/>
    <cfRule type="duplicateValues" dxfId="9718" priority="6028"/>
    <cfRule type="duplicateValues" dxfId="9717" priority="6029"/>
    <cfRule type="duplicateValues" dxfId="9716" priority="6030"/>
    <cfRule type="duplicateValues" dxfId="9715" priority="6031"/>
    <cfRule type="duplicateValues" dxfId="9714" priority="6032"/>
    <cfRule type="duplicateValues" dxfId="9713" priority="6033"/>
    <cfRule type="duplicateValues" dxfId="9712" priority="6034"/>
    <cfRule type="duplicateValues" dxfId="9711" priority="6035"/>
    <cfRule type="duplicateValues" dxfId="9710" priority="6036"/>
    <cfRule type="duplicateValues" dxfId="9709" priority="6037"/>
    <cfRule type="duplicateValues" dxfId="9708" priority="6038"/>
    <cfRule type="duplicateValues" dxfId="9707" priority="6039"/>
    <cfRule type="duplicateValues" dxfId="9706" priority="6040"/>
    <cfRule type="duplicateValues" dxfId="9705" priority="6041"/>
    <cfRule type="duplicateValues" dxfId="9704" priority="6042"/>
    <cfRule type="duplicateValues" dxfId="9703" priority="6043"/>
    <cfRule type="duplicateValues" dxfId="9702" priority="6044"/>
    <cfRule type="duplicateValues" dxfId="9701" priority="6045"/>
    <cfRule type="duplicateValues" dxfId="9700" priority="6046"/>
    <cfRule type="duplicateValues" dxfId="9699" priority="6047"/>
    <cfRule type="duplicateValues" dxfId="9698" priority="6048"/>
    <cfRule type="duplicateValues" dxfId="9697" priority="6049"/>
    <cfRule type="duplicateValues" dxfId="9696" priority="6050"/>
    <cfRule type="duplicateValues" dxfId="9695" priority="6051"/>
    <cfRule type="duplicateValues" dxfId="9694" priority="6052"/>
    <cfRule type="duplicateValues" dxfId="9693" priority="6053"/>
    <cfRule type="duplicateValues" dxfId="9692" priority="6054"/>
    <cfRule type="duplicateValues" dxfId="9691" priority="6055"/>
    <cfRule type="duplicateValues" dxfId="9690" priority="6056"/>
    <cfRule type="duplicateValues" dxfId="9689" priority="6057"/>
    <cfRule type="duplicateValues" dxfId="9688" priority="6058"/>
    <cfRule type="duplicateValues" dxfId="9687" priority="6059"/>
    <cfRule type="duplicateValues" dxfId="9686" priority="6060"/>
    <cfRule type="duplicateValues" dxfId="9685" priority="6061"/>
    <cfRule type="duplicateValues" dxfId="9684" priority="6062"/>
    <cfRule type="duplicateValues" dxfId="9683" priority="6063"/>
    <cfRule type="duplicateValues" dxfId="9682" priority="6064"/>
    <cfRule type="duplicateValues" dxfId="9681" priority="6065"/>
    <cfRule type="duplicateValues" dxfId="9680" priority="6066"/>
    <cfRule type="duplicateValues" dxfId="9679" priority="6067"/>
    <cfRule type="duplicateValues" dxfId="9678" priority="6068"/>
    <cfRule type="duplicateValues" dxfId="9677" priority="6069"/>
    <cfRule type="duplicateValues" dxfId="9676" priority="6070"/>
    <cfRule type="duplicateValues" dxfId="9675" priority="6071"/>
    <cfRule type="duplicateValues" dxfId="9674" priority="6072"/>
    <cfRule type="duplicateValues" dxfId="9673" priority="6073"/>
    <cfRule type="duplicateValues" dxfId="9672" priority="6074"/>
    <cfRule type="duplicateValues" dxfId="9671" priority="6075"/>
    <cfRule type="duplicateValues" dxfId="9670" priority="6076"/>
    <cfRule type="duplicateValues" dxfId="9669" priority="6077"/>
    <cfRule type="duplicateValues" dxfId="9668" priority="6078"/>
    <cfRule type="duplicateValues" dxfId="9667" priority="6079"/>
    <cfRule type="duplicateValues" dxfId="9666" priority="6080"/>
    <cfRule type="duplicateValues" dxfId="9665" priority="6081"/>
    <cfRule type="duplicateValues" dxfId="9664" priority="6082"/>
    <cfRule type="duplicateValues" dxfId="9663" priority="6083"/>
    <cfRule type="duplicateValues" dxfId="9662" priority="6084"/>
    <cfRule type="duplicateValues" dxfId="9661" priority="6085"/>
    <cfRule type="duplicateValues" dxfId="9660" priority="6086"/>
    <cfRule type="duplicateValues" dxfId="9659" priority="6087"/>
    <cfRule type="duplicateValues" dxfId="9658" priority="6088"/>
    <cfRule type="duplicateValues" dxfId="9657" priority="6089"/>
  </conditionalFormatting>
  <conditionalFormatting sqref="B15:B17">
    <cfRule type="duplicateValues" dxfId="9656" priority="5912"/>
    <cfRule type="duplicateValues" dxfId="9655" priority="5913"/>
    <cfRule type="duplicateValues" dxfId="9654" priority="5914"/>
    <cfRule type="duplicateValues" dxfId="9653" priority="5915"/>
    <cfRule type="duplicateValues" dxfId="9652" priority="5916"/>
    <cfRule type="duplicateValues" dxfId="9651" priority="5917"/>
    <cfRule type="duplicateValues" dxfId="9650" priority="5918"/>
    <cfRule type="duplicateValues" dxfId="9649" priority="5919"/>
    <cfRule type="duplicateValues" dxfId="9648" priority="5920"/>
    <cfRule type="duplicateValues" dxfId="9647" priority="5921"/>
    <cfRule type="duplicateValues" dxfId="9646" priority="5922"/>
    <cfRule type="duplicateValues" dxfId="9645" priority="5923"/>
    <cfRule type="duplicateValues" dxfId="9644" priority="5924"/>
    <cfRule type="duplicateValues" dxfId="9643" priority="5925"/>
    <cfRule type="duplicateValues" dxfId="9642" priority="5926"/>
    <cfRule type="duplicateValues" dxfId="9641" priority="5927"/>
    <cfRule type="duplicateValues" dxfId="9640" priority="5928"/>
    <cfRule type="duplicateValues" dxfId="9639" priority="5929"/>
    <cfRule type="duplicateValues" dxfId="9638" priority="5930"/>
    <cfRule type="duplicateValues" dxfId="9637" priority="5931"/>
    <cfRule type="duplicateValues" dxfId="9636" priority="5932"/>
    <cfRule type="duplicateValues" dxfId="9635" priority="5933"/>
    <cfRule type="duplicateValues" dxfId="9634" priority="5934"/>
    <cfRule type="duplicateValues" dxfId="9633" priority="5935"/>
    <cfRule type="duplicateValues" dxfId="9632" priority="5936"/>
    <cfRule type="duplicateValues" dxfId="9631" priority="5937"/>
    <cfRule type="duplicateValues" dxfId="9630" priority="5938"/>
    <cfRule type="duplicateValues" dxfId="9629" priority="5939"/>
    <cfRule type="duplicateValues" dxfId="9628" priority="5940"/>
    <cfRule type="duplicateValues" dxfId="9627" priority="5941"/>
    <cfRule type="duplicateValues" dxfId="9626" priority="5942"/>
    <cfRule type="duplicateValues" dxfId="9625" priority="5943"/>
    <cfRule type="duplicateValues" dxfId="9624" priority="5944"/>
    <cfRule type="duplicateValues" dxfId="9623" priority="5945"/>
    <cfRule type="duplicateValues" dxfId="9622" priority="5946"/>
    <cfRule type="duplicateValues" dxfId="9621" priority="5947"/>
    <cfRule type="duplicateValues" dxfId="9620" priority="5948"/>
    <cfRule type="duplicateValues" dxfId="9619" priority="5949"/>
    <cfRule type="duplicateValues" dxfId="9618" priority="5950"/>
    <cfRule type="duplicateValues" dxfId="9617" priority="5951"/>
    <cfRule type="duplicateValues" dxfId="9616" priority="5952"/>
    <cfRule type="duplicateValues" dxfId="9615" priority="5953"/>
    <cfRule type="duplicateValues" dxfId="9614" priority="5954"/>
    <cfRule type="duplicateValues" dxfId="9613" priority="5955"/>
    <cfRule type="duplicateValues" dxfId="9612" priority="5956"/>
    <cfRule type="duplicateValues" dxfId="9611" priority="5957"/>
    <cfRule type="duplicateValues" dxfId="9610" priority="5958"/>
    <cfRule type="duplicateValues" dxfId="9609" priority="5959"/>
    <cfRule type="duplicateValues" dxfId="9608" priority="5960"/>
    <cfRule type="duplicateValues" dxfId="9607" priority="5961"/>
    <cfRule type="duplicateValues" dxfId="9606" priority="5962"/>
    <cfRule type="duplicateValues" dxfId="9605" priority="5963"/>
    <cfRule type="duplicateValues" dxfId="9604" priority="5964"/>
    <cfRule type="duplicateValues" dxfId="9603" priority="5965"/>
    <cfRule type="duplicateValues" dxfId="9602" priority="5966"/>
    <cfRule type="duplicateValues" dxfId="9601" priority="5967"/>
    <cfRule type="duplicateValues" dxfId="9600" priority="5968"/>
    <cfRule type="duplicateValues" dxfId="9599" priority="5969"/>
    <cfRule type="duplicateValues" dxfId="9598" priority="5970"/>
    <cfRule type="duplicateValues" dxfId="9597" priority="5971"/>
    <cfRule type="duplicateValues" dxfId="9596" priority="5972"/>
    <cfRule type="duplicateValues" dxfId="9595" priority="5973"/>
    <cfRule type="duplicateValues" dxfId="9594" priority="5974"/>
    <cfRule type="duplicateValues" dxfId="9593" priority="5975"/>
    <cfRule type="duplicateValues" dxfId="9592" priority="5976"/>
    <cfRule type="duplicateValues" dxfId="9591" priority="5977"/>
    <cfRule type="duplicateValues" dxfId="9590" priority="5978"/>
    <cfRule type="duplicateValues" dxfId="9589" priority="5979"/>
    <cfRule type="duplicateValues" dxfId="9588" priority="5980"/>
    <cfRule type="duplicateValues" dxfId="9587" priority="5981"/>
    <cfRule type="duplicateValues" dxfId="9586" priority="5982"/>
    <cfRule type="duplicateValues" dxfId="9585" priority="5983"/>
    <cfRule type="duplicateValues" dxfId="9584" priority="5984"/>
    <cfRule type="duplicateValues" dxfId="9583" priority="5985"/>
    <cfRule type="duplicateValues" dxfId="9582" priority="5986"/>
    <cfRule type="duplicateValues" dxfId="9581" priority="5987"/>
    <cfRule type="duplicateValues" dxfId="9580" priority="5988"/>
    <cfRule type="duplicateValues" dxfId="9579" priority="5989"/>
    <cfRule type="duplicateValues" dxfId="9578" priority="5990"/>
    <cfRule type="duplicateValues" dxfId="9577" priority="5991"/>
    <cfRule type="duplicateValues" dxfId="9576" priority="5992"/>
    <cfRule type="duplicateValues" dxfId="9575" priority="5993"/>
    <cfRule type="duplicateValues" dxfId="9574" priority="5994"/>
    <cfRule type="duplicateValues" dxfId="9573" priority="5995"/>
    <cfRule type="duplicateValues" dxfId="9572" priority="5996"/>
    <cfRule type="duplicateValues" dxfId="9571" priority="5997"/>
    <cfRule type="duplicateValues" dxfId="9570" priority="5998"/>
    <cfRule type="duplicateValues" dxfId="9569" priority="5999"/>
    <cfRule type="duplicateValues" dxfId="9568" priority="6000"/>
  </conditionalFormatting>
  <conditionalFormatting sqref="B18">
    <cfRule type="duplicateValues" dxfId="9567" priority="245794"/>
    <cfRule type="duplicateValues" dxfId="9566" priority="245795"/>
    <cfRule type="duplicateValues" dxfId="9565" priority="245796"/>
    <cfRule type="duplicateValues" dxfId="9564" priority="245797"/>
    <cfRule type="duplicateValues" dxfId="9563" priority="245798"/>
    <cfRule type="duplicateValues" dxfId="9562" priority="245799"/>
    <cfRule type="duplicateValues" dxfId="9561" priority="245800"/>
    <cfRule type="duplicateValues" dxfId="9560" priority="245801"/>
    <cfRule type="duplicateValues" dxfId="9559" priority="245802"/>
    <cfRule type="duplicateValues" dxfId="9558" priority="245803"/>
    <cfRule type="duplicateValues" dxfId="9557" priority="245804"/>
    <cfRule type="duplicateValues" dxfId="9556" priority="245805"/>
    <cfRule type="duplicateValues" dxfId="9555" priority="245806"/>
    <cfRule type="duplicateValues" dxfId="9554" priority="245807"/>
    <cfRule type="duplicateValues" dxfId="9553" priority="245808"/>
    <cfRule type="duplicateValues" dxfId="9552" priority="245809"/>
    <cfRule type="duplicateValues" dxfId="9551" priority="245810"/>
    <cfRule type="duplicateValues" dxfId="9550" priority="245811"/>
    <cfRule type="duplicateValues" dxfId="9549" priority="245812"/>
    <cfRule type="duplicateValues" dxfId="9548" priority="245813"/>
    <cfRule type="duplicateValues" dxfId="9547" priority="245814"/>
    <cfRule type="duplicateValues" dxfId="9546" priority="245815"/>
    <cfRule type="duplicateValues" dxfId="9545" priority="245816"/>
    <cfRule type="duplicateValues" dxfId="9544" priority="245817"/>
    <cfRule type="duplicateValues" dxfId="9543" priority="245818"/>
    <cfRule type="duplicateValues" dxfId="9542" priority="245819"/>
    <cfRule type="duplicateValues" dxfId="9541" priority="245820"/>
    <cfRule type="duplicateValues" dxfId="9540" priority="245821"/>
    <cfRule type="duplicateValues" dxfId="9539" priority="245822"/>
    <cfRule type="duplicateValues" dxfId="9538" priority="245823"/>
    <cfRule type="duplicateValues" dxfId="9537" priority="245824"/>
    <cfRule type="duplicateValues" dxfId="9536" priority="245825"/>
    <cfRule type="duplicateValues" dxfId="9535" priority="245826"/>
    <cfRule type="duplicateValues" dxfId="9534" priority="245827"/>
    <cfRule type="duplicateValues" dxfId="9533" priority="245828"/>
    <cfRule type="duplicateValues" dxfId="9532" priority="245829"/>
    <cfRule type="duplicateValues" dxfId="9531" priority="245830"/>
    <cfRule type="duplicateValues" dxfId="9530" priority="245831"/>
    <cfRule type="duplicateValues" dxfId="9529" priority="245832"/>
    <cfRule type="duplicateValues" dxfId="9528" priority="245833"/>
    <cfRule type="duplicateValues" dxfId="9527" priority="245834"/>
    <cfRule type="duplicateValues" dxfId="9526" priority="245835"/>
    <cfRule type="duplicateValues" dxfId="9525" priority="245836"/>
    <cfRule type="duplicateValues" dxfId="9524" priority="245837"/>
    <cfRule type="duplicateValues" dxfId="9523" priority="245838"/>
    <cfRule type="duplicateValues" dxfId="9522" priority="245839"/>
    <cfRule type="duplicateValues" dxfId="9521" priority="245840"/>
    <cfRule type="duplicateValues" dxfId="9520" priority="245841"/>
    <cfRule type="duplicateValues" dxfId="9519" priority="245842"/>
    <cfRule type="duplicateValues" dxfId="9518" priority="245843"/>
    <cfRule type="duplicateValues" dxfId="9517" priority="245844"/>
    <cfRule type="duplicateValues" dxfId="9516" priority="245845"/>
    <cfRule type="duplicateValues" dxfId="9515" priority="245846"/>
    <cfRule type="duplicateValues" dxfId="9514" priority="245847"/>
    <cfRule type="duplicateValues" dxfId="9513" priority="245848"/>
    <cfRule type="duplicateValues" dxfId="9512" priority="245849"/>
    <cfRule type="duplicateValues" dxfId="9511" priority="245850"/>
    <cfRule type="duplicateValues" dxfId="9510" priority="245851"/>
    <cfRule type="duplicateValues" dxfId="9509" priority="245852"/>
    <cfRule type="duplicateValues" dxfId="9508" priority="245853"/>
    <cfRule type="duplicateValues" dxfId="9507" priority="245854"/>
    <cfRule type="duplicateValues" dxfId="9506" priority="245855"/>
    <cfRule type="duplicateValues" dxfId="9505" priority="245856"/>
    <cfRule type="duplicateValues" dxfId="9504" priority="245857"/>
    <cfRule type="duplicateValues" dxfId="9503" priority="245858"/>
    <cfRule type="duplicateValues" dxfId="9502" priority="245859"/>
    <cfRule type="duplicateValues" dxfId="9501" priority="245860"/>
    <cfRule type="duplicateValues" dxfId="9500" priority="245861"/>
    <cfRule type="duplicateValues" dxfId="9499" priority="245862"/>
    <cfRule type="duplicateValues" dxfId="9498" priority="245863"/>
    <cfRule type="duplicateValues" dxfId="9497" priority="245864"/>
    <cfRule type="duplicateValues" dxfId="9496" priority="245865"/>
    <cfRule type="duplicateValues" dxfId="9495" priority="245866"/>
    <cfRule type="duplicateValues" dxfId="9494" priority="245867"/>
    <cfRule type="duplicateValues" dxfId="9493" priority="245868"/>
    <cfRule type="duplicateValues" dxfId="9492" priority="245869"/>
    <cfRule type="duplicateValues" dxfId="9491" priority="245870"/>
    <cfRule type="duplicateValues" dxfId="9490" priority="245871"/>
    <cfRule type="duplicateValues" dxfId="9489" priority="245872"/>
    <cfRule type="duplicateValues" dxfId="9488" priority="245873"/>
    <cfRule type="duplicateValues" dxfId="9487" priority="245874"/>
    <cfRule type="duplicateValues" dxfId="9486" priority="245875"/>
    <cfRule type="duplicateValues" dxfId="9485" priority="245876"/>
    <cfRule type="duplicateValues" dxfId="9484" priority="245877"/>
    <cfRule type="duplicateValues" dxfId="9483" priority="245878"/>
    <cfRule type="duplicateValues" dxfId="9482" priority="245879"/>
    <cfRule type="duplicateValues" dxfId="9481" priority="245880"/>
    <cfRule type="duplicateValues" dxfId="9480" priority="245881"/>
    <cfRule type="duplicateValues" dxfId="9479" priority="245882"/>
  </conditionalFormatting>
  <conditionalFormatting sqref="B19:B22">
    <cfRule type="duplicateValues" dxfId="9478" priority="5734"/>
    <cfRule type="duplicateValues" dxfId="9477" priority="5735"/>
    <cfRule type="duplicateValues" dxfId="9476" priority="5736"/>
    <cfRule type="duplicateValues" dxfId="9475" priority="5737"/>
    <cfRule type="duplicateValues" dxfId="9474" priority="5738"/>
    <cfRule type="duplicateValues" dxfId="9473" priority="5739"/>
    <cfRule type="duplicateValues" dxfId="9472" priority="5740"/>
    <cfRule type="duplicateValues" dxfId="9471" priority="5741"/>
    <cfRule type="duplicateValues" dxfId="9470" priority="5742"/>
    <cfRule type="duplicateValues" dxfId="9469" priority="5743"/>
    <cfRule type="duplicateValues" dxfId="9468" priority="5744"/>
    <cfRule type="duplicateValues" dxfId="9467" priority="5745"/>
    <cfRule type="duplicateValues" dxfId="9466" priority="5746"/>
    <cfRule type="duplicateValues" dxfId="9465" priority="5747"/>
    <cfRule type="duplicateValues" dxfId="9464" priority="5748"/>
    <cfRule type="duplicateValues" dxfId="9463" priority="5749"/>
    <cfRule type="duplicateValues" dxfId="9462" priority="5750"/>
    <cfRule type="duplicateValues" dxfId="9461" priority="5751"/>
    <cfRule type="duplicateValues" dxfId="9460" priority="5752"/>
    <cfRule type="duplicateValues" dxfId="9459" priority="5753"/>
    <cfRule type="duplicateValues" dxfId="9458" priority="5754"/>
    <cfRule type="duplicateValues" dxfId="9457" priority="5755"/>
    <cfRule type="duplicateValues" dxfId="9456" priority="5756"/>
    <cfRule type="duplicateValues" dxfId="9455" priority="5757"/>
    <cfRule type="duplicateValues" dxfId="9454" priority="5758"/>
    <cfRule type="duplicateValues" dxfId="9453" priority="5759"/>
    <cfRule type="duplicateValues" dxfId="9452" priority="5760"/>
    <cfRule type="duplicateValues" dxfId="9451" priority="5761"/>
    <cfRule type="duplicateValues" dxfId="9450" priority="5762"/>
    <cfRule type="duplicateValues" dxfId="9449" priority="5763"/>
    <cfRule type="duplicateValues" dxfId="9448" priority="5764"/>
    <cfRule type="duplicateValues" dxfId="9447" priority="5765"/>
    <cfRule type="duplicateValues" dxfId="9446" priority="5766"/>
    <cfRule type="duplicateValues" dxfId="9445" priority="5767"/>
    <cfRule type="duplicateValues" dxfId="9444" priority="5768"/>
    <cfRule type="duplicateValues" dxfId="9443" priority="5769"/>
    <cfRule type="duplicateValues" dxfId="9442" priority="5770"/>
    <cfRule type="duplicateValues" dxfId="9441" priority="5771"/>
    <cfRule type="duplicateValues" dxfId="9440" priority="5772"/>
    <cfRule type="duplicateValues" dxfId="9439" priority="5773"/>
    <cfRule type="duplicateValues" dxfId="9438" priority="5774"/>
    <cfRule type="duplicateValues" dxfId="9437" priority="5775"/>
    <cfRule type="duplicateValues" dxfId="9436" priority="5776"/>
    <cfRule type="duplicateValues" dxfId="9435" priority="5777"/>
    <cfRule type="duplicateValues" dxfId="9434" priority="5778"/>
    <cfRule type="duplicateValues" dxfId="9433" priority="5779"/>
    <cfRule type="duplicateValues" dxfId="9432" priority="5780"/>
    <cfRule type="duplicateValues" dxfId="9431" priority="5781"/>
    <cfRule type="duplicateValues" dxfId="9430" priority="5782"/>
    <cfRule type="duplicateValues" dxfId="9429" priority="5783"/>
    <cfRule type="duplicateValues" dxfId="9428" priority="5784"/>
    <cfRule type="duplicateValues" dxfId="9427" priority="5785"/>
    <cfRule type="duplicateValues" dxfId="9426" priority="5786"/>
    <cfRule type="duplicateValues" dxfId="9425" priority="5787"/>
    <cfRule type="duplicateValues" dxfId="9424" priority="5788"/>
    <cfRule type="duplicateValues" dxfId="9423" priority="5789"/>
    <cfRule type="duplicateValues" dxfId="9422" priority="5790"/>
    <cfRule type="duplicateValues" dxfId="9421" priority="5791"/>
    <cfRule type="duplicateValues" dxfId="9420" priority="5792"/>
    <cfRule type="duplicateValues" dxfId="9419" priority="5793"/>
    <cfRule type="duplicateValues" dxfId="9418" priority="5794"/>
    <cfRule type="duplicateValues" dxfId="9417" priority="5795"/>
    <cfRule type="duplicateValues" dxfId="9416" priority="5796"/>
    <cfRule type="duplicateValues" dxfId="9415" priority="5797"/>
    <cfRule type="duplicateValues" dxfId="9414" priority="5798"/>
    <cfRule type="duplicateValues" dxfId="9413" priority="5799"/>
    <cfRule type="duplicateValues" dxfId="9412" priority="5800"/>
    <cfRule type="duplicateValues" dxfId="9411" priority="5801"/>
    <cfRule type="duplicateValues" dxfId="9410" priority="5802"/>
    <cfRule type="duplicateValues" dxfId="9409" priority="5803"/>
    <cfRule type="duplicateValues" dxfId="9408" priority="5804"/>
    <cfRule type="duplicateValues" dxfId="9407" priority="5805"/>
    <cfRule type="duplicateValues" dxfId="9406" priority="5806"/>
    <cfRule type="duplicateValues" dxfId="9405" priority="5807"/>
    <cfRule type="duplicateValues" dxfId="9404" priority="5808"/>
    <cfRule type="duplicateValues" dxfId="9403" priority="5809"/>
    <cfRule type="duplicateValues" dxfId="9402" priority="5810"/>
    <cfRule type="duplicateValues" dxfId="9401" priority="5811"/>
    <cfRule type="duplicateValues" dxfId="9400" priority="5812"/>
    <cfRule type="duplicateValues" dxfId="9399" priority="5813"/>
    <cfRule type="duplicateValues" dxfId="9398" priority="5814"/>
    <cfRule type="duplicateValues" dxfId="9397" priority="5815"/>
    <cfRule type="duplicateValues" dxfId="9396" priority="5816"/>
    <cfRule type="duplicateValues" dxfId="9395" priority="5817"/>
    <cfRule type="duplicateValues" dxfId="9394" priority="5818"/>
    <cfRule type="duplicateValues" dxfId="9393" priority="5819"/>
    <cfRule type="duplicateValues" dxfId="9392" priority="5820"/>
    <cfRule type="duplicateValues" dxfId="9391" priority="5821"/>
    <cfRule type="duplicateValues" dxfId="9390" priority="5822"/>
  </conditionalFormatting>
  <conditionalFormatting sqref="B23:B30">
    <cfRule type="duplicateValues" dxfId="9389" priority="5645"/>
    <cfRule type="duplicateValues" dxfId="9388" priority="5646"/>
    <cfRule type="duplicateValues" dxfId="9387" priority="5647"/>
    <cfRule type="duplicateValues" dxfId="9386" priority="5648"/>
    <cfRule type="duplicateValues" dxfId="9385" priority="5649"/>
    <cfRule type="duplicateValues" dxfId="9384" priority="5650"/>
    <cfRule type="duplicateValues" dxfId="9383" priority="5651"/>
    <cfRule type="duplicateValues" dxfId="9382" priority="5652"/>
    <cfRule type="duplicateValues" dxfId="9381" priority="5653"/>
    <cfRule type="duplicateValues" dxfId="9380" priority="5654"/>
    <cfRule type="duplicateValues" dxfId="9379" priority="5655"/>
    <cfRule type="duplicateValues" dxfId="9378" priority="5656"/>
    <cfRule type="duplicateValues" dxfId="9377" priority="5657"/>
    <cfRule type="duplicateValues" dxfId="9376" priority="5658"/>
    <cfRule type="duplicateValues" dxfId="9375" priority="5659"/>
    <cfRule type="duplicateValues" dxfId="9374" priority="5660"/>
    <cfRule type="duplicateValues" dxfId="9373" priority="5661"/>
    <cfRule type="duplicateValues" dxfId="9372" priority="5662"/>
    <cfRule type="duplicateValues" dxfId="9371" priority="5663"/>
    <cfRule type="duplicateValues" dxfId="9370" priority="5664"/>
    <cfRule type="duplicateValues" dxfId="9369" priority="5665"/>
    <cfRule type="duplicateValues" dxfId="9368" priority="5666"/>
    <cfRule type="duplicateValues" dxfId="9367" priority="5667"/>
    <cfRule type="duplicateValues" dxfId="9366" priority="5668"/>
    <cfRule type="duplicateValues" dxfId="9365" priority="5669"/>
    <cfRule type="duplicateValues" dxfId="9364" priority="5670"/>
    <cfRule type="duplicateValues" dxfId="9363" priority="5671"/>
    <cfRule type="duplicateValues" dxfId="9362" priority="5672"/>
    <cfRule type="duplicateValues" dxfId="9361" priority="5673"/>
    <cfRule type="duplicateValues" dxfId="9360" priority="5674"/>
    <cfRule type="duplicateValues" dxfId="9359" priority="5675"/>
    <cfRule type="duplicateValues" dxfId="9358" priority="5676"/>
    <cfRule type="duplicateValues" dxfId="9357" priority="5677"/>
    <cfRule type="duplicateValues" dxfId="9356" priority="5678"/>
    <cfRule type="duplicateValues" dxfId="9355" priority="5679"/>
    <cfRule type="duplicateValues" dxfId="9354" priority="5680"/>
    <cfRule type="duplicateValues" dxfId="9353" priority="5681"/>
    <cfRule type="duplicateValues" dxfId="9352" priority="5682"/>
    <cfRule type="duplicateValues" dxfId="9351" priority="5683"/>
    <cfRule type="duplicateValues" dxfId="9350" priority="5684"/>
    <cfRule type="duplicateValues" dxfId="9349" priority="5685"/>
    <cfRule type="duplicateValues" dxfId="9348" priority="5686"/>
    <cfRule type="duplicateValues" dxfId="9347" priority="5687"/>
    <cfRule type="duplicateValues" dxfId="9346" priority="5688"/>
    <cfRule type="duplicateValues" dxfId="9345" priority="5689"/>
    <cfRule type="duplicateValues" dxfId="9344" priority="5690"/>
    <cfRule type="duplicateValues" dxfId="9343" priority="5691"/>
    <cfRule type="duplicateValues" dxfId="9342" priority="5692"/>
    <cfRule type="duplicateValues" dxfId="9341" priority="5693"/>
    <cfRule type="duplicateValues" dxfId="9340" priority="5694"/>
    <cfRule type="duplicateValues" dxfId="9339" priority="5695"/>
    <cfRule type="duplicateValues" dxfId="9338" priority="5696"/>
    <cfRule type="duplicateValues" dxfId="9337" priority="5697"/>
    <cfRule type="duplicateValues" dxfId="9336" priority="5698"/>
    <cfRule type="duplicateValues" dxfId="9335" priority="5699"/>
    <cfRule type="duplicateValues" dxfId="9334" priority="5700"/>
    <cfRule type="duplicateValues" dxfId="9333" priority="5701"/>
    <cfRule type="duplicateValues" dxfId="9332" priority="5702"/>
    <cfRule type="duplicateValues" dxfId="9331" priority="5703"/>
    <cfRule type="duplicateValues" dxfId="9330" priority="5704"/>
    <cfRule type="duplicateValues" dxfId="9329" priority="5705"/>
    <cfRule type="duplicateValues" dxfId="9328" priority="5706"/>
    <cfRule type="duplicateValues" dxfId="9327" priority="5707"/>
    <cfRule type="duplicateValues" dxfId="9326" priority="5708"/>
    <cfRule type="duplicateValues" dxfId="9325" priority="5709"/>
    <cfRule type="duplicateValues" dxfId="9324" priority="5710"/>
    <cfRule type="duplicateValues" dxfId="9323" priority="5711"/>
    <cfRule type="duplicateValues" dxfId="9322" priority="5712"/>
    <cfRule type="duplicateValues" dxfId="9321" priority="5713"/>
    <cfRule type="duplicateValues" dxfId="9320" priority="5714"/>
    <cfRule type="duplicateValues" dxfId="9319" priority="5715"/>
    <cfRule type="duplicateValues" dxfId="9318" priority="5716"/>
    <cfRule type="duplicateValues" dxfId="9317" priority="5717"/>
    <cfRule type="duplicateValues" dxfId="9316" priority="5718"/>
    <cfRule type="duplicateValues" dxfId="9315" priority="5719"/>
    <cfRule type="duplicateValues" dxfId="9314" priority="5720"/>
    <cfRule type="duplicateValues" dxfId="9313" priority="5721"/>
    <cfRule type="duplicateValues" dxfId="9312" priority="5722"/>
    <cfRule type="duplicateValues" dxfId="9311" priority="5723"/>
    <cfRule type="duplicateValues" dxfId="9310" priority="5724"/>
    <cfRule type="duplicateValues" dxfId="9309" priority="5725"/>
    <cfRule type="duplicateValues" dxfId="9308" priority="5726"/>
    <cfRule type="duplicateValues" dxfId="9307" priority="5727"/>
    <cfRule type="duplicateValues" dxfId="9306" priority="5728"/>
    <cfRule type="duplicateValues" dxfId="9305" priority="5729"/>
    <cfRule type="duplicateValues" dxfId="9304" priority="5730"/>
    <cfRule type="duplicateValues" dxfId="9303" priority="5731"/>
    <cfRule type="duplicateValues" dxfId="9302" priority="5732"/>
    <cfRule type="duplicateValues" dxfId="9301" priority="5733"/>
  </conditionalFormatting>
  <conditionalFormatting sqref="B31:B37">
    <cfRule type="duplicateValues" dxfId="9300" priority="5556"/>
    <cfRule type="duplicateValues" dxfId="9299" priority="5557"/>
    <cfRule type="duplicateValues" dxfId="9298" priority="5558"/>
    <cfRule type="duplicateValues" dxfId="9297" priority="5559"/>
    <cfRule type="duplicateValues" dxfId="9296" priority="5560"/>
    <cfRule type="duplicateValues" dxfId="9295" priority="5561"/>
    <cfRule type="duplicateValues" dxfId="9294" priority="5562"/>
    <cfRule type="duplicateValues" dxfId="9293" priority="5563"/>
    <cfRule type="duplicateValues" dxfId="9292" priority="5564"/>
    <cfRule type="duplicateValues" dxfId="9291" priority="5565"/>
    <cfRule type="duplicateValues" dxfId="9290" priority="5566"/>
    <cfRule type="duplicateValues" dxfId="9289" priority="5567"/>
    <cfRule type="duplicateValues" dxfId="9288" priority="5568"/>
    <cfRule type="duplicateValues" dxfId="9287" priority="5569"/>
    <cfRule type="duplicateValues" dxfId="9286" priority="5570"/>
    <cfRule type="duplicateValues" dxfId="9285" priority="5571"/>
    <cfRule type="duplicateValues" dxfId="9284" priority="5572"/>
    <cfRule type="duplicateValues" dxfId="9283" priority="5573"/>
    <cfRule type="duplicateValues" dxfId="9282" priority="5574"/>
    <cfRule type="duplicateValues" dxfId="9281" priority="5575"/>
    <cfRule type="duplicateValues" dxfId="9280" priority="5576"/>
    <cfRule type="duplicateValues" dxfId="9279" priority="5577"/>
    <cfRule type="duplicateValues" dxfId="9278" priority="5578"/>
    <cfRule type="duplicateValues" dxfId="9277" priority="5579"/>
    <cfRule type="duplicateValues" dxfId="9276" priority="5580"/>
    <cfRule type="duplicateValues" dxfId="9275" priority="5581"/>
    <cfRule type="duplicateValues" dxfId="9274" priority="5582"/>
    <cfRule type="duplicateValues" dxfId="9273" priority="5583"/>
    <cfRule type="duplicateValues" dxfId="9272" priority="5584"/>
    <cfRule type="duplicateValues" dxfId="9271" priority="5585"/>
    <cfRule type="duplicateValues" dxfId="9270" priority="5586"/>
    <cfRule type="duplicateValues" dxfId="9269" priority="5587"/>
    <cfRule type="duplicateValues" dxfId="9268" priority="5588"/>
    <cfRule type="duplicateValues" dxfId="9267" priority="5589"/>
    <cfRule type="duplicateValues" dxfId="9266" priority="5590"/>
    <cfRule type="duplicateValues" dxfId="9265" priority="5591"/>
    <cfRule type="duplicateValues" dxfId="9264" priority="5592"/>
    <cfRule type="duplicateValues" dxfId="9263" priority="5593"/>
    <cfRule type="duplicateValues" dxfId="9262" priority="5594"/>
    <cfRule type="duplicateValues" dxfId="9261" priority="5595"/>
    <cfRule type="duplicateValues" dxfId="9260" priority="5596"/>
    <cfRule type="duplicateValues" dxfId="9259" priority="5597"/>
    <cfRule type="duplicateValues" dxfId="9258" priority="5598"/>
    <cfRule type="duplicateValues" dxfId="9257" priority="5599"/>
    <cfRule type="duplicateValues" dxfId="9256" priority="5600"/>
    <cfRule type="duplicateValues" dxfId="9255" priority="5601"/>
    <cfRule type="duplicateValues" dxfId="9254" priority="5602"/>
    <cfRule type="duplicateValues" dxfId="9253" priority="5603"/>
    <cfRule type="duplicateValues" dxfId="9252" priority="5604"/>
    <cfRule type="duplicateValues" dxfId="9251" priority="5605"/>
    <cfRule type="duplicateValues" dxfId="9250" priority="5606"/>
    <cfRule type="duplicateValues" dxfId="9249" priority="5607"/>
    <cfRule type="duplicateValues" dxfId="9248" priority="5608"/>
    <cfRule type="duplicateValues" dxfId="9247" priority="5609"/>
    <cfRule type="duplicateValues" dxfId="9246" priority="5610"/>
    <cfRule type="duplicateValues" dxfId="9245" priority="5611"/>
    <cfRule type="duplicateValues" dxfId="9244" priority="5612"/>
    <cfRule type="duplicateValues" dxfId="9243" priority="5613"/>
    <cfRule type="duplicateValues" dxfId="9242" priority="5614"/>
    <cfRule type="duplicateValues" dxfId="9241" priority="5615"/>
    <cfRule type="duplicateValues" dxfId="9240" priority="5616"/>
    <cfRule type="duplicateValues" dxfId="9239" priority="5617"/>
    <cfRule type="duplicateValues" dxfId="9238" priority="5618"/>
    <cfRule type="duplicateValues" dxfId="9237" priority="5619"/>
    <cfRule type="duplicateValues" dxfId="9236" priority="5620"/>
    <cfRule type="duplicateValues" dxfId="9235" priority="5621"/>
    <cfRule type="duplicateValues" dxfId="9234" priority="5622"/>
    <cfRule type="duplicateValues" dxfId="9233" priority="5623"/>
    <cfRule type="duplicateValues" dxfId="9232" priority="5624"/>
    <cfRule type="duplicateValues" dxfId="9231" priority="5625"/>
    <cfRule type="duplicateValues" dxfId="9230" priority="5626"/>
    <cfRule type="duplicateValues" dxfId="9229" priority="5627"/>
    <cfRule type="duplicateValues" dxfId="9228" priority="5628"/>
    <cfRule type="duplicateValues" dxfId="9227" priority="5629"/>
    <cfRule type="duplicateValues" dxfId="9226" priority="5630"/>
    <cfRule type="duplicateValues" dxfId="9225" priority="5631"/>
    <cfRule type="duplicateValues" dxfId="9224" priority="5632"/>
    <cfRule type="duplicateValues" dxfId="9223" priority="5633"/>
    <cfRule type="duplicateValues" dxfId="9222" priority="5634"/>
    <cfRule type="duplicateValues" dxfId="9221" priority="5635"/>
    <cfRule type="duplicateValues" dxfId="9220" priority="5636"/>
    <cfRule type="duplicateValues" dxfId="9219" priority="5637"/>
    <cfRule type="duplicateValues" dxfId="9218" priority="5638"/>
    <cfRule type="duplicateValues" dxfId="9217" priority="5639"/>
    <cfRule type="duplicateValues" dxfId="9216" priority="5640"/>
    <cfRule type="duplicateValues" dxfId="9215" priority="5641"/>
    <cfRule type="duplicateValues" dxfId="9214" priority="5642"/>
    <cfRule type="duplicateValues" dxfId="9213" priority="5643"/>
    <cfRule type="duplicateValues" dxfId="9212" priority="5644"/>
  </conditionalFormatting>
  <conditionalFormatting sqref="B38:B47">
    <cfRule type="duplicateValues" dxfId="9211" priority="245553"/>
    <cfRule type="duplicateValues" dxfId="9210" priority="245554"/>
    <cfRule type="duplicateValues" dxfId="9209" priority="245555"/>
    <cfRule type="duplicateValues" dxfId="9208" priority="245556"/>
    <cfRule type="duplicateValues" dxfId="9207" priority="245557"/>
    <cfRule type="duplicateValues" dxfId="9206" priority="245558"/>
    <cfRule type="duplicateValues" dxfId="9205" priority="245559"/>
    <cfRule type="duplicateValues" dxfId="9204" priority="245560"/>
    <cfRule type="duplicateValues" dxfId="9203" priority="245561"/>
    <cfRule type="duplicateValues" dxfId="9202" priority="245562"/>
    <cfRule type="duplicateValues" dxfId="9201" priority="245563"/>
    <cfRule type="duplicateValues" dxfId="9200" priority="245564"/>
    <cfRule type="duplicateValues" dxfId="9199" priority="245565"/>
    <cfRule type="duplicateValues" dxfId="9198" priority="245566"/>
    <cfRule type="duplicateValues" dxfId="9197" priority="245567"/>
    <cfRule type="duplicateValues" dxfId="9196" priority="245568"/>
    <cfRule type="duplicateValues" dxfId="9195" priority="245569"/>
    <cfRule type="duplicateValues" dxfId="9194" priority="245570"/>
    <cfRule type="duplicateValues" dxfId="9193" priority="245571"/>
    <cfRule type="duplicateValues" dxfId="9192" priority="245572"/>
    <cfRule type="duplicateValues" dxfId="9191" priority="245573"/>
    <cfRule type="duplicateValues" dxfId="9190" priority="245574"/>
    <cfRule type="duplicateValues" dxfId="9189" priority="245575"/>
    <cfRule type="duplicateValues" dxfId="9188" priority="245576"/>
    <cfRule type="duplicateValues" dxfId="9187" priority="245577"/>
    <cfRule type="duplicateValues" dxfId="9186" priority="245578"/>
    <cfRule type="duplicateValues" dxfId="9185" priority="245579"/>
    <cfRule type="duplicateValues" dxfId="9184" priority="245580"/>
    <cfRule type="duplicateValues" dxfId="9183" priority="245581"/>
    <cfRule type="duplicateValues" dxfId="9182" priority="245582"/>
    <cfRule type="duplicateValues" dxfId="9181" priority="245583"/>
    <cfRule type="duplicateValues" dxfId="9180" priority="245584"/>
    <cfRule type="duplicateValues" dxfId="9179" priority="245585"/>
    <cfRule type="duplicateValues" dxfId="9178" priority="245586"/>
    <cfRule type="duplicateValues" dxfId="9177" priority="245587"/>
    <cfRule type="duplicateValues" dxfId="9176" priority="245588"/>
    <cfRule type="duplicateValues" dxfId="9175" priority="245589"/>
    <cfRule type="duplicateValues" dxfId="9174" priority="245590"/>
    <cfRule type="duplicateValues" dxfId="9173" priority="245591"/>
    <cfRule type="duplicateValues" dxfId="9172" priority="245592"/>
    <cfRule type="duplicateValues" dxfId="9171" priority="245593"/>
    <cfRule type="duplicateValues" dxfId="9170" priority="245594"/>
    <cfRule type="duplicateValues" dxfId="9169" priority="245595"/>
    <cfRule type="duplicateValues" dxfId="9168" priority="245596"/>
    <cfRule type="duplicateValues" dxfId="9167" priority="245597"/>
    <cfRule type="duplicateValues" dxfId="9166" priority="245598"/>
    <cfRule type="duplicateValues" dxfId="9165" priority="245599"/>
    <cfRule type="duplicateValues" dxfId="9164" priority="245600"/>
    <cfRule type="duplicateValues" dxfId="9163" priority="245601"/>
    <cfRule type="duplicateValues" dxfId="9162" priority="245602"/>
    <cfRule type="duplicateValues" dxfId="9161" priority="245603"/>
    <cfRule type="duplicateValues" dxfId="9160" priority="245604"/>
    <cfRule type="duplicateValues" dxfId="9159" priority="245605"/>
    <cfRule type="duplicateValues" dxfId="9158" priority="245606"/>
    <cfRule type="duplicateValues" dxfId="9157" priority="245607"/>
    <cfRule type="duplicateValues" dxfId="9156" priority="245608"/>
    <cfRule type="duplicateValues" dxfId="9155" priority="245609"/>
    <cfRule type="duplicateValues" dxfId="9154" priority="245610"/>
    <cfRule type="duplicateValues" dxfId="9153" priority="245611"/>
    <cfRule type="duplicateValues" dxfId="9152" priority="245612"/>
    <cfRule type="duplicateValues" dxfId="9151" priority="245613"/>
    <cfRule type="duplicateValues" dxfId="9150" priority="245614"/>
    <cfRule type="duplicateValues" dxfId="9149" priority="245615"/>
    <cfRule type="duplicateValues" dxfId="9148" priority="245616"/>
    <cfRule type="duplicateValues" dxfId="9147" priority="245617"/>
    <cfRule type="duplicateValues" dxfId="9146" priority="245618"/>
    <cfRule type="duplicateValues" dxfId="9145" priority="245619"/>
    <cfRule type="duplicateValues" dxfId="9144" priority="245620"/>
    <cfRule type="duplicateValues" dxfId="9143" priority="245621"/>
    <cfRule type="duplicateValues" dxfId="9142" priority="245622"/>
    <cfRule type="duplicateValues" dxfId="9141" priority="245623"/>
    <cfRule type="duplicateValues" dxfId="9140" priority="245624"/>
    <cfRule type="duplicateValues" dxfId="9139" priority="245625"/>
    <cfRule type="duplicateValues" dxfId="9138" priority="245626"/>
    <cfRule type="duplicateValues" dxfId="9137" priority="245627"/>
    <cfRule type="duplicateValues" dxfId="9136" priority="245628"/>
    <cfRule type="duplicateValues" dxfId="9135" priority="245629"/>
    <cfRule type="duplicateValues" dxfId="9134" priority="245630"/>
    <cfRule type="duplicateValues" dxfId="9133" priority="245631"/>
    <cfRule type="duplicateValues" dxfId="9132" priority="245632"/>
    <cfRule type="duplicateValues" dxfId="9131" priority="245633"/>
    <cfRule type="duplicateValues" dxfId="9130" priority="245634"/>
    <cfRule type="duplicateValues" dxfId="9129" priority="245635"/>
    <cfRule type="duplicateValues" dxfId="9128" priority="245636"/>
    <cfRule type="duplicateValues" dxfId="9127" priority="245637"/>
    <cfRule type="duplicateValues" dxfId="9126" priority="245638"/>
    <cfRule type="duplicateValues" dxfId="9125" priority="245639"/>
    <cfRule type="duplicateValues" dxfId="9124" priority="245640"/>
    <cfRule type="duplicateValues" dxfId="9123" priority="245641"/>
  </conditionalFormatting>
  <conditionalFormatting sqref="B48:B52">
    <cfRule type="duplicateValues" dxfId="9122" priority="5378"/>
    <cfRule type="duplicateValues" dxfId="9121" priority="5379"/>
    <cfRule type="duplicateValues" dxfId="9120" priority="5380"/>
    <cfRule type="duplicateValues" dxfId="9119" priority="5381"/>
    <cfRule type="duplicateValues" dxfId="9118" priority="5382"/>
    <cfRule type="duplicateValues" dxfId="9117" priority="5383"/>
    <cfRule type="duplicateValues" dxfId="9116" priority="5384"/>
    <cfRule type="duplicateValues" dxfId="9115" priority="5385"/>
    <cfRule type="duplicateValues" dxfId="9114" priority="5386"/>
    <cfRule type="duplicateValues" dxfId="9113" priority="5387"/>
    <cfRule type="duplicateValues" dxfId="9112" priority="5388"/>
    <cfRule type="duplicateValues" dxfId="9111" priority="5389"/>
    <cfRule type="duplicateValues" dxfId="9110" priority="5390"/>
    <cfRule type="duplicateValues" dxfId="9109" priority="5391"/>
    <cfRule type="duplicateValues" dxfId="9108" priority="5392"/>
    <cfRule type="duplicateValues" dxfId="9107" priority="5393"/>
    <cfRule type="duplicateValues" dxfId="9106" priority="5394"/>
    <cfRule type="duplicateValues" dxfId="9105" priority="5395"/>
    <cfRule type="duplicateValues" dxfId="9104" priority="5396"/>
    <cfRule type="duplicateValues" dxfId="9103" priority="5397"/>
    <cfRule type="duplicateValues" dxfId="9102" priority="5398"/>
    <cfRule type="duplicateValues" dxfId="9101" priority="5399"/>
    <cfRule type="duplicateValues" dxfId="9100" priority="5400"/>
    <cfRule type="duplicateValues" dxfId="9099" priority="5401"/>
    <cfRule type="duplicateValues" dxfId="9098" priority="5402"/>
    <cfRule type="duplicateValues" dxfId="9097" priority="5403"/>
    <cfRule type="duplicateValues" dxfId="9096" priority="5404"/>
    <cfRule type="duplicateValues" dxfId="9095" priority="5405"/>
    <cfRule type="duplicateValues" dxfId="9094" priority="5406"/>
    <cfRule type="duplicateValues" dxfId="9093" priority="5407"/>
    <cfRule type="duplicateValues" dxfId="9092" priority="5408"/>
    <cfRule type="duplicateValues" dxfId="9091" priority="5409"/>
    <cfRule type="duplicateValues" dxfId="9090" priority="5410"/>
    <cfRule type="duplicateValues" dxfId="9089" priority="5411"/>
    <cfRule type="duplicateValues" dxfId="9088" priority="5412"/>
    <cfRule type="duplicateValues" dxfId="9087" priority="5413"/>
    <cfRule type="duplicateValues" dxfId="9086" priority="5414"/>
    <cfRule type="duplicateValues" dxfId="9085" priority="5415"/>
    <cfRule type="duplicateValues" dxfId="9084" priority="5416"/>
    <cfRule type="duplicateValues" dxfId="9083" priority="5417"/>
    <cfRule type="duplicateValues" dxfId="9082" priority="5418"/>
    <cfRule type="duplicateValues" dxfId="9081" priority="5419"/>
    <cfRule type="duplicateValues" dxfId="9080" priority="5420"/>
    <cfRule type="duplicateValues" dxfId="9079" priority="5421"/>
    <cfRule type="duplicateValues" dxfId="9078" priority="5422"/>
    <cfRule type="duplicateValues" dxfId="9077" priority="5423"/>
    <cfRule type="duplicateValues" dxfId="9076" priority="5424"/>
    <cfRule type="duplicateValues" dxfId="9075" priority="5425"/>
    <cfRule type="duplicateValues" dxfId="9074" priority="5426"/>
    <cfRule type="duplicateValues" dxfId="9073" priority="5427"/>
    <cfRule type="duplicateValues" dxfId="9072" priority="5428"/>
    <cfRule type="duplicateValues" dxfId="9071" priority="5429"/>
    <cfRule type="duplicateValues" dxfId="9070" priority="5430"/>
    <cfRule type="duplicateValues" dxfId="9069" priority="5431"/>
    <cfRule type="duplicateValues" dxfId="9068" priority="5432"/>
    <cfRule type="duplicateValues" dxfId="9067" priority="5433"/>
    <cfRule type="duplicateValues" dxfId="9066" priority="5434"/>
    <cfRule type="duplicateValues" dxfId="9065" priority="5435"/>
    <cfRule type="duplicateValues" dxfId="9064" priority="5436"/>
    <cfRule type="duplicateValues" dxfId="9063" priority="5437"/>
    <cfRule type="duplicateValues" dxfId="9062" priority="5438"/>
    <cfRule type="duplicateValues" dxfId="9061" priority="5439"/>
    <cfRule type="duplicateValues" dxfId="9060" priority="5440"/>
    <cfRule type="duplicateValues" dxfId="9059" priority="5441"/>
    <cfRule type="duplicateValues" dxfId="9058" priority="5442"/>
    <cfRule type="duplicateValues" dxfId="9057" priority="5443"/>
    <cfRule type="duplicateValues" dxfId="9056" priority="5444"/>
    <cfRule type="duplicateValues" dxfId="9055" priority="5445"/>
    <cfRule type="duplicateValues" dxfId="9054" priority="5446"/>
    <cfRule type="duplicateValues" dxfId="9053" priority="5447"/>
    <cfRule type="duplicateValues" dxfId="9052" priority="5448"/>
    <cfRule type="duplicateValues" dxfId="9051" priority="5449"/>
    <cfRule type="duplicateValues" dxfId="9050" priority="5450"/>
    <cfRule type="duplicateValues" dxfId="9049" priority="5451"/>
    <cfRule type="duplicateValues" dxfId="9048" priority="5452"/>
    <cfRule type="duplicateValues" dxfId="9047" priority="5453"/>
    <cfRule type="duplicateValues" dxfId="9046" priority="5454"/>
    <cfRule type="duplicateValues" dxfId="9045" priority="5455"/>
    <cfRule type="duplicateValues" dxfId="9044" priority="5456"/>
    <cfRule type="duplicateValues" dxfId="9043" priority="5457"/>
    <cfRule type="duplicateValues" dxfId="9042" priority="5458"/>
    <cfRule type="duplicateValues" dxfId="9041" priority="5459"/>
    <cfRule type="duplicateValues" dxfId="9040" priority="5460"/>
    <cfRule type="duplicateValues" dxfId="9039" priority="5461"/>
    <cfRule type="duplicateValues" dxfId="9038" priority="5462"/>
    <cfRule type="duplicateValues" dxfId="9037" priority="5463"/>
    <cfRule type="duplicateValues" dxfId="9036" priority="5464"/>
    <cfRule type="duplicateValues" dxfId="9035" priority="5465"/>
    <cfRule type="duplicateValues" dxfId="9034" priority="5466"/>
  </conditionalFormatting>
  <conditionalFormatting sqref="B53:B62">
    <cfRule type="duplicateValues" dxfId="9033" priority="5289"/>
    <cfRule type="duplicateValues" dxfId="9032" priority="5290"/>
    <cfRule type="duplicateValues" dxfId="9031" priority="5291"/>
    <cfRule type="duplicateValues" dxfId="9030" priority="5292"/>
    <cfRule type="duplicateValues" dxfId="9029" priority="5293"/>
    <cfRule type="duplicateValues" dxfId="9028" priority="5294"/>
    <cfRule type="duplicateValues" dxfId="9027" priority="5295"/>
    <cfRule type="duplicateValues" dxfId="9026" priority="5296"/>
    <cfRule type="duplicateValues" dxfId="9025" priority="5297"/>
    <cfRule type="duplicateValues" dxfId="9024" priority="5298"/>
    <cfRule type="duplicateValues" dxfId="9023" priority="5299"/>
    <cfRule type="duplicateValues" dxfId="9022" priority="5300"/>
    <cfRule type="duplicateValues" dxfId="9021" priority="5301"/>
    <cfRule type="duplicateValues" dxfId="9020" priority="5302"/>
    <cfRule type="duplicateValues" dxfId="9019" priority="5303"/>
    <cfRule type="duplicateValues" dxfId="9018" priority="5304"/>
    <cfRule type="duplicateValues" dxfId="9017" priority="5305"/>
    <cfRule type="duplicateValues" dxfId="9016" priority="5306"/>
    <cfRule type="duplicateValues" dxfId="9015" priority="5307"/>
    <cfRule type="duplicateValues" dxfId="9014" priority="5308"/>
    <cfRule type="duplicateValues" dxfId="9013" priority="5309"/>
    <cfRule type="duplicateValues" dxfId="9012" priority="5310"/>
    <cfRule type="duplicateValues" dxfId="9011" priority="5311"/>
    <cfRule type="duplicateValues" dxfId="9010" priority="5312"/>
    <cfRule type="duplicateValues" dxfId="9009" priority="5313"/>
    <cfRule type="duplicateValues" dxfId="9008" priority="5314"/>
    <cfRule type="duplicateValues" dxfId="9007" priority="5315"/>
    <cfRule type="duplicateValues" dxfId="9006" priority="5316"/>
    <cfRule type="duplicateValues" dxfId="9005" priority="5317"/>
    <cfRule type="duplicateValues" dxfId="9004" priority="5318"/>
    <cfRule type="duplicateValues" dxfId="9003" priority="5319"/>
    <cfRule type="duplicateValues" dxfId="9002" priority="5320"/>
    <cfRule type="duplicateValues" dxfId="9001" priority="5321"/>
    <cfRule type="duplicateValues" dxfId="9000" priority="5322"/>
    <cfRule type="duplicateValues" dxfId="8999" priority="5323"/>
    <cfRule type="duplicateValues" dxfId="8998" priority="5324"/>
    <cfRule type="duplicateValues" dxfId="8997" priority="5325"/>
    <cfRule type="duplicateValues" dxfId="8996" priority="5326"/>
    <cfRule type="duplicateValues" dxfId="8995" priority="5327"/>
    <cfRule type="duplicateValues" dxfId="8994" priority="5328"/>
    <cfRule type="duplicateValues" dxfId="8993" priority="5329"/>
    <cfRule type="duplicateValues" dxfId="8992" priority="5330"/>
    <cfRule type="duplicateValues" dxfId="8991" priority="5331"/>
    <cfRule type="duplicateValues" dxfId="8990" priority="5332"/>
    <cfRule type="duplicateValues" dxfId="8989" priority="5333"/>
    <cfRule type="duplicateValues" dxfId="8988" priority="5334"/>
    <cfRule type="duplicateValues" dxfId="8987" priority="5335"/>
    <cfRule type="duplicateValues" dxfId="8986" priority="5336"/>
    <cfRule type="duplicateValues" dxfId="8985" priority="5337"/>
    <cfRule type="duplicateValues" dxfId="8984" priority="5338"/>
    <cfRule type="duplicateValues" dxfId="8983" priority="5339"/>
    <cfRule type="duplicateValues" dxfId="8982" priority="5340"/>
    <cfRule type="duplicateValues" dxfId="8981" priority="5341"/>
    <cfRule type="duplicateValues" dxfId="8980" priority="5342"/>
    <cfRule type="duplicateValues" dxfId="8979" priority="5343"/>
    <cfRule type="duplicateValues" dxfId="8978" priority="5344"/>
    <cfRule type="duplicateValues" dxfId="8977" priority="5345"/>
    <cfRule type="duplicateValues" dxfId="8976" priority="5346"/>
    <cfRule type="duplicateValues" dxfId="8975" priority="5347"/>
    <cfRule type="duplicateValues" dxfId="8974" priority="5348"/>
    <cfRule type="duplicateValues" dxfId="8973" priority="5349"/>
    <cfRule type="duplicateValues" dxfId="8972" priority="5350"/>
    <cfRule type="duplicateValues" dxfId="8971" priority="5351"/>
    <cfRule type="duplicateValues" dxfId="8970" priority="5352"/>
    <cfRule type="duplicateValues" dxfId="8969" priority="5353"/>
    <cfRule type="duplicateValues" dxfId="8968" priority="5354"/>
    <cfRule type="duplicateValues" dxfId="8967" priority="5355"/>
    <cfRule type="duplicateValues" dxfId="8966" priority="5356"/>
    <cfRule type="duplicateValues" dxfId="8965" priority="5357"/>
    <cfRule type="duplicateValues" dxfId="8964" priority="5358"/>
    <cfRule type="duplicateValues" dxfId="8963" priority="5359"/>
    <cfRule type="duplicateValues" dxfId="8962" priority="5360"/>
    <cfRule type="duplicateValues" dxfId="8961" priority="5361"/>
    <cfRule type="duplicateValues" dxfId="8960" priority="5362"/>
    <cfRule type="duplicateValues" dxfId="8959" priority="5363"/>
    <cfRule type="duplicateValues" dxfId="8958" priority="5364"/>
    <cfRule type="duplicateValues" dxfId="8957" priority="5365"/>
    <cfRule type="duplicateValues" dxfId="8956" priority="5366"/>
    <cfRule type="duplicateValues" dxfId="8955" priority="5367"/>
    <cfRule type="duplicateValues" dxfId="8954" priority="5368"/>
    <cfRule type="duplicateValues" dxfId="8953" priority="5369"/>
    <cfRule type="duplicateValues" dxfId="8952" priority="5370"/>
    <cfRule type="duplicateValues" dxfId="8951" priority="5371"/>
    <cfRule type="duplicateValues" dxfId="8950" priority="5372"/>
    <cfRule type="duplicateValues" dxfId="8949" priority="5373"/>
    <cfRule type="duplicateValues" dxfId="8948" priority="5374"/>
    <cfRule type="duplicateValues" dxfId="8947" priority="5375"/>
    <cfRule type="duplicateValues" dxfId="8946" priority="5376"/>
    <cfRule type="duplicateValues" dxfId="8945" priority="5377"/>
  </conditionalFormatting>
  <conditionalFormatting sqref="B63:B70">
    <cfRule type="duplicateValues" dxfId="8944" priority="5200"/>
    <cfRule type="duplicateValues" dxfId="8943" priority="5201"/>
    <cfRule type="duplicateValues" dxfId="8942" priority="5202"/>
    <cfRule type="duplicateValues" dxfId="8941" priority="5203"/>
    <cfRule type="duplicateValues" dxfId="8940" priority="5204"/>
    <cfRule type="duplicateValues" dxfId="8939" priority="5205"/>
    <cfRule type="duplicateValues" dxfId="8938" priority="5206"/>
    <cfRule type="duplicateValues" dxfId="8937" priority="5207"/>
    <cfRule type="duplicateValues" dxfId="8936" priority="5208"/>
    <cfRule type="duplicateValues" dxfId="8935" priority="5209"/>
    <cfRule type="duplicateValues" dxfId="8934" priority="5210"/>
    <cfRule type="duplicateValues" dxfId="8933" priority="5211"/>
    <cfRule type="duplicateValues" dxfId="8932" priority="5212"/>
    <cfRule type="duplicateValues" dxfId="8931" priority="5213"/>
    <cfRule type="duplicateValues" dxfId="8930" priority="5214"/>
    <cfRule type="duplicateValues" dxfId="8929" priority="5215"/>
    <cfRule type="duplicateValues" dxfId="8928" priority="5216"/>
    <cfRule type="duplicateValues" dxfId="8927" priority="5217"/>
    <cfRule type="duplicateValues" dxfId="8926" priority="5218"/>
    <cfRule type="duplicateValues" dxfId="8925" priority="5219"/>
    <cfRule type="duplicateValues" dxfId="8924" priority="5220"/>
    <cfRule type="duplicateValues" dxfId="8923" priority="5221"/>
    <cfRule type="duplicateValues" dxfId="8922" priority="5222"/>
    <cfRule type="duplicateValues" dxfId="8921" priority="5223"/>
    <cfRule type="duplicateValues" dxfId="8920" priority="5224"/>
    <cfRule type="duplicateValues" dxfId="8919" priority="5225"/>
    <cfRule type="duplicateValues" dxfId="8918" priority="5226"/>
    <cfRule type="duplicateValues" dxfId="8917" priority="5227"/>
    <cfRule type="duplicateValues" dxfId="8916" priority="5228"/>
    <cfRule type="duplicateValues" dxfId="8915" priority="5229"/>
    <cfRule type="duplicateValues" dxfId="8914" priority="5230"/>
    <cfRule type="duplicateValues" dxfId="8913" priority="5231"/>
    <cfRule type="duplicateValues" dxfId="8912" priority="5232"/>
    <cfRule type="duplicateValues" dxfId="8911" priority="5233"/>
    <cfRule type="duplicateValues" dxfId="8910" priority="5234"/>
    <cfRule type="duplicateValues" dxfId="8909" priority="5235"/>
    <cfRule type="duplicateValues" dxfId="8908" priority="5236"/>
    <cfRule type="duplicateValues" dxfId="8907" priority="5237"/>
    <cfRule type="duplicateValues" dxfId="8906" priority="5238"/>
    <cfRule type="duplicateValues" dxfId="8905" priority="5239"/>
    <cfRule type="duplicateValues" dxfId="8904" priority="5240"/>
    <cfRule type="duplicateValues" dxfId="8903" priority="5241"/>
    <cfRule type="duplicateValues" dxfId="8902" priority="5242"/>
    <cfRule type="duplicateValues" dxfId="8901" priority="5243"/>
    <cfRule type="duplicateValues" dxfId="8900" priority="5244"/>
    <cfRule type="duplicateValues" dxfId="8899" priority="5245"/>
    <cfRule type="duplicateValues" dxfId="8898" priority="5246"/>
    <cfRule type="duplicateValues" dxfId="8897" priority="5247"/>
    <cfRule type="duplicateValues" dxfId="8896" priority="5248"/>
    <cfRule type="duplicateValues" dxfId="8895" priority="5249"/>
    <cfRule type="duplicateValues" dxfId="8894" priority="5250"/>
    <cfRule type="duplicateValues" dxfId="8893" priority="5251"/>
    <cfRule type="duplicateValues" dxfId="8892" priority="5252"/>
    <cfRule type="duplicateValues" dxfId="8891" priority="5253"/>
    <cfRule type="duplicateValues" dxfId="8890" priority="5254"/>
    <cfRule type="duplicateValues" dxfId="8889" priority="5255"/>
    <cfRule type="duplicateValues" dxfId="8888" priority="5256"/>
    <cfRule type="duplicateValues" dxfId="8887" priority="5257"/>
    <cfRule type="duplicateValues" dxfId="8886" priority="5258"/>
    <cfRule type="duplicateValues" dxfId="8885" priority="5259"/>
    <cfRule type="duplicateValues" dxfId="8884" priority="5260"/>
    <cfRule type="duplicateValues" dxfId="8883" priority="5261"/>
    <cfRule type="duplicateValues" dxfId="8882" priority="5262"/>
    <cfRule type="duplicateValues" dxfId="8881" priority="5263"/>
    <cfRule type="duplicateValues" dxfId="8880" priority="5264"/>
    <cfRule type="duplicateValues" dxfId="8879" priority="5265"/>
    <cfRule type="duplicateValues" dxfId="8878" priority="5266"/>
    <cfRule type="duplicateValues" dxfId="8877" priority="5267"/>
    <cfRule type="duplicateValues" dxfId="8876" priority="5268"/>
    <cfRule type="duplicateValues" dxfId="8875" priority="5269"/>
    <cfRule type="duplicateValues" dxfId="8874" priority="5270"/>
    <cfRule type="duplicateValues" dxfId="8873" priority="5271"/>
    <cfRule type="duplicateValues" dxfId="8872" priority="5272"/>
    <cfRule type="duplicateValues" dxfId="8871" priority="5273"/>
    <cfRule type="duplicateValues" dxfId="8870" priority="5274"/>
    <cfRule type="duplicateValues" dxfId="8869" priority="5275"/>
    <cfRule type="duplicateValues" dxfId="8868" priority="5276"/>
    <cfRule type="duplicateValues" dxfId="8867" priority="5277"/>
    <cfRule type="duplicateValues" dxfId="8866" priority="5278"/>
    <cfRule type="duplicateValues" dxfId="8865" priority="5279"/>
    <cfRule type="duplicateValues" dxfId="8864" priority="5280"/>
    <cfRule type="duplicateValues" dxfId="8863" priority="5281"/>
    <cfRule type="duplicateValues" dxfId="8862" priority="5282"/>
    <cfRule type="duplicateValues" dxfId="8861" priority="5283"/>
    <cfRule type="duplicateValues" dxfId="8860" priority="5284"/>
    <cfRule type="duplicateValues" dxfId="8859" priority="5285"/>
    <cfRule type="duplicateValues" dxfId="8858" priority="5286"/>
    <cfRule type="duplicateValues" dxfId="8857" priority="5287"/>
    <cfRule type="duplicateValues" dxfId="8856" priority="5288"/>
  </conditionalFormatting>
  <conditionalFormatting sqref="B71:B72">
    <cfRule type="duplicateValues" dxfId="8855" priority="244647"/>
    <cfRule type="duplicateValues" dxfId="8854" priority="244648"/>
    <cfRule type="duplicateValues" dxfId="8853" priority="244649"/>
    <cfRule type="duplicateValues" dxfId="8852" priority="244650"/>
    <cfRule type="duplicateValues" dxfId="8851" priority="244651"/>
    <cfRule type="duplicateValues" dxfId="8850" priority="244941"/>
    <cfRule type="duplicateValues" dxfId="8849" priority="244942"/>
    <cfRule type="duplicateValues" dxfId="8848" priority="244943"/>
    <cfRule type="duplicateValues" dxfId="8847" priority="244944"/>
    <cfRule type="duplicateValues" dxfId="8846" priority="244945"/>
    <cfRule type="duplicateValues" dxfId="8845" priority="244946"/>
    <cfRule type="duplicateValues" dxfId="8844" priority="244947"/>
    <cfRule type="duplicateValues" dxfId="8843" priority="244948"/>
    <cfRule type="duplicateValues" dxfId="8842" priority="244949"/>
    <cfRule type="duplicateValues" dxfId="8841" priority="244950"/>
    <cfRule type="duplicateValues" dxfId="8840" priority="244951"/>
    <cfRule type="duplicateValues" dxfId="8839" priority="244952"/>
    <cfRule type="duplicateValues" dxfId="8838" priority="244953"/>
    <cfRule type="duplicateValues" dxfId="8837" priority="244954"/>
    <cfRule type="duplicateValues" dxfId="8836" priority="244955"/>
    <cfRule type="duplicateValues" dxfId="8835" priority="244956"/>
    <cfRule type="duplicateValues" dxfId="8834" priority="244957"/>
    <cfRule type="duplicateValues" dxfId="8833" priority="244958"/>
    <cfRule type="duplicateValues" dxfId="8832" priority="244959"/>
    <cfRule type="duplicateValues" dxfId="8831" priority="244960"/>
    <cfRule type="duplicateValues" dxfId="8830" priority="244961"/>
    <cfRule type="duplicateValues" dxfId="8829" priority="244962"/>
    <cfRule type="duplicateValues" dxfId="8828" priority="244963"/>
    <cfRule type="duplicateValues" dxfId="8827" priority="244964"/>
    <cfRule type="duplicateValues" dxfId="8826" priority="244965"/>
    <cfRule type="duplicateValues" dxfId="8825" priority="244966"/>
    <cfRule type="duplicateValues" dxfId="8824" priority="244967"/>
    <cfRule type="duplicateValues" dxfId="8823" priority="244968"/>
    <cfRule type="duplicateValues" dxfId="8822" priority="244969"/>
    <cfRule type="duplicateValues" dxfId="8821" priority="244970"/>
    <cfRule type="duplicateValues" dxfId="8820" priority="244971"/>
    <cfRule type="duplicateValues" dxfId="8819" priority="244972"/>
    <cfRule type="duplicateValues" dxfId="8818" priority="244973"/>
    <cfRule type="duplicateValues" dxfId="8817" priority="244974"/>
    <cfRule type="duplicateValues" dxfId="8816" priority="244975"/>
    <cfRule type="duplicateValues" dxfId="8815" priority="244976"/>
    <cfRule type="duplicateValues" dxfId="8814" priority="244977"/>
    <cfRule type="duplicateValues" dxfId="8813" priority="244978"/>
    <cfRule type="duplicateValues" dxfId="8812" priority="244979"/>
    <cfRule type="duplicateValues" dxfId="8811" priority="244980"/>
    <cfRule type="duplicateValues" dxfId="8810" priority="244981"/>
    <cfRule type="duplicateValues" dxfId="8809" priority="244982"/>
    <cfRule type="duplicateValues" dxfId="8808" priority="245271"/>
    <cfRule type="duplicateValues" dxfId="8807" priority="245272"/>
    <cfRule type="duplicateValues" dxfId="8806" priority="245273"/>
    <cfRule type="duplicateValues" dxfId="8805" priority="245274"/>
    <cfRule type="duplicateValues" dxfId="8804" priority="245275"/>
    <cfRule type="duplicateValues" dxfId="8803" priority="245276"/>
    <cfRule type="duplicateValues" dxfId="8802" priority="245277"/>
    <cfRule type="duplicateValues" dxfId="8801" priority="245278"/>
    <cfRule type="duplicateValues" dxfId="8800" priority="245279"/>
    <cfRule type="duplicateValues" dxfId="8799" priority="245280"/>
    <cfRule type="duplicateValues" dxfId="8798" priority="245281"/>
    <cfRule type="duplicateValues" dxfId="8797" priority="245282"/>
    <cfRule type="duplicateValues" dxfId="8796" priority="245283"/>
    <cfRule type="duplicateValues" dxfId="8795" priority="245284"/>
    <cfRule type="duplicateValues" dxfId="8794" priority="245285"/>
    <cfRule type="duplicateValues" dxfId="8793" priority="245286"/>
    <cfRule type="duplicateValues" dxfId="8792" priority="245287"/>
    <cfRule type="duplicateValues" dxfId="8791" priority="245288"/>
    <cfRule type="duplicateValues" dxfId="8790" priority="245289"/>
    <cfRule type="duplicateValues" dxfId="8789" priority="245290"/>
    <cfRule type="duplicateValues" dxfId="8788" priority="245291"/>
    <cfRule type="duplicateValues" dxfId="8787" priority="245292"/>
    <cfRule type="duplicateValues" dxfId="8786" priority="245293"/>
    <cfRule type="duplicateValues" dxfId="8785" priority="245294"/>
    <cfRule type="duplicateValues" dxfId="8784" priority="245295"/>
    <cfRule type="duplicateValues" dxfId="8783" priority="245296"/>
    <cfRule type="duplicateValues" dxfId="8782" priority="245297"/>
    <cfRule type="duplicateValues" dxfId="8781" priority="245298"/>
    <cfRule type="duplicateValues" dxfId="8780" priority="245299"/>
    <cfRule type="duplicateValues" dxfId="8779" priority="245300"/>
    <cfRule type="duplicateValues" dxfId="8778" priority="245301"/>
    <cfRule type="duplicateValues" dxfId="8777" priority="245302"/>
    <cfRule type="duplicateValues" dxfId="8776" priority="245303"/>
    <cfRule type="duplicateValues" dxfId="8775" priority="245304"/>
    <cfRule type="duplicateValues" dxfId="8774" priority="245305"/>
    <cfRule type="duplicateValues" dxfId="8773" priority="245306"/>
    <cfRule type="duplicateValues" dxfId="8772" priority="245307"/>
    <cfRule type="duplicateValues" dxfId="8771" priority="245308"/>
    <cfRule type="duplicateValues" dxfId="8770" priority="245309"/>
    <cfRule type="duplicateValues" dxfId="8769" priority="245310"/>
    <cfRule type="duplicateValues" dxfId="8768" priority="245311"/>
    <cfRule type="duplicateValues" dxfId="8767" priority="245312"/>
  </conditionalFormatting>
  <conditionalFormatting sqref="B73">
    <cfRule type="duplicateValues" dxfId="8766" priority="245313"/>
    <cfRule type="duplicateValues" dxfId="8765" priority="245314"/>
    <cfRule type="duplicateValues" dxfId="8764" priority="245315"/>
    <cfRule type="duplicateValues" dxfId="8763" priority="245316"/>
    <cfRule type="duplicateValues" dxfId="8762" priority="245317"/>
    <cfRule type="duplicateValues" dxfId="8761" priority="245318"/>
    <cfRule type="duplicateValues" dxfId="8760" priority="245319"/>
    <cfRule type="duplicateValues" dxfId="8759" priority="245320"/>
    <cfRule type="duplicateValues" dxfId="8758" priority="245321"/>
    <cfRule type="duplicateValues" dxfId="8757" priority="245322"/>
    <cfRule type="duplicateValues" dxfId="8756" priority="245323"/>
    <cfRule type="duplicateValues" dxfId="8755" priority="245324"/>
    <cfRule type="duplicateValues" dxfId="8754" priority="245325"/>
    <cfRule type="duplicateValues" dxfId="8753" priority="245326"/>
    <cfRule type="duplicateValues" dxfId="8752" priority="245327"/>
    <cfRule type="duplicateValues" dxfId="8751" priority="245328"/>
    <cfRule type="duplicateValues" dxfId="8750" priority="245329"/>
    <cfRule type="duplicateValues" dxfId="8749" priority="245330"/>
    <cfRule type="duplicateValues" dxfId="8748" priority="245331"/>
    <cfRule type="duplicateValues" dxfId="8747" priority="245332"/>
    <cfRule type="duplicateValues" dxfId="8746" priority="245333"/>
    <cfRule type="duplicateValues" dxfId="8745" priority="245334"/>
    <cfRule type="duplicateValues" dxfId="8744" priority="245335"/>
    <cfRule type="duplicateValues" dxfId="8743" priority="245336"/>
    <cfRule type="duplicateValues" dxfId="8742" priority="245337"/>
    <cfRule type="duplicateValues" dxfId="8741" priority="245338"/>
    <cfRule type="duplicateValues" dxfId="8740" priority="245339"/>
    <cfRule type="duplicateValues" dxfId="8739" priority="245340"/>
    <cfRule type="duplicateValues" dxfId="8738" priority="245341"/>
    <cfRule type="duplicateValues" dxfId="8737" priority="245342"/>
    <cfRule type="duplicateValues" dxfId="8736" priority="245343"/>
    <cfRule type="duplicateValues" dxfId="8735" priority="245344"/>
    <cfRule type="duplicateValues" dxfId="8734" priority="245345"/>
    <cfRule type="duplicateValues" dxfId="8733" priority="245346"/>
    <cfRule type="duplicateValues" dxfId="8732" priority="245347"/>
    <cfRule type="duplicateValues" dxfId="8731" priority="245348"/>
    <cfRule type="duplicateValues" dxfId="8730" priority="245349"/>
    <cfRule type="duplicateValues" dxfId="8729" priority="245350"/>
    <cfRule type="duplicateValues" dxfId="8728" priority="245351"/>
    <cfRule type="duplicateValues" dxfId="8727" priority="245352"/>
    <cfRule type="duplicateValues" dxfId="8726" priority="245353"/>
    <cfRule type="duplicateValues" dxfId="8725" priority="245354"/>
    <cfRule type="duplicateValues" dxfId="8724" priority="245397"/>
    <cfRule type="duplicateValues" dxfId="8723" priority="245398"/>
    <cfRule type="duplicateValues" dxfId="8722" priority="245399"/>
    <cfRule type="duplicateValues" dxfId="8721" priority="245400"/>
    <cfRule type="duplicateValues" dxfId="8720" priority="245401"/>
    <cfRule type="duplicateValues" dxfId="8719" priority="245402"/>
    <cfRule type="duplicateValues" dxfId="8718" priority="245403"/>
    <cfRule type="duplicateValues" dxfId="8717" priority="245404"/>
    <cfRule type="duplicateValues" dxfId="8716" priority="245405"/>
    <cfRule type="duplicateValues" dxfId="8715" priority="245406"/>
    <cfRule type="duplicateValues" dxfId="8714" priority="245407"/>
    <cfRule type="duplicateValues" dxfId="8713" priority="245408"/>
    <cfRule type="duplicateValues" dxfId="8712" priority="245409"/>
    <cfRule type="duplicateValues" dxfId="8711" priority="245410"/>
    <cfRule type="duplicateValues" dxfId="8710" priority="245411"/>
    <cfRule type="duplicateValues" dxfId="8709" priority="245412"/>
    <cfRule type="duplicateValues" dxfId="8708" priority="245413"/>
    <cfRule type="duplicateValues" dxfId="8707" priority="245414"/>
    <cfRule type="duplicateValues" dxfId="8706" priority="245415"/>
    <cfRule type="duplicateValues" dxfId="8705" priority="245416"/>
    <cfRule type="duplicateValues" dxfId="8704" priority="245417"/>
    <cfRule type="duplicateValues" dxfId="8703" priority="245418"/>
    <cfRule type="duplicateValues" dxfId="8702" priority="245419"/>
    <cfRule type="duplicateValues" dxfId="8701" priority="245420"/>
    <cfRule type="duplicateValues" dxfId="8700" priority="245421"/>
    <cfRule type="duplicateValues" dxfId="8699" priority="245422"/>
    <cfRule type="duplicateValues" dxfId="8698" priority="245423"/>
    <cfRule type="duplicateValues" dxfId="8697" priority="245424"/>
    <cfRule type="duplicateValues" dxfId="8696" priority="245425"/>
    <cfRule type="duplicateValues" dxfId="8695" priority="245426"/>
    <cfRule type="duplicateValues" dxfId="8694" priority="245427"/>
    <cfRule type="duplicateValues" dxfId="8693" priority="245428"/>
    <cfRule type="duplicateValues" dxfId="8692" priority="245429"/>
    <cfRule type="duplicateValues" dxfId="8691" priority="245430"/>
    <cfRule type="duplicateValues" dxfId="8690" priority="245431"/>
    <cfRule type="duplicateValues" dxfId="8689" priority="245432"/>
    <cfRule type="duplicateValues" dxfId="8688" priority="245433"/>
    <cfRule type="duplicateValues" dxfId="8687" priority="245434"/>
    <cfRule type="duplicateValues" dxfId="8686" priority="245435"/>
    <cfRule type="duplicateValues" dxfId="8685" priority="245436"/>
    <cfRule type="duplicateValues" dxfId="8684" priority="245437"/>
    <cfRule type="duplicateValues" dxfId="8683" priority="245438"/>
    <cfRule type="duplicateValues" dxfId="8682" priority="245444"/>
    <cfRule type="duplicateValues" dxfId="8681" priority="245445"/>
    <cfRule type="duplicateValues" dxfId="8680" priority="245446"/>
    <cfRule type="duplicateValues" dxfId="8679" priority="245447"/>
    <cfRule type="duplicateValues" dxfId="8678" priority="245448"/>
  </conditionalFormatting>
  <conditionalFormatting sqref="B74:B76">
    <cfRule type="duplicateValues" dxfId="8677" priority="244983"/>
    <cfRule type="duplicateValues" dxfId="8676" priority="244984"/>
    <cfRule type="duplicateValues" dxfId="8675" priority="244985"/>
    <cfRule type="duplicateValues" dxfId="8674" priority="244986"/>
    <cfRule type="duplicateValues" dxfId="8673" priority="244987"/>
    <cfRule type="duplicateValues" dxfId="8672" priority="244988"/>
    <cfRule type="duplicateValues" dxfId="8671" priority="244989"/>
    <cfRule type="duplicateValues" dxfId="8670" priority="244990"/>
    <cfRule type="duplicateValues" dxfId="8669" priority="244991"/>
    <cfRule type="duplicateValues" dxfId="8668" priority="244992"/>
    <cfRule type="duplicateValues" dxfId="8667" priority="244993"/>
    <cfRule type="duplicateValues" dxfId="8666" priority="244994"/>
    <cfRule type="duplicateValues" dxfId="8665" priority="244995"/>
    <cfRule type="duplicateValues" dxfId="8664" priority="244996"/>
    <cfRule type="duplicateValues" dxfId="8663" priority="244997"/>
    <cfRule type="duplicateValues" dxfId="8662" priority="244998"/>
    <cfRule type="duplicateValues" dxfId="8661" priority="244999"/>
    <cfRule type="duplicateValues" dxfId="8660" priority="245000"/>
    <cfRule type="duplicateValues" dxfId="8659" priority="245001"/>
    <cfRule type="duplicateValues" dxfId="8658" priority="245002"/>
    <cfRule type="duplicateValues" dxfId="8657" priority="245003"/>
    <cfRule type="duplicateValues" dxfId="8656" priority="245004"/>
    <cfRule type="duplicateValues" dxfId="8655" priority="245005"/>
    <cfRule type="duplicateValues" dxfId="8654" priority="245006"/>
    <cfRule type="duplicateValues" dxfId="8653" priority="245007"/>
    <cfRule type="duplicateValues" dxfId="8652" priority="245008"/>
    <cfRule type="duplicateValues" dxfId="8651" priority="245009"/>
    <cfRule type="duplicateValues" dxfId="8650" priority="245010"/>
    <cfRule type="duplicateValues" dxfId="8649" priority="245011"/>
    <cfRule type="duplicateValues" dxfId="8648" priority="245012"/>
    <cfRule type="duplicateValues" dxfId="8647" priority="245013"/>
    <cfRule type="duplicateValues" dxfId="8646" priority="245014"/>
    <cfRule type="duplicateValues" dxfId="8645" priority="245015"/>
    <cfRule type="duplicateValues" dxfId="8644" priority="245016"/>
    <cfRule type="duplicateValues" dxfId="8643" priority="245017"/>
    <cfRule type="duplicateValues" dxfId="8642" priority="245018"/>
    <cfRule type="duplicateValues" dxfId="8641" priority="245019"/>
    <cfRule type="duplicateValues" dxfId="8640" priority="245020"/>
    <cfRule type="duplicateValues" dxfId="8639" priority="245021"/>
    <cfRule type="duplicateValues" dxfId="8638" priority="245022"/>
    <cfRule type="duplicateValues" dxfId="8637" priority="245023"/>
    <cfRule type="duplicateValues" dxfId="8636" priority="245024"/>
    <cfRule type="duplicateValues" dxfId="8635" priority="245067"/>
    <cfRule type="duplicateValues" dxfId="8634" priority="245068"/>
    <cfRule type="duplicateValues" dxfId="8633" priority="245069"/>
    <cfRule type="duplicateValues" dxfId="8632" priority="245070"/>
    <cfRule type="duplicateValues" dxfId="8631" priority="245071"/>
    <cfRule type="duplicateValues" dxfId="8630" priority="245072"/>
    <cfRule type="duplicateValues" dxfId="8629" priority="245073"/>
    <cfRule type="duplicateValues" dxfId="8628" priority="245074"/>
    <cfRule type="duplicateValues" dxfId="8627" priority="245075"/>
    <cfRule type="duplicateValues" dxfId="8626" priority="245076"/>
    <cfRule type="duplicateValues" dxfId="8625" priority="245077"/>
    <cfRule type="duplicateValues" dxfId="8624" priority="245078"/>
    <cfRule type="duplicateValues" dxfId="8623" priority="245079"/>
    <cfRule type="duplicateValues" dxfId="8622" priority="245080"/>
    <cfRule type="duplicateValues" dxfId="8621" priority="245081"/>
    <cfRule type="duplicateValues" dxfId="8620" priority="245082"/>
    <cfRule type="duplicateValues" dxfId="8619" priority="245083"/>
    <cfRule type="duplicateValues" dxfId="8618" priority="245084"/>
    <cfRule type="duplicateValues" dxfId="8617" priority="245085"/>
    <cfRule type="duplicateValues" dxfId="8616" priority="245086"/>
    <cfRule type="duplicateValues" dxfId="8615" priority="245087"/>
    <cfRule type="duplicateValues" dxfId="8614" priority="245088"/>
    <cfRule type="duplicateValues" dxfId="8613" priority="245089"/>
    <cfRule type="duplicateValues" dxfId="8612" priority="245090"/>
    <cfRule type="duplicateValues" dxfId="8611" priority="245091"/>
    <cfRule type="duplicateValues" dxfId="8610" priority="245092"/>
    <cfRule type="duplicateValues" dxfId="8609" priority="245093"/>
    <cfRule type="duplicateValues" dxfId="8608" priority="245094"/>
    <cfRule type="duplicateValues" dxfId="8607" priority="245095"/>
    <cfRule type="duplicateValues" dxfId="8606" priority="245096"/>
    <cfRule type="duplicateValues" dxfId="8605" priority="245097"/>
    <cfRule type="duplicateValues" dxfId="8604" priority="245098"/>
    <cfRule type="duplicateValues" dxfId="8603" priority="245099"/>
    <cfRule type="duplicateValues" dxfId="8602" priority="245100"/>
    <cfRule type="duplicateValues" dxfId="8601" priority="245101"/>
    <cfRule type="duplicateValues" dxfId="8600" priority="245102"/>
    <cfRule type="duplicateValues" dxfId="8599" priority="245103"/>
    <cfRule type="duplicateValues" dxfId="8598" priority="245104"/>
    <cfRule type="duplicateValues" dxfId="8597" priority="245105"/>
    <cfRule type="duplicateValues" dxfId="8596" priority="245106"/>
    <cfRule type="duplicateValues" dxfId="8595" priority="245107"/>
    <cfRule type="duplicateValues" dxfId="8594" priority="245108"/>
    <cfRule type="duplicateValues" dxfId="8593" priority="245114"/>
    <cfRule type="duplicateValues" dxfId="8592" priority="245115"/>
    <cfRule type="duplicateValues" dxfId="8591" priority="245116"/>
    <cfRule type="duplicateValues" dxfId="8590" priority="245117"/>
    <cfRule type="duplicateValues" dxfId="8589" priority="245118"/>
  </conditionalFormatting>
  <conditionalFormatting sqref="B77:B78">
    <cfRule type="duplicateValues" dxfId="8588" priority="244700"/>
    <cfRule type="duplicateValues" dxfId="8587" priority="244701"/>
    <cfRule type="duplicateValues" dxfId="8586" priority="244702"/>
    <cfRule type="duplicateValues" dxfId="8585" priority="244703"/>
    <cfRule type="duplicateValues" dxfId="8584" priority="244704"/>
    <cfRule type="duplicateValues" dxfId="8583" priority="244705"/>
    <cfRule type="duplicateValues" dxfId="8582" priority="244706"/>
    <cfRule type="duplicateValues" dxfId="8581" priority="244707"/>
    <cfRule type="duplicateValues" dxfId="8580" priority="244708"/>
    <cfRule type="duplicateValues" dxfId="8579" priority="244709"/>
    <cfRule type="duplicateValues" dxfId="8578" priority="244710"/>
    <cfRule type="duplicateValues" dxfId="8577" priority="244711"/>
    <cfRule type="duplicateValues" dxfId="8576" priority="244712"/>
    <cfRule type="duplicateValues" dxfId="8575" priority="244713"/>
    <cfRule type="duplicateValues" dxfId="8574" priority="244714"/>
    <cfRule type="duplicateValues" dxfId="8573" priority="244715"/>
    <cfRule type="duplicateValues" dxfId="8572" priority="244716"/>
    <cfRule type="duplicateValues" dxfId="8571" priority="244717"/>
    <cfRule type="duplicateValues" dxfId="8570" priority="244718"/>
    <cfRule type="duplicateValues" dxfId="8569" priority="244719"/>
    <cfRule type="duplicateValues" dxfId="8568" priority="244720"/>
    <cfRule type="duplicateValues" dxfId="8567" priority="244721"/>
    <cfRule type="duplicateValues" dxfId="8566" priority="244722"/>
    <cfRule type="duplicateValues" dxfId="8565" priority="244723"/>
    <cfRule type="duplicateValues" dxfId="8564" priority="244724"/>
    <cfRule type="duplicateValues" dxfId="8563" priority="244725"/>
    <cfRule type="duplicateValues" dxfId="8562" priority="244726"/>
    <cfRule type="duplicateValues" dxfId="8561" priority="244727"/>
    <cfRule type="duplicateValues" dxfId="8560" priority="244728"/>
    <cfRule type="duplicateValues" dxfId="8559" priority="244729"/>
    <cfRule type="duplicateValues" dxfId="8558" priority="244730"/>
    <cfRule type="duplicateValues" dxfId="8557" priority="244731"/>
    <cfRule type="duplicateValues" dxfId="8556" priority="244732"/>
    <cfRule type="duplicateValues" dxfId="8555" priority="244733"/>
    <cfRule type="duplicateValues" dxfId="8554" priority="244734"/>
    <cfRule type="duplicateValues" dxfId="8553" priority="244735"/>
    <cfRule type="duplicateValues" dxfId="8552" priority="244736"/>
    <cfRule type="duplicateValues" dxfId="8551" priority="244737"/>
    <cfRule type="duplicateValues" dxfId="8550" priority="244738"/>
    <cfRule type="duplicateValues" dxfId="8549" priority="244739"/>
    <cfRule type="duplicateValues" dxfId="8548" priority="244740"/>
    <cfRule type="duplicateValues" dxfId="8547" priority="244741"/>
    <cfRule type="duplicateValues" dxfId="8546" priority="244742"/>
    <cfRule type="duplicateValues" dxfId="8545" priority="244743"/>
    <cfRule type="duplicateValues" dxfId="8544" priority="244744"/>
    <cfRule type="duplicateValues" dxfId="8543" priority="244745"/>
    <cfRule type="duplicateValues" dxfId="8542" priority="244746"/>
    <cfRule type="duplicateValues" dxfId="8541" priority="244747"/>
    <cfRule type="duplicateValues" dxfId="8540" priority="244748"/>
    <cfRule type="duplicateValues" dxfId="8539" priority="244749"/>
    <cfRule type="duplicateValues" dxfId="8538" priority="244750"/>
    <cfRule type="duplicateValues" dxfId="8537" priority="244751"/>
    <cfRule type="duplicateValues" dxfId="8536" priority="244752"/>
    <cfRule type="duplicateValues" dxfId="8535" priority="244753"/>
    <cfRule type="duplicateValues" dxfId="8534" priority="244754"/>
    <cfRule type="duplicateValues" dxfId="8533" priority="244755"/>
    <cfRule type="duplicateValues" dxfId="8532" priority="244756"/>
    <cfRule type="duplicateValues" dxfId="8531" priority="244757"/>
    <cfRule type="duplicateValues" dxfId="8530" priority="244758"/>
    <cfRule type="duplicateValues" dxfId="8529" priority="244759"/>
    <cfRule type="duplicateValues" dxfId="8528" priority="244760"/>
    <cfRule type="duplicateValues" dxfId="8527" priority="244761"/>
    <cfRule type="duplicateValues" dxfId="8526" priority="244762"/>
    <cfRule type="duplicateValues" dxfId="8525" priority="244763"/>
    <cfRule type="duplicateValues" dxfId="8524" priority="244764"/>
    <cfRule type="duplicateValues" dxfId="8523" priority="244765"/>
    <cfRule type="duplicateValues" dxfId="8522" priority="244766"/>
    <cfRule type="duplicateValues" dxfId="8521" priority="244767"/>
    <cfRule type="duplicateValues" dxfId="8520" priority="244768"/>
    <cfRule type="duplicateValues" dxfId="8519" priority="244769"/>
    <cfRule type="duplicateValues" dxfId="8518" priority="244770"/>
    <cfRule type="duplicateValues" dxfId="8517" priority="244771"/>
    <cfRule type="duplicateValues" dxfId="8516" priority="244772"/>
    <cfRule type="duplicateValues" dxfId="8515" priority="244773"/>
    <cfRule type="duplicateValues" dxfId="8514" priority="244774"/>
    <cfRule type="duplicateValues" dxfId="8513" priority="244775"/>
    <cfRule type="duplicateValues" dxfId="8512" priority="244776"/>
    <cfRule type="duplicateValues" dxfId="8511" priority="244777"/>
    <cfRule type="duplicateValues" dxfId="8510" priority="244778"/>
    <cfRule type="duplicateValues" dxfId="8509" priority="244779"/>
    <cfRule type="duplicateValues" dxfId="8508" priority="244780"/>
    <cfRule type="duplicateValues" dxfId="8507" priority="244781"/>
    <cfRule type="duplicateValues" dxfId="8506" priority="244782"/>
    <cfRule type="duplicateValues" dxfId="8505" priority="244783"/>
    <cfRule type="duplicateValues" dxfId="8504" priority="244784"/>
    <cfRule type="duplicateValues" dxfId="8503" priority="244785"/>
    <cfRule type="duplicateValues" dxfId="8502" priority="244786"/>
    <cfRule type="duplicateValues" dxfId="8501" priority="244787"/>
    <cfRule type="duplicateValues" dxfId="8500" priority="244788"/>
  </conditionalFormatting>
  <conditionalFormatting sqref="B79:B80">
    <cfRule type="duplicateValues" dxfId="8499" priority="244275"/>
    <cfRule type="duplicateValues" dxfId="8498" priority="244276"/>
    <cfRule type="duplicateValues" dxfId="8497" priority="244277"/>
    <cfRule type="duplicateValues" dxfId="8496" priority="244278"/>
    <cfRule type="duplicateValues" dxfId="8495" priority="244279"/>
    <cfRule type="duplicateValues" dxfId="8494" priority="244280"/>
    <cfRule type="duplicateValues" dxfId="8493" priority="244281"/>
    <cfRule type="duplicateValues" dxfId="8492" priority="244282"/>
    <cfRule type="duplicateValues" dxfId="8491" priority="244283"/>
    <cfRule type="duplicateValues" dxfId="8490" priority="244284"/>
    <cfRule type="duplicateValues" dxfId="8489" priority="244285"/>
    <cfRule type="duplicateValues" dxfId="8488" priority="244286"/>
    <cfRule type="duplicateValues" dxfId="8487" priority="244287"/>
    <cfRule type="duplicateValues" dxfId="8486" priority="244288"/>
    <cfRule type="duplicateValues" dxfId="8485" priority="244289"/>
    <cfRule type="duplicateValues" dxfId="8484" priority="244290"/>
    <cfRule type="duplicateValues" dxfId="8483" priority="244291"/>
    <cfRule type="duplicateValues" dxfId="8482" priority="244292"/>
    <cfRule type="duplicateValues" dxfId="8481" priority="244293"/>
    <cfRule type="duplicateValues" dxfId="8480" priority="244294"/>
    <cfRule type="duplicateValues" dxfId="8479" priority="244295"/>
    <cfRule type="duplicateValues" dxfId="8478" priority="244296"/>
    <cfRule type="duplicateValues" dxfId="8477" priority="244297"/>
    <cfRule type="duplicateValues" dxfId="8476" priority="244298"/>
    <cfRule type="duplicateValues" dxfId="8475" priority="244299"/>
    <cfRule type="duplicateValues" dxfId="8474" priority="244300"/>
    <cfRule type="duplicateValues" dxfId="8473" priority="244301"/>
    <cfRule type="duplicateValues" dxfId="8472" priority="244302"/>
    <cfRule type="duplicateValues" dxfId="8471" priority="244303"/>
    <cfRule type="duplicateValues" dxfId="8470" priority="244304"/>
    <cfRule type="duplicateValues" dxfId="8469" priority="244305"/>
    <cfRule type="duplicateValues" dxfId="8468" priority="244306"/>
    <cfRule type="duplicateValues" dxfId="8467" priority="244307"/>
    <cfRule type="duplicateValues" dxfId="8466" priority="244308"/>
    <cfRule type="duplicateValues" dxfId="8465" priority="244309"/>
    <cfRule type="duplicateValues" dxfId="8464" priority="244310"/>
    <cfRule type="duplicateValues" dxfId="8463" priority="244311"/>
    <cfRule type="duplicateValues" dxfId="8462" priority="244312"/>
    <cfRule type="duplicateValues" dxfId="8461" priority="244313"/>
    <cfRule type="duplicateValues" dxfId="8460" priority="244314"/>
    <cfRule type="duplicateValues" dxfId="8459" priority="244315"/>
    <cfRule type="duplicateValues" dxfId="8458" priority="244316"/>
    <cfRule type="duplicateValues" dxfId="8457" priority="244359"/>
    <cfRule type="duplicateValues" dxfId="8456" priority="244360"/>
    <cfRule type="duplicateValues" dxfId="8455" priority="244361"/>
    <cfRule type="duplicateValues" dxfId="8454" priority="244362"/>
    <cfRule type="duplicateValues" dxfId="8453" priority="244363"/>
    <cfRule type="duplicateValues" dxfId="8452" priority="244364"/>
    <cfRule type="duplicateValues" dxfId="8451" priority="244365"/>
    <cfRule type="duplicateValues" dxfId="8450" priority="244366"/>
    <cfRule type="duplicateValues" dxfId="8449" priority="244367"/>
    <cfRule type="duplicateValues" dxfId="8448" priority="244368"/>
    <cfRule type="duplicateValues" dxfId="8447" priority="244369"/>
    <cfRule type="duplicateValues" dxfId="8446" priority="244370"/>
    <cfRule type="duplicateValues" dxfId="8445" priority="244371"/>
    <cfRule type="duplicateValues" dxfId="8444" priority="244372"/>
    <cfRule type="duplicateValues" dxfId="8443" priority="244373"/>
    <cfRule type="duplicateValues" dxfId="8442" priority="244374"/>
    <cfRule type="duplicateValues" dxfId="8441" priority="244375"/>
    <cfRule type="duplicateValues" dxfId="8440" priority="244376"/>
    <cfRule type="duplicateValues" dxfId="8439" priority="244377"/>
    <cfRule type="duplicateValues" dxfId="8438" priority="244378"/>
    <cfRule type="duplicateValues" dxfId="8437" priority="244379"/>
    <cfRule type="duplicateValues" dxfId="8436" priority="244380"/>
    <cfRule type="duplicateValues" dxfId="8435" priority="244381"/>
    <cfRule type="duplicateValues" dxfId="8434" priority="244382"/>
    <cfRule type="duplicateValues" dxfId="8433" priority="244383"/>
    <cfRule type="duplicateValues" dxfId="8432" priority="244384"/>
    <cfRule type="duplicateValues" dxfId="8431" priority="244385"/>
    <cfRule type="duplicateValues" dxfId="8430" priority="244386"/>
    <cfRule type="duplicateValues" dxfId="8429" priority="244387"/>
    <cfRule type="duplicateValues" dxfId="8428" priority="244388"/>
    <cfRule type="duplicateValues" dxfId="8427" priority="244389"/>
    <cfRule type="duplicateValues" dxfId="8426" priority="244390"/>
    <cfRule type="duplicateValues" dxfId="8425" priority="244391"/>
    <cfRule type="duplicateValues" dxfId="8424" priority="244392"/>
    <cfRule type="duplicateValues" dxfId="8423" priority="244393"/>
    <cfRule type="duplicateValues" dxfId="8422" priority="244394"/>
    <cfRule type="duplicateValues" dxfId="8421" priority="244395"/>
    <cfRule type="duplicateValues" dxfId="8420" priority="244396"/>
    <cfRule type="duplicateValues" dxfId="8419" priority="244397"/>
    <cfRule type="duplicateValues" dxfId="8418" priority="244398"/>
    <cfRule type="duplicateValues" dxfId="8417" priority="244399"/>
    <cfRule type="duplicateValues" dxfId="8416" priority="244400"/>
    <cfRule type="duplicateValues" dxfId="8415" priority="244406"/>
    <cfRule type="duplicateValues" dxfId="8414" priority="244407"/>
    <cfRule type="duplicateValues" dxfId="8413" priority="244408"/>
    <cfRule type="duplicateValues" dxfId="8412" priority="244409"/>
    <cfRule type="duplicateValues" dxfId="8411" priority="244410"/>
  </conditionalFormatting>
  <conditionalFormatting sqref="B81:B83">
    <cfRule type="duplicateValues" dxfId="8410" priority="243992"/>
    <cfRule type="duplicateValues" dxfId="8409" priority="243993"/>
    <cfRule type="duplicateValues" dxfId="8408" priority="243994"/>
    <cfRule type="duplicateValues" dxfId="8407" priority="243995"/>
    <cfRule type="duplicateValues" dxfId="8406" priority="243996"/>
    <cfRule type="duplicateValues" dxfId="8405" priority="243997"/>
    <cfRule type="duplicateValues" dxfId="8404" priority="243998"/>
    <cfRule type="duplicateValues" dxfId="8403" priority="243999"/>
    <cfRule type="duplicateValues" dxfId="8402" priority="244000"/>
    <cfRule type="duplicateValues" dxfId="8401" priority="244001"/>
    <cfRule type="duplicateValues" dxfId="8400" priority="244002"/>
    <cfRule type="duplicateValues" dxfId="8399" priority="244003"/>
    <cfRule type="duplicateValues" dxfId="8398" priority="244004"/>
    <cfRule type="duplicateValues" dxfId="8397" priority="244005"/>
    <cfRule type="duplicateValues" dxfId="8396" priority="244006"/>
    <cfRule type="duplicateValues" dxfId="8395" priority="244007"/>
    <cfRule type="duplicateValues" dxfId="8394" priority="244008"/>
    <cfRule type="duplicateValues" dxfId="8393" priority="244009"/>
    <cfRule type="duplicateValues" dxfId="8392" priority="244010"/>
    <cfRule type="duplicateValues" dxfId="8391" priority="244011"/>
    <cfRule type="duplicateValues" dxfId="8390" priority="244012"/>
    <cfRule type="duplicateValues" dxfId="8389" priority="244013"/>
    <cfRule type="duplicateValues" dxfId="8388" priority="244014"/>
    <cfRule type="duplicateValues" dxfId="8387" priority="244015"/>
    <cfRule type="duplicateValues" dxfId="8386" priority="244016"/>
    <cfRule type="duplicateValues" dxfId="8385" priority="244017"/>
    <cfRule type="duplicateValues" dxfId="8384" priority="244018"/>
    <cfRule type="duplicateValues" dxfId="8383" priority="244019"/>
    <cfRule type="duplicateValues" dxfId="8382" priority="244020"/>
    <cfRule type="duplicateValues" dxfId="8381" priority="244021"/>
    <cfRule type="duplicateValues" dxfId="8380" priority="244022"/>
    <cfRule type="duplicateValues" dxfId="8379" priority="244023"/>
    <cfRule type="duplicateValues" dxfId="8378" priority="244024"/>
    <cfRule type="duplicateValues" dxfId="8377" priority="244025"/>
    <cfRule type="duplicateValues" dxfId="8376" priority="244026"/>
    <cfRule type="duplicateValues" dxfId="8375" priority="244027"/>
    <cfRule type="duplicateValues" dxfId="8374" priority="244028"/>
    <cfRule type="duplicateValues" dxfId="8373" priority="244029"/>
    <cfRule type="duplicateValues" dxfId="8372" priority="244030"/>
    <cfRule type="duplicateValues" dxfId="8371" priority="244031"/>
    <cfRule type="duplicateValues" dxfId="8370" priority="244032"/>
    <cfRule type="duplicateValues" dxfId="8369" priority="244033"/>
    <cfRule type="duplicateValues" dxfId="8368" priority="244034"/>
    <cfRule type="duplicateValues" dxfId="8367" priority="244035"/>
    <cfRule type="duplicateValues" dxfId="8366" priority="244036"/>
    <cfRule type="duplicateValues" dxfId="8365" priority="244037"/>
    <cfRule type="duplicateValues" dxfId="8364" priority="244038"/>
    <cfRule type="duplicateValues" dxfId="8363" priority="244039"/>
    <cfRule type="duplicateValues" dxfId="8362" priority="244040"/>
    <cfRule type="duplicateValues" dxfId="8361" priority="244041"/>
    <cfRule type="duplicateValues" dxfId="8360" priority="244042"/>
    <cfRule type="duplicateValues" dxfId="8359" priority="244043"/>
    <cfRule type="duplicateValues" dxfId="8358" priority="244044"/>
    <cfRule type="duplicateValues" dxfId="8357" priority="244045"/>
    <cfRule type="duplicateValues" dxfId="8356" priority="244046"/>
    <cfRule type="duplicateValues" dxfId="8355" priority="244047"/>
    <cfRule type="duplicateValues" dxfId="8354" priority="244048"/>
    <cfRule type="duplicateValues" dxfId="8353" priority="244049"/>
    <cfRule type="duplicateValues" dxfId="8352" priority="244050"/>
    <cfRule type="duplicateValues" dxfId="8351" priority="244051"/>
    <cfRule type="duplicateValues" dxfId="8350" priority="244052"/>
    <cfRule type="duplicateValues" dxfId="8349" priority="244053"/>
    <cfRule type="duplicateValues" dxfId="8348" priority="244054"/>
    <cfRule type="duplicateValues" dxfId="8347" priority="244055"/>
    <cfRule type="duplicateValues" dxfId="8346" priority="244056"/>
    <cfRule type="duplicateValues" dxfId="8345" priority="244057"/>
    <cfRule type="duplicateValues" dxfId="8344" priority="244058"/>
    <cfRule type="duplicateValues" dxfId="8343" priority="244059"/>
    <cfRule type="duplicateValues" dxfId="8342" priority="244060"/>
    <cfRule type="duplicateValues" dxfId="8341" priority="244061"/>
    <cfRule type="duplicateValues" dxfId="8340" priority="244062"/>
    <cfRule type="duplicateValues" dxfId="8339" priority="244063"/>
    <cfRule type="duplicateValues" dxfId="8338" priority="244064"/>
    <cfRule type="duplicateValues" dxfId="8337" priority="244065"/>
    <cfRule type="duplicateValues" dxfId="8336" priority="244066"/>
    <cfRule type="duplicateValues" dxfId="8335" priority="244067"/>
    <cfRule type="duplicateValues" dxfId="8334" priority="244068"/>
    <cfRule type="duplicateValues" dxfId="8333" priority="244069"/>
    <cfRule type="duplicateValues" dxfId="8332" priority="244070"/>
    <cfRule type="duplicateValues" dxfId="8331" priority="244071"/>
    <cfRule type="duplicateValues" dxfId="8330" priority="244072"/>
    <cfRule type="duplicateValues" dxfId="8329" priority="244073"/>
    <cfRule type="duplicateValues" dxfId="8328" priority="244074"/>
    <cfRule type="duplicateValues" dxfId="8327" priority="244075"/>
    <cfRule type="duplicateValues" dxfId="8326" priority="244076"/>
    <cfRule type="duplicateValues" dxfId="8325" priority="244077"/>
    <cfRule type="duplicateValues" dxfId="8324" priority="244078"/>
    <cfRule type="duplicateValues" dxfId="8323" priority="244079"/>
    <cfRule type="duplicateValues" dxfId="8322" priority="244080"/>
  </conditionalFormatting>
  <conditionalFormatting sqref="B84">
    <cfRule type="duplicateValues" dxfId="8321" priority="4844"/>
    <cfRule type="duplicateValues" dxfId="8320" priority="4845"/>
    <cfRule type="duplicateValues" dxfId="8319" priority="4846"/>
    <cfRule type="duplicateValues" dxfId="8318" priority="4847"/>
    <cfRule type="duplicateValues" dxfId="8317" priority="4848"/>
    <cfRule type="duplicateValues" dxfId="8316" priority="4849"/>
    <cfRule type="duplicateValues" dxfId="8315" priority="4850"/>
    <cfRule type="duplicateValues" dxfId="8314" priority="4851"/>
    <cfRule type="duplicateValues" dxfId="8313" priority="4852"/>
    <cfRule type="duplicateValues" dxfId="8312" priority="4853"/>
    <cfRule type="duplicateValues" dxfId="8311" priority="4854"/>
    <cfRule type="duplicateValues" dxfId="8310" priority="4855"/>
    <cfRule type="duplicateValues" dxfId="8309" priority="4856"/>
    <cfRule type="duplicateValues" dxfId="8308" priority="4857"/>
    <cfRule type="duplicateValues" dxfId="8307" priority="4858"/>
    <cfRule type="duplicateValues" dxfId="8306" priority="4859"/>
    <cfRule type="duplicateValues" dxfId="8305" priority="4860"/>
    <cfRule type="duplicateValues" dxfId="8304" priority="4861"/>
    <cfRule type="duplicateValues" dxfId="8303" priority="4862"/>
    <cfRule type="duplicateValues" dxfId="8302" priority="4863"/>
    <cfRule type="duplicateValues" dxfId="8301" priority="4864"/>
    <cfRule type="duplicateValues" dxfId="8300" priority="4865"/>
    <cfRule type="duplicateValues" dxfId="8299" priority="4866"/>
    <cfRule type="duplicateValues" dxfId="8298" priority="4867"/>
    <cfRule type="duplicateValues" dxfId="8297" priority="4868"/>
    <cfRule type="duplicateValues" dxfId="8296" priority="4869"/>
    <cfRule type="duplicateValues" dxfId="8295" priority="4870"/>
    <cfRule type="duplicateValues" dxfId="8294" priority="4871"/>
    <cfRule type="duplicateValues" dxfId="8293" priority="4872"/>
    <cfRule type="duplicateValues" dxfId="8292" priority="4873"/>
    <cfRule type="duplicateValues" dxfId="8291" priority="4874"/>
    <cfRule type="duplicateValues" dxfId="8290" priority="4875"/>
    <cfRule type="duplicateValues" dxfId="8289" priority="4876"/>
    <cfRule type="duplicateValues" dxfId="8288" priority="4877"/>
    <cfRule type="duplicateValues" dxfId="8287" priority="4878"/>
    <cfRule type="duplicateValues" dxfId="8286" priority="4879"/>
    <cfRule type="duplicateValues" dxfId="8285" priority="4880"/>
    <cfRule type="duplicateValues" dxfId="8284" priority="4881"/>
    <cfRule type="duplicateValues" dxfId="8283" priority="4882"/>
    <cfRule type="duplicateValues" dxfId="8282" priority="4883"/>
    <cfRule type="duplicateValues" dxfId="8281" priority="4884"/>
    <cfRule type="duplicateValues" dxfId="8280" priority="4885"/>
    <cfRule type="duplicateValues" dxfId="8279" priority="4886"/>
    <cfRule type="duplicateValues" dxfId="8278" priority="4887"/>
    <cfRule type="duplicateValues" dxfId="8277" priority="4888"/>
    <cfRule type="duplicateValues" dxfId="8276" priority="4889"/>
    <cfRule type="duplicateValues" dxfId="8275" priority="4890"/>
    <cfRule type="duplicateValues" dxfId="8274" priority="4891"/>
    <cfRule type="duplicateValues" dxfId="8273" priority="4892"/>
    <cfRule type="duplicateValues" dxfId="8272" priority="4893"/>
    <cfRule type="duplicateValues" dxfId="8271" priority="4894"/>
    <cfRule type="duplicateValues" dxfId="8270" priority="4895"/>
    <cfRule type="duplicateValues" dxfId="8269" priority="4896"/>
    <cfRule type="duplicateValues" dxfId="8268" priority="4897"/>
    <cfRule type="duplicateValues" dxfId="8267" priority="4898"/>
    <cfRule type="duplicateValues" dxfId="8266" priority="4899"/>
    <cfRule type="duplicateValues" dxfId="8265" priority="4900"/>
    <cfRule type="duplicateValues" dxfId="8264" priority="4901"/>
    <cfRule type="duplicateValues" dxfId="8263" priority="4902"/>
    <cfRule type="duplicateValues" dxfId="8262" priority="4903"/>
    <cfRule type="duplicateValues" dxfId="8261" priority="4904"/>
    <cfRule type="duplicateValues" dxfId="8260" priority="4905"/>
    <cfRule type="duplicateValues" dxfId="8259" priority="4906"/>
    <cfRule type="duplicateValues" dxfId="8258" priority="4907"/>
    <cfRule type="duplicateValues" dxfId="8257" priority="4908"/>
    <cfRule type="duplicateValues" dxfId="8256" priority="4909"/>
    <cfRule type="duplicateValues" dxfId="8255" priority="4910"/>
    <cfRule type="duplicateValues" dxfId="8254" priority="4911"/>
    <cfRule type="duplicateValues" dxfId="8253" priority="4912"/>
    <cfRule type="duplicateValues" dxfId="8252" priority="4913"/>
    <cfRule type="duplicateValues" dxfId="8251" priority="4914"/>
    <cfRule type="duplicateValues" dxfId="8250" priority="4915"/>
    <cfRule type="duplicateValues" dxfId="8249" priority="4916"/>
    <cfRule type="duplicateValues" dxfId="8248" priority="4917"/>
    <cfRule type="duplicateValues" dxfId="8247" priority="4918"/>
    <cfRule type="duplicateValues" dxfId="8246" priority="4919"/>
    <cfRule type="duplicateValues" dxfId="8245" priority="4920"/>
    <cfRule type="duplicateValues" dxfId="8244" priority="4921"/>
    <cfRule type="duplicateValues" dxfId="8243" priority="4922"/>
    <cfRule type="duplicateValues" dxfId="8242" priority="4923"/>
    <cfRule type="duplicateValues" dxfId="8241" priority="4924"/>
    <cfRule type="duplicateValues" dxfId="8240" priority="4925"/>
    <cfRule type="duplicateValues" dxfId="8239" priority="4926"/>
    <cfRule type="duplicateValues" dxfId="8238" priority="4927"/>
    <cfRule type="duplicateValues" dxfId="8237" priority="4928"/>
    <cfRule type="duplicateValues" dxfId="8236" priority="4929"/>
    <cfRule type="duplicateValues" dxfId="8235" priority="4930"/>
    <cfRule type="duplicateValues" dxfId="8234" priority="4931"/>
    <cfRule type="duplicateValues" dxfId="8233" priority="4932"/>
  </conditionalFormatting>
  <conditionalFormatting sqref="B85:B97">
    <cfRule type="duplicateValues" dxfId="8232" priority="243751"/>
    <cfRule type="duplicateValues" dxfId="8231" priority="243752"/>
    <cfRule type="duplicateValues" dxfId="8230" priority="243753"/>
    <cfRule type="duplicateValues" dxfId="8229" priority="243754"/>
    <cfRule type="duplicateValues" dxfId="8228" priority="243755"/>
    <cfRule type="duplicateValues" dxfId="8227" priority="243756"/>
    <cfRule type="duplicateValues" dxfId="8226" priority="243757"/>
    <cfRule type="duplicateValues" dxfId="8225" priority="243758"/>
    <cfRule type="duplicateValues" dxfId="8224" priority="243759"/>
    <cfRule type="duplicateValues" dxfId="8223" priority="243760"/>
    <cfRule type="duplicateValues" dxfId="8222" priority="243761"/>
    <cfRule type="duplicateValues" dxfId="8221" priority="243762"/>
    <cfRule type="duplicateValues" dxfId="8220" priority="243763"/>
    <cfRule type="duplicateValues" dxfId="8219" priority="243764"/>
    <cfRule type="duplicateValues" dxfId="8218" priority="243765"/>
    <cfRule type="duplicateValues" dxfId="8217" priority="243766"/>
    <cfRule type="duplicateValues" dxfId="8216" priority="243767"/>
    <cfRule type="duplicateValues" dxfId="8215" priority="243768"/>
    <cfRule type="duplicateValues" dxfId="8214" priority="243769"/>
    <cfRule type="duplicateValues" dxfId="8213" priority="243770"/>
    <cfRule type="duplicateValues" dxfId="8212" priority="243771"/>
    <cfRule type="duplicateValues" dxfId="8211" priority="243772"/>
    <cfRule type="duplicateValues" dxfId="8210" priority="243773"/>
    <cfRule type="duplicateValues" dxfId="8209" priority="243774"/>
    <cfRule type="duplicateValues" dxfId="8208" priority="243775"/>
    <cfRule type="duplicateValues" dxfId="8207" priority="243776"/>
    <cfRule type="duplicateValues" dxfId="8206" priority="243777"/>
    <cfRule type="duplicateValues" dxfId="8205" priority="243778"/>
    <cfRule type="duplicateValues" dxfId="8204" priority="243779"/>
    <cfRule type="duplicateValues" dxfId="8203" priority="243780"/>
    <cfRule type="duplicateValues" dxfId="8202" priority="243781"/>
    <cfRule type="duplicateValues" dxfId="8201" priority="243782"/>
    <cfRule type="duplicateValues" dxfId="8200" priority="243783"/>
    <cfRule type="duplicateValues" dxfId="8199" priority="243784"/>
    <cfRule type="duplicateValues" dxfId="8198" priority="243785"/>
    <cfRule type="duplicateValues" dxfId="8197" priority="243786"/>
    <cfRule type="duplicateValues" dxfId="8196" priority="243787"/>
    <cfRule type="duplicateValues" dxfId="8195" priority="243788"/>
    <cfRule type="duplicateValues" dxfId="8194" priority="243789"/>
    <cfRule type="duplicateValues" dxfId="8193" priority="243790"/>
    <cfRule type="duplicateValues" dxfId="8192" priority="243791"/>
    <cfRule type="duplicateValues" dxfId="8191" priority="243792"/>
    <cfRule type="duplicateValues" dxfId="8190" priority="243793"/>
    <cfRule type="duplicateValues" dxfId="8189" priority="243794"/>
    <cfRule type="duplicateValues" dxfId="8188" priority="243795"/>
    <cfRule type="duplicateValues" dxfId="8187" priority="243796"/>
    <cfRule type="duplicateValues" dxfId="8186" priority="243797"/>
    <cfRule type="duplicateValues" dxfId="8185" priority="243798"/>
    <cfRule type="duplicateValues" dxfId="8184" priority="243799"/>
    <cfRule type="duplicateValues" dxfId="8183" priority="243800"/>
    <cfRule type="duplicateValues" dxfId="8182" priority="243801"/>
    <cfRule type="duplicateValues" dxfId="8181" priority="243802"/>
    <cfRule type="duplicateValues" dxfId="8180" priority="243803"/>
    <cfRule type="duplicateValues" dxfId="8179" priority="243804"/>
    <cfRule type="duplicateValues" dxfId="8178" priority="243805"/>
    <cfRule type="duplicateValues" dxfId="8177" priority="243806"/>
    <cfRule type="duplicateValues" dxfId="8176" priority="243807"/>
    <cfRule type="duplicateValues" dxfId="8175" priority="243808"/>
    <cfRule type="duplicateValues" dxfId="8174" priority="243809"/>
    <cfRule type="duplicateValues" dxfId="8173" priority="243810"/>
    <cfRule type="duplicateValues" dxfId="8172" priority="243811"/>
    <cfRule type="duplicateValues" dxfId="8171" priority="243812"/>
    <cfRule type="duplicateValues" dxfId="8170" priority="243813"/>
    <cfRule type="duplicateValues" dxfId="8169" priority="243814"/>
    <cfRule type="duplicateValues" dxfId="8168" priority="243815"/>
    <cfRule type="duplicateValues" dxfId="8167" priority="243816"/>
    <cfRule type="duplicateValues" dxfId="8166" priority="243817"/>
    <cfRule type="duplicateValues" dxfId="8165" priority="243818"/>
    <cfRule type="duplicateValues" dxfId="8164" priority="243819"/>
    <cfRule type="duplicateValues" dxfId="8163" priority="243820"/>
    <cfRule type="duplicateValues" dxfId="8162" priority="243821"/>
    <cfRule type="duplicateValues" dxfId="8161" priority="243822"/>
    <cfRule type="duplicateValues" dxfId="8160" priority="243823"/>
    <cfRule type="duplicateValues" dxfId="8159" priority="243824"/>
    <cfRule type="duplicateValues" dxfId="8158" priority="243825"/>
    <cfRule type="duplicateValues" dxfId="8157" priority="243826"/>
    <cfRule type="duplicateValues" dxfId="8156" priority="243827"/>
    <cfRule type="duplicateValues" dxfId="8155" priority="243828"/>
    <cfRule type="duplicateValues" dxfId="8154" priority="243829"/>
    <cfRule type="duplicateValues" dxfId="8153" priority="243830"/>
    <cfRule type="duplicateValues" dxfId="8152" priority="243831"/>
    <cfRule type="duplicateValues" dxfId="8151" priority="243832"/>
    <cfRule type="duplicateValues" dxfId="8150" priority="243833"/>
    <cfRule type="duplicateValues" dxfId="8149" priority="243834"/>
    <cfRule type="duplicateValues" dxfId="8148" priority="243835"/>
    <cfRule type="duplicateValues" dxfId="8147" priority="243836"/>
    <cfRule type="duplicateValues" dxfId="8146" priority="243837"/>
    <cfRule type="duplicateValues" dxfId="8145" priority="243838"/>
    <cfRule type="duplicateValues" dxfId="8144" priority="243839"/>
  </conditionalFormatting>
  <conditionalFormatting sqref="B98:B105">
    <cfRule type="duplicateValues" dxfId="8143" priority="4666"/>
    <cfRule type="duplicateValues" dxfId="8142" priority="4667"/>
    <cfRule type="duplicateValues" dxfId="8141" priority="4668"/>
    <cfRule type="duplicateValues" dxfId="8140" priority="4669"/>
    <cfRule type="duplicateValues" dxfId="8139" priority="4670"/>
    <cfRule type="duplicateValues" dxfId="8138" priority="4671"/>
    <cfRule type="duplicateValues" dxfId="8137" priority="4672"/>
    <cfRule type="duplicateValues" dxfId="8136" priority="4673"/>
    <cfRule type="duplicateValues" dxfId="8135" priority="4674"/>
    <cfRule type="duplicateValues" dxfId="8134" priority="4675"/>
    <cfRule type="duplicateValues" dxfId="8133" priority="4676"/>
    <cfRule type="duplicateValues" dxfId="8132" priority="4677"/>
    <cfRule type="duplicateValues" dxfId="8131" priority="4678"/>
    <cfRule type="duplicateValues" dxfId="8130" priority="4679"/>
    <cfRule type="duplicateValues" dxfId="8129" priority="4680"/>
    <cfRule type="duplicateValues" dxfId="8128" priority="4681"/>
    <cfRule type="duplicateValues" dxfId="8127" priority="4682"/>
    <cfRule type="duplicateValues" dxfId="8126" priority="4683"/>
    <cfRule type="duplicateValues" dxfId="8125" priority="4684"/>
    <cfRule type="duplicateValues" dxfId="8124" priority="4685"/>
    <cfRule type="duplicateValues" dxfId="8123" priority="4686"/>
    <cfRule type="duplicateValues" dxfId="8122" priority="4687"/>
    <cfRule type="duplicateValues" dxfId="8121" priority="4688"/>
    <cfRule type="duplicateValues" dxfId="8120" priority="4689"/>
    <cfRule type="duplicateValues" dxfId="8119" priority="4690"/>
    <cfRule type="duplicateValues" dxfId="8118" priority="4691"/>
    <cfRule type="duplicateValues" dxfId="8117" priority="4692"/>
    <cfRule type="duplicateValues" dxfId="8116" priority="4693"/>
    <cfRule type="duplicateValues" dxfId="8115" priority="4694"/>
    <cfRule type="duplicateValues" dxfId="8114" priority="4695"/>
    <cfRule type="duplicateValues" dxfId="8113" priority="4696"/>
    <cfRule type="duplicateValues" dxfId="8112" priority="4697"/>
    <cfRule type="duplicateValues" dxfId="8111" priority="4698"/>
    <cfRule type="duplicateValues" dxfId="8110" priority="4699"/>
    <cfRule type="duplicateValues" dxfId="8109" priority="4700"/>
    <cfRule type="duplicateValues" dxfId="8108" priority="4701"/>
    <cfRule type="duplicateValues" dxfId="8107" priority="4702"/>
    <cfRule type="duplicateValues" dxfId="8106" priority="4703"/>
    <cfRule type="duplicateValues" dxfId="8105" priority="4704"/>
    <cfRule type="duplicateValues" dxfId="8104" priority="4705"/>
    <cfRule type="duplicateValues" dxfId="8103" priority="4706"/>
    <cfRule type="duplicateValues" dxfId="8102" priority="4707"/>
    <cfRule type="duplicateValues" dxfId="8101" priority="4708"/>
    <cfRule type="duplicateValues" dxfId="8100" priority="4709"/>
    <cfRule type="duplicateValues" dxfId="8099" priority="4710"/>
    <cfRule type="duplicateValues" dxfId="8098" priority="4711"/>
    <cfRule type="duplicateValues" dxfId="8097" priority="4712"/>
    <cfRule type="duplicateValues" dxfId="8096" priority="4713"/>
    <cfRule type="duplicateValues" dxfId="8095" priority="4714"/>
    <cfRule type="duplicateValues" dxfId="8094" priority="4715"/>
    <cfRule type="duplicateValues" dxfId="8093" priority="4716"/>
    <cfRule type="duplicateValues" dxfId="8092" priority="4717"/>
    <cfRule type="duplicateValues" dxfId="8091" priority="4718"/>
    <cfRule type="duplicateValues" dxfId="8090" priority="4719"/>
    <cfRule type="duplicateValues" dxfId="8089" priority="4720"/>
    <cfRule type="duplicateValues" dxfId="8088" priority="4721"/>
    <cfRule type="duplicateValues" dxfId="8087" priority="4722"/>
    <cfRule type="duplicateValues" dxfId="8086" priority="4723"/>
    <cfRule type="duplicateValues" dxfId="8085" priority="4724"/>
    <cfRule type="duplicateValues" dxfId="8084" priority="4725"/>
    <cfRule type="duplicateValues" dxfId="8083" priority="4726"/>
    <cfRule type="duplicateValues" dxfId="8082" priority="4727"/>
    <cfRule type="duplicateValues" dxfId="8081" priority="4728"/>
    <cfRule type="duplicateValues" dxfId="8080" priority="4729"/>
    <cfRule type="duplicateValues" dxfId="8079" priority="4730"/>
    <cfRule type="duplicateValues" dxfId="8078" priority="4731"/>
    <cfRule type="duplicateValues" dxfId="8077" priority="4732"/>
    <cfRule type="duplicateValues" dxfId="8076" priority="4733"/>
    <cfRule type="duplicateValues" dxfId="8075" priority="4734"/>
    <cfRule type="duplicateValues" dxfId="8074" priority="4735"/>
    <cfRule type="duplicateValues" dxfId="8073" priority="4736"/>
    <cfRule type="duplicateValues" dxfId="8072" priority="4737"/>
    <cfRule type="duplicateValues" dxfId="8071" priority="4738"/>
    <cfRule type="duplicateValues" dxfId="8070" priority="4739"/>
    <cfRule type="duplicateValues" dxfId="8069" priority="4740"/>
    <cfRule type="duplicateValues" dxfId="8068" priority="4741"/>
    <cfRule type="duplicateValues" dxfId="8067" priority="4742"/>
    <cfRule type="duplicateValues" dxfId="8066" priority="4743"/>
    <cfRule type="duplicateValues" dxfId="8065" priority="4744"/>
    <cfRule type="duplicateValues" dxfId="8064" priority="4745"/>
    <cfRule type="duplicateValues" dxfId="8063" priority="4746"/>
    <cfRule type="duplicateValues" dxfId="8062" priority="4747"/>
    <cfRule type="duplicateValues" dxfId="8061" priority="4748"/>
    <cfRule type="duplicateValues" dxfId="8060" priority="4749"/>
    <cfRule type="duplicateValues" dxfId="8059" priority="4750"/>
    <cfRule type="duplicateValues" dxfId="8058" priority="4751"/>
    <cfRule type="duplicateValues" dxfId="8057" priority="4752"/>
    <cfRule type="duplicateValues" dxfId="8056" priority="4753"/>
    <cfRule type="duplicateValues" dxfId="8055" priority="4754"/>
  </conditionalFormatting>
  <conditionalFormatting sqref="B106:B109">
    <cfRule type="duplicateValues" dxfId="8054" priority="4577"/>
    <cfRule type="duplicateValues" dxfId="8053" priority="4578"/>
    <cfRule type="duplicateValues" dxfId="8052" priority="4579"/>
    <cfRule type="duplicateValues" dxfId="8051" priority="4580"/>
    <cfRule type="duplicateValues" dxfId="8050" priority="4581"/>
    <cfRule type="duplicateValues" dxfId="8049" priority="4582"/>
    <cfRule type="duplicateValues" dxfId="8048" priority="4583"/>
    <cfRule type="duplicateValues" dxfId="8047" priority="4584"/>
    <cfRule type="duplicateValues" dxfId="8046" priority="4585"/>
    <cfRule type="duplicateValues" dxfId="8045" priority="4586"/>
    <cfRule type="duplicateValues" dxfId="8044" priority="4587"/>
    <cfRule type="duplicateValues" dxfId="8043" priority="4588"/>
    <cfRule type="duplicateValues" dxfId="8042" priority="4589"/>
    <cfRule type="duplicateValues" dxfId="8041" priority="4590"/>
    <cfRule type="duplicateValues" dxfId="8040" priority="4591"/>
    <cfRule type="duplicateValues" dxfId="8039" priority="4592"/>
    <cfRule type="duplicateValues" dxfId="8038" priority="4593"/>
    <cfRule type="duplicateValues" dxfId="8037" priority="4594"/>
    <cfRule type="duplicateValues" dxfId="8036" priority="4595"/>
    <cfRule type="duplicateValues" dxfId="8035" priority="4596"/>
    <cfRule type="duplicateValues" dxfId="8034" priority="4597"/>
    <cfRule type="duplicateValues" dxfId="8033" priority="4598"/>
    <cfRule type="duplicateValues" dxfId="8032" priority="4599"/>
    <cfRule type="duplicateValues" dxfId="8031" priority="4600"/>
    <cfRule type="duplicateValues" dxfId="8030" priority="4601"/>
    <cfRule type="duplicateValues" dxfId="8029" priority="4602"/>
    <cfRule type="duplicateValues" dxfId="8028" priority="4603"/>
    <cfRule type="duplicateValues" dxfId="8027" priority="4604"/>
    <cfRule type="duplicateValues" dxfId="8026" priority="4605"/>
    <cfRule type="duplicateValues" dxfId="8025" priority="4606"/>
    <cfRule type="duplicateValues" dxfId="8024" priority="4607"/>
    <cfRule type="duplicateValues" dxfId="8023" priority="4608"/>
    <cfRule type="duplicateValues" dxfId="8022" priority="4609"/>
    <cfRule type="duplicateValues" dxfId="8021" priority="4610"/>
    <cfRule type="duplicateValues" dxfId="8020" priority="4611"/>
    <cfRule type="duplicateValues" dxfId="8019" priority="4612"/>
    <cfRule type="duplicateValues" dxfId="8018" priority="4613"/>
    <cfRule type="duplicateValues" dxfId="8017" priority="4614"/>
    <cfRule type="duplicateValues" dxfId="8016" priority="4615"/>
    <cfRule type="duplicateValues" dxfId="8015" priority="4616"/>
    <cfRule type="duplicateValues" dxfId="8014" priority="4617"/>
    <cfRule type="duplicateValues" dxfId="8013" priority="4618"/>
    <cfRule type="duplicateValues" dxfId="8012" priority="4619"/>
    <cfRule type="duplicateValues" dxfId="8011" priority="4620"/>
    <cfRule type="duplicateValues" dxfId="8010" priority="4621"/>
    <cfRule type="duplicateValues" dxfId="8009" priority="4622"/>
    <cfRule type="duplicateValues" dxfId="8008" priority="4623"/>
    <cfRule type="duplicateValues" dxfId="8007" priority="4624"/>
    <cfRule type="duplicateValues" dxfId="8006" priority="4625"/>
    <cfRule type="duplicateValues" dxfId="8005" priority="4626"/>
    <cfRule type="duplicateValues" dxfId="8004" priority="4627"/>
    <cfRule type="duplicateValues" dxfId="8003" priority="4628"/>
    <cfRule type="duplicateValues" dxfId="8002" priority="4629"/>
    <cfRule type="duplicateValues" dxfId="8001" priority="4630"/>
    <cfRule type="duplicateValues" dxfId="8000" priority="4631"/>
    <cfRule type="duplicateValues" dxfId="7999" priority="4632"/>
    <cfRule type="duplicateValues" dxfId="7998" priority="4633"/>
    <cfRule type="duplicateValues" dxfId="7997" priority="4634"/>
    <cfRule type="duplicateValues" dxfId="7996" priority="4635"/>
    <cfRule type="duplicateValues" dxfId="7995" priority="4636"/>
    <cfRule type="duplicateValues" dxfId="7994" priority="4637"/>
    <cfRule type="duplicateValues" dxfId="7993" priority="4638"/>
    <cfRule type="duplicateValues" dxfId="7992" priority="4639"/>
    <cfRule type="duplicateValues" dxfId="7991" priority="4640"/>
    <cfRule type="duplicateValues" dxfId="7990" priority="4641"/>
    <cfRule type="duplicateValues" dxfId="7989" priority="4642"/>
    <cfRule type="duplicateValues" dxfId="7988" priority="4643"/>
    <cfRule type="duplicateValues" dxfId="7987" priority="4644"/>
    <cfRule type="duplicateValues" dxfId="7986" priority="4645"/>
    <cfRule type="duplicateValues" dxfId="7985" priority="4646"/>
    <cfRule type="duplicateValues" dxfId="7984" priority="4647"/>
    <cfRule type="duplicateValues" dxfId="7983" priority="4648"/>
    <cfRule type="duplicateValues" dxfId="7982" priority="4649"/>
    <cfRule type="duplicateValues" dxfId="7981" priority="4650"/>
    <cfRule type="duplicateValues" dxfId="7980" priority="4651"/>
    <cfRule type="duplicateValues" dxfId="7979" priority="4652"/>
    <cfRule type="duplicateValues" dxfId="7978" priority="4653"/>
    <cfRule type="duplicateValues" dxfId="7977" priority="4654"/>
    <cfRule type="duplicateValues" dxfId="7976" priority="4655"/>
    <cfRule type="duplicateValues" dxfId="7975" priority="4656"/>
    <cfRule type="duplicateValues" dxfId="7974" priority="4657"/>
    <cfRule type="duplicateValues" dxfId="7973" priority="4658"/>
    <cfRule type="duplicateValues" dxfId="7972" priority="4659"/>
    <cfRule type="duplicateValues" dxfId="7971" priority="4660"/>
    <cfRule type="duplicateValues" dxfId="7970" priority="4661"/>
    <cfRule type="duplicateValues" dxfId="7969" priority="4662"/>
    <cfRule type="duplicateValues" dxfId="7968" priority="4663"/>
    <cfRule type="duplicateValues" dxfId="7967" priority="4664"/>
    <cfRule type="duplicateValues" dxfId="7966" priority="4665"/>
  </conditionalFormatting>
  <conditionalFormatting sqref="B110:B118">
    <cfRule type="duplicateValues" dxfId="7965" priority="4488"/>
    <cfRule type="duplicateValues" dxfId="7964" priority="4489"/>
    <cfRule type="duplicateValues" dxfId="7963" priority="4490"/>
    <cfRule type="duplicateValues" dxfId="7962" priority="4491"/>
    <cfRule type="duplicateValues" dxfId="7961" priority="4492"/>
    <cfRule type="duplicateValues" dxfId="7960" priority="4493"/>
    <cfRule type="duplicateValues" dxfId="7959" priority="4494"/>
    <cfRule type="duplicateValues" dxfId="7958" priority="4495"/>
    <cfRule type="duplicateValues" dxfId="7957" priority="4496"/>
    <cfRule type="duplicateValues" dxfId="7956" priority="4497"/>
    <cfRule type="duplicateValues" dxfId="7955" priority="4498"/>
    <cfRule type="duplicateValues" dxfId="7954" priority="4499"/>
    <cfRule type="duplicateValues" dxfId="7953" priority="4500"/>
    <cfRule type="duplicateValues" dxfId="7952" priority="4501"/>
    <cfRule type="duplicateValues" dxfId="7951" priority="4502"/>
    <cfRule type="duplicateValues" dxfId="7950" priority="4503"/>
    <cfRule type="duplicateValues" dxfId="7949" priority="4504"/>
    <cfRule type="duplicateValues" dxfId="7948" priority="4505"/>
    <cfRule type="duplicateValues" dxfId="7947" priority="4506"/>
    <cfRule type="duplicateValues" dxfId="7946" priority="4507"/>
    <cfRule type="duplicateValues" dxfId="7945" priority="4508"/>
    <cfRule type="duplicateValues" dxfId="7944" priority="4509"/>
    <cfRule type="duplicateValues" dxfId="7943" priority="4510"/>
    <cfRule type="duplicateValues" dxfId="7942" priority="4511"/>
    <cfRule type="duplicateValues" dxfId="7941" priority="4512"/>
    <cfRule type="duplicateValues" dxfId="7940" priority="4513"/>
    <cfRule type="duplicateValues" dxfId="7939" priority="4514"/>
    <cfRule type="duplicateValues" dxfId="7938" priority="4515"/>
    <cfRule type="duplicateValues" dxfId="7937" priority="4516"/>
    <cfRule type="duplicateValues" dxfId="7936" priority="4517"/>
    <cfRule type="duplicateValues" dxfId="7935" priority="4518"/>
    <cfRule type="duplicateValues" dxfId="7934" priority="4519"/>
    <cfRule type="duplicateValues" dxfId="7933" priority="4520"/>
    <cfRule type="duplicateValues" dxfId="7932" priority="4521"/>
    <cfRule type="duplicateValues" dxfId="7931" priority="4522"/>
    <cfRule type="duplicateValues" dxfId="7930" priority="4523"/>
    <cfRule type="duplicateValues" dxfId="7929" priority="4524"/>
    <cfRule type="duplicateValues" dxfId="7928" priority="4525"/>
    <cfRule type="duplicateValues" dxfId="7927" priority="4526"/>
    <cfRule type="duplicateValues" dxfId="7926" priority="4527"/>
    <cfRule type="duplicateValues" dxfId="7925" priority="4528"/>
    <cfRule type="duplicateValues" dxfId="7924" priority="4529"/>
    <cfRule type="duplicateValues" dxfId="7923" priority="4530"/>
    <cfRule type="duplicateValues" dxfId="7922" priority="4531"/>
    <cfRule type="duplicateValues" dxfId="7921" priority="4532"/>
    <cfRule type="duplicateValues" dxfId="7920" priority="4533"/>
    <cfRule type="duplicateValues" dxfId="7919" priority="4534"/>
    <cfRule type="duplicateValues" dxfId="7918" priority="4535"/>
    <cfRule type="duplicateValues" dxfId="7917" priority="4536"/>
    <cfRule type="duplicateValues" dxfId="7916" priority="4537"/>
    <cfRule type="duplicateValues" dxfId="7915" priority="4538"/>
    <cfRule type="duplicateValues" dxfId="7914" priority="4539"/>
    <cfRule type="duplicateValues" dxfId="7913" priority="4540"/>
    <cfRule type="duplicateValues" dxfId="7912" priority="4541"/>
    <cfRule type="duplicateValues" dxfId="7911" priority="4542"/>
    <cfRule type="duplicateValues" dxfId="7910" priority="4543"/>
    <cfRule type="duplicateValues" dxfId="7909" priority="4544"/>
    <cfRule type="duplicateValues" dxfId="7908" priority="4545"/>
    <cfRule type="duplicateValues" dxfId="7907" priority="4546"/>
    <cfRule type="duplicateValues" dxfId="7906" priority="4547"/>
    <cfRule type="duplicateValues" dxfId="7905" priority="4548"/>
    <cfRule type="duplicateValues" dxfId="7904" priority="4549"/>
    <cfRule type="duplicateValues" dxfId="7903" priority="4550"/>
    <cfRule type="duplicateValues" dxfId="7902" priority="4551"/>
    <cfRule type="duplicateValues" dxfId="7901" priority="4552"/>
    <cfRule type="duplicateValues" dxfId="7900" priority="4553"/>
    <cfRule type="duplicateValues" dxfId="7899" priority="4554"/>
    <cfRule type="duplicateValues" dxfId="7898" priority="4555"/>
    <cfRule type="duplicateValues" dxfId="7897" priority="4556"/>
    <cfRule type="duplicateValues" dxfId="7896" priority="4557"/>
    <cfRule type="duplicateValues" dxfId="7895" priority="4558"/>
    <cfRule type="duplicateValues" dxfId="7894" priority="4559"/>
    <cfRule type="duplicateValues" dxfId="7893" priority="4560"/>
    <cfRule type="duplicateValues" dxfId="7892" priority="4561"/>
    <cfRule type="duplicateValues" dxfId="7891" priority="4562"/>
    <cfRule type="duplicateValues" dxfId="7890" priority="4563"/>
    <cfRule type="duplicateValues" dxfId="7889" priority="4564"/>
    <cfRule type="duplicateValues" dxfId="7888" priority="4565"/>
    <cfRule type="duplicateValues" dxfId="7887" priority="4566"/>
    <cfRule type="duplicateValues" dxfId="7886" priority="4567"/>
    <cfRule type="duplicateValues" dxfId="7885" priority="4568"/>
    <cfRule type="duplicateValues" dxfId="7884" priority="4569"/>
    <cfRule type="duplicateValues" dxfId="7883" priority="4570"/>
    <cfRule type="duplicateValues" dxfId="7882" priority="4571"/>
    <cfRule type="duplicateValues" dxfId="7881" priority="4572"/>
    <cfRule type="duplicateValues" dxfId="7880" priority="4573"/>
    <cfRule type="duplicateValues" dxfId="7879" priority="4574"/>
    <cfRule type="duplicateValues" dxfId="7878" priority="4575"/>
    <cfRule type="duplicateValues" dxfId="7877" priority="4576"/>
  </conditionalFormatting>
  <conditionalFormatting sqref="B119:B122">
    <cfRule type="duplicateValues" dxfId="7876" priority="4399"/>
    <cfRule type="duplicateValues" dxfId="7875" priority="4400"/>
    <cfRule type="duplicateValues" dxfId="7874" priority="4401"/>
    <cfRule type="duplicateValues" dxfId="7873" priority="4402"/>
    <cfRule type="duplicateValues" dxfId="7872" priority="4403"/>
    <cfRule type="duplicateValues" dxfId="7871" priority="4404"/>
    <cfRule type="duplicateValues" dxfId="7870" priority="4405"/>
    <cfRule type="duplicateValues" dxfId="7869" priority="4406"/>
    <cfRule type="duplicateValues" dxfId="7868" priority="4407"/>
    <cfRule type="duplicateValues" dxfId="7867" priority="4408"/>
    <cfRule type="duplicateValues" dxfId="7866" priority="4409"/>
    <cfRule type="duplicateValues" dxfId="7865" priority="4410"/>
    <cfRule type="duplicateValues" dxfId="7864" priority="4411"/>
    <cfRule type="duplicateValues" dxfId="7863" priority="4412"/>
    <cfRule type="duplicateValues" dxfId="7862" priority="4413"/>
    <cfRule type="duplicateValues" dxfId="7861" priority="4414"/>
    <cfRule type="duplicateValues" dxfId="7860" priority="4415"/>
    <cfRule type="duplicateValues" dxfId="7859" priority="4416"/>
    <cfRule type="duplicateValues" dxfId="7858" priority="4417"/>
    <cfRule type="duplicateValues" dxfId="7857" priority="4418"/>
    <cfRule type="duplicateValues" dxfId="7856" priority="4419"/>
    <cfRule type="duplicateValues" dxfId="7855" priority="4420"/>
    <cfRule type="duplicateValues" dxfId="7854" priority="4421"/>
    <cfRule type="duplicateValues" dxfId="7853" priority="4422"/>
    <cfRule type="duplicateValues" dxfId="7852" priority="4423"/>
    <cfRule type="duplicateValues" dxfId="7851" priority="4424"/>
    <cfRule type="duplicateValues" dxfId="7850" priority="4425"/>
    <cfRule type="duplicateValues" dxfId="7849" priority="4426"/>
    <cfRule type="duplicateValues" dxfId="7848" priority="4427"/>
    <cfRule type="duplicateValues" dxfId="7847" priority="4428"/>
    <cfRule type="duplicateValues" dxfId="7846" priority="4429"/>
    <cfRule type="duplicateValues" dxfId="7845" priority="4430"/>
    <cfRule type="duplicateValues" dxfId="7844" priority="4431"/>
    <cfRule type="duplicateValues" dxfId="7843" priority="4432"/>
    <cfRule type="duplicateValues" dxfId="7842" priority="4433"/>
    <cfRule type="duplicateValues" dxfId="7841" priority="4434"/>
    <cfRule type="duplicateValues" dxfId="7840" priority="4435"/>
    <cfRule type="duplicateValues" dxfId="7839" priority="4436"/>
    <cfRule type="duplicateValues" dxfId="7838" priority="4437"/>
    <cfRule type="duplicateValues" dxfId="7837" priority="4438"/>
    <cfRule type="duplicateValues" dxfId="7836" priority="4439"/>
    <cfRule type="duplicateValues" dxfId="7835" priority="4440"/>
    <cfRule type="duplicateValues" dxfId="7834" priority="4441"/>
    <cfRule type="duplicateValues" dxfId="7833" priority="4442"/>
    <cfRule type="duplicateValues" dxfId="7832" priority="4443"/>
    <cfRule type="duplicateValues" dxfId="7831" priority="4444"/>
    <cfRule type="duplicateValues" dxfId="7830" priority="4445"/>
    <cfRule type="duplicateValues" dxfId="7829" priority="4446"/>
    <cfRule type="duplicateValues" dxfId="7828" priority="4447"/>
    <cfRule type="duplicateValues" dxfId="7827" priority="4448"/>
    <cfRule type="duplicateValues" dxfId="7826" priority="4449"/>
    <cfRule type="duplicateValues" dxfId="7825" priority="4450"/>
    <cfRule type="duplicateValues" dxfId="7824" priority="4451"/>
    <cfRule type="duplicateValues" dxfId="7823" priority="4452"/>
    <cfRule type="duplicateValues" dxfId="7822" priority="4453"/>
    <cfRule type="duplicateValues" dxfId="7821" priority="4454"/>
    <cfRule type="duplicateValues" dxfId="7820" priority="4455"/>
    <cfRule type="duplicateValues" dxfId="7819" priority="4456"/>
    <cfRule type="duplicateValues" dxfId="7818" priority="4457"/>
    <cfRule type="duplicateValues" dxfId="7817" priority="4458"/>
    <cfRule type="duplicateValues" dxfId="7816" priority="4459"/>
    <cfRule type="duplicateValues" dxfId="7815" priority="4460"/>
    <cfRule type="duplicateValues" dxfId="7814" priority="4461"/>
    <cfRule type="duplicateValues" dxfId="7813" priority="4462"/>
    <cfRule type="duplicateValues" dxfId="7812" priority="4463"/>
    <cfRule type="duplicateValues" dxfId="7811" priority="4464"/>
    <cfRule type="duplicateValues" dxfId="7810" priority="4465"/>
    <cfRule type="duplicateValues" dxfId="7809" priority="4466"/>
    <cfRule type="duplicateValues" dxfId="7808" priority="4467"/>
    <cfRule type="duplicateValues" dxfId="7807" priority="4468"/>
    <cfRule type="duplicateValues" dxfId="7806" priority="4469"/>
    <cfRule type="duplicateValues" dxfId="7805" priority="4470"/>
    <cfRule type="duplicateValues" dxfId="7804" priority="4471"/>
    <cfRule type="duplicateValues" dxfId="7803" priority="4472"/>
    <cfRule type="duplicateValues" dxfId="7802" priority="4473"/>
    <cfRule type="duplicateValues" dxfId="7801" priority="4474"/>
    <cfRule type="duplicateValues" dxfId="7800" priority="4475"/>
    <cfRule type="duplicateValues" dxfId="7799" priority="4476"/>
    <cfRule type="duplicateValues" dxfId="7798" priority="4477"/>
    <cfRule type="duplicateValues" dxfId="7797" priority="4478"/>
    <cfRule type="duplicateValues" dxfId="7796" priority="4479"/>
    <cfRule type="duplicateValues" dxfId="7795" priority="4480"/>
    <cfRule type="duplicateValues" dxfId="7794" priority="4481"/>
    <cfRule type="duplicateValues" dxfId="7793" priority="4482"/>
    <cfRule type="duplicateValues" dxfId="7792" priority="4483"/>
    <cfRule type="duplicateValues" dxfId="7791" priority="4484"/>
    <cfRule type="duplicateValues" dxfId="7790" priority="4485"/>
    <cfRule type="duplicateValues" dxfId="7789" priority="4486"/>
    <cfRule type="duplicateValues" dxfId="7788" priority="4487"/>
  </conditionalFormatting>
  <conditionalFormatting sqref="B123">
    <cfRule type="duplicateValues" dxfId="7787" priority="4221"/>
    <cfRule type="duplicateValues" dxfId="7786" priority="4222"/>
    <cfRule type="duplicateValues" dxfId="7785" priority="4223"/>
    <cfRule type="duplicateValues" dxfId="7784" priority="4224"/>
    <cfRule type="duplicateValues" dxfId="7783" priority="4225"/>
    <cfRule type="duplicateValues" dxfId="7782" priority="4226"/>
    <cfRule type="duplicateValues" dxfId="7781" priority="4227"/>
    <cfRule type="duplicateValues" dxfId="7780" priority="4228"/>
    <cfRule type="duplicateValues" dxfId="7779" priority="4229"/>
    <cfRule type="duplicateValues" dxfId="7778" priority="4230"/>
    <cfRule type="duplicateValues" dxfId="7777" priority="4231"/>
    <cfRule type="duplicateValues" dxfId="7776" priority="4232"/>
    <cfRule type="duplicateValues" dxfId="7775" priority="4233"/>
    <cfRule type="duplicateValues" dxfId="7774" priority="4234"/>
    <cfRule type="duplicateValues" dxfId="7773" priority="4235"/>
    <cfRule type="duplicateValues" dxfId="7772" priority="4236"/>
    <cfRule type="duplicateValues" dxfId="7771" priority="4237"/>
    <cfRule type="duplicateValues" dxfId="7770" priority="4238"/>
    <cfRule type="duplicateValues" dxfId="7769" priority="4239"/>
    <cfRule type="duplicateValues" dxfId="7768" priority="4240"/>
    <cfRule type="duplicateValues" dxfId="7767" priority="4241"/>
    <cfRule type="duplicateValues" dxfId="7766" priority="4242"/>
    <cfRule type="duplicateValues" dxfId="7765" priority="4243"/>
    <cfRule type="duplicateValues" dxfId="7764" priority="4244"/>
    <cfRule type="duplicateValues" dxfId="7763" priority="4245"/>
    <cfRule type="duplicateValues" dxfId="7762" priority="4246"/>
    <cfRule type="duplicateValues" dxfId="7761" priority="4247"/>
    <cfRule type="duplicateValues" dxfId="7760" priority="4248"/>
    <cfRule type="duplicateValues" dxfId="7759" priority="4249"/>
    <cfRule type="duplicateValues" dxfId="7758" priority="4250"/>
    <cfRule type="duplicateValues" dxfId="7757" priority="4251"/>
    <cfRule type="duplicateValues" dxfId="7756" priority="4252"/>
    <cfRule type="duplicateValues" dxfId="7755" priority="4253"/>
    <cfRule type="duplicateValues" dxfId="7754" priority="4254"/>
    <cfRule type="duplicateValues" dxfId="7753" priority="4255"/>
    <cfRule type="duplicateValues" dxfId="7752" priority="4256"/>
    <cfRule type="duplicateValues" dxfId="7751" priority="4257"/>
    <cfRule type="duplicateValues" dxfId="7750" priority="4258"/>
    <cfRule type="duplicateValues" dxfId="7749" priority="4259"/>
    <cfRule type="duplicateValues" dxfId="7748" priority="4260"/>
    <cfRule type="duplicateValues" dxfId="7747" priority="4261"/>
    <cfRule type="duplicateValues" dxfId="7746" priority="4262"/>
    <cfRule type="duplicateValues" dxfId="7745" priority="4263"/>
    <cfRule type="duplicateValues" dxfId="7744" priority="4264"/>
    <cfRule type="duplicateValues" dxfId="7743" priority="4265"/>
    <cfRule type="duplicateValues" dxfId="7742" priority="4266"/>
    <cfRule type="duplicateValues" dxfId="7741" priority="4267"/>
    <cfRule type="duplicateValues" dxfId="7740" priority="4268"/>
    <cfRule type="duplicateValues" dxfId="7739" priority="4269"/>
    <cfRule type="duplicateValues" dxfId="7738" priority="4270"/>
    <cfRule type="duplicateValues" dxfId="7737" priority="4271"/>
    <cfRule type="duplicateValues" dxfId="7736" priority="4272"/>
    <cfRule type="duplicateValues" dxfId="7735" priority="4273"/>
    <cfRule type="duplicateValues" dxfId="7734" priority="4274"/>
    <cfRule type="duplicateValues" dxfId="7733" priority="4275"/>
    <cfRule type="duplicateValues" dxfId="7732" priority="4276"/>
    <cfRule type="duplicateValues" dxfId="7731" priority="4277"/>
    <cfRule type="duplicateValues" dxfId="7730" priority="4278"/>
    <cfRule type="duplicateValues" dxfId="7729" priority="4279"/>
    <cfRule type="duplicateValues" dxfId="7728" priority="4280"/>
    <cfRule type="duplicateValues" dxfId="7727" priority="4281"/>
    <cfRule type="duplicateValues" dxfId="7726" priority="4282"/>
    <cfRule type="duplicateValues" dxfId="7725" priority="4283"/>
    <cfRule type="duplicateValues" dxfId="7724" priority="4284"/>
    <cfRule type="duplicateValues" dxfId="7723" priority="4285"/>
    <cfRule type="duplicateValues" dxfId="7722" priority="4286"/>
    <cfRule type="duplicateValues" dxfId="7721" priority="4287"/>
    <cfRule type="duplicateValues" dxfId="7720" priority="4288"/>
    <cfRule type="duplicateValues" dxfId="7719" priority="4289"/>
    <cfRule type="duplicateValues" dxfId="7718" priority="4290"/>
    <cfRule type="duplicateValues" dxfId="7717" priority="4291"/>
    <cfRule type="duplicateValues" dxfId="7716" priority="4292"/>
    <cfRule type="duplicateValues" dxfId="7715" priority="4293"/>
    <cfRule type="duplicateValues" dxfId="7714" priority="4294"/>
    <cfRule type="duplicateValues" dxfId="7713" priority="4295"/>
    <cfRule type="duplicateValues" dxfId="7712" priority="4296"/>
    <cfRule type="duplicateValues" dxfId="7711" priority="4297"/>
    <cfRule type="duplicateValues" dxfId="7710" priority="4298"/>
    <cfRule type="duplicateValues" dxfId="7709" priority="4299"/>
    <cfRule type="duplicateValues" dxfId="7708" priority="4300"/>
    <cfRule type="duplicateValues" dxfId="7707" priority="4301"/>
    <cfRule type="duplicateValues" dxfId="7706" priority="4302"/>
    <cfRule type="duplicateValues" dxfId="7705" priority="4303"/>
    <cfRule type="duplicateValues" dxfId="7704" priority="4304"/>
    <cfRule type="duplicateValues" dxfId="7703" priority="4305"/>
    <cfRule type="duplicateValues" dxfId="7702" priority="4306"/>
    <cfRule type="duplicateValues" dxfId="7701" priority="4307"/>
    <cfRule type="duplicateValues" dxfId="7700" priority="4308"/>
    <cfRule type="duplicateValues" dxfId="7699" priority="4309"/>
  </conditionalFormatting>
  <conditionalFormatting sqref="B124:B125">
    <cfRule type="duplicateValues" dxfId="7698" priority="4216"/>
    <cfRule type="duplicateValues" dxfId="7697" priority="4217"/>
    <cfRule type="duplicateValues" dxfId="7696" priority="4218"/>
    <cfRule type="duplicateValues" dxfId="7695" priority="4219"/>
    <cfRule type="duplicateValues" dxfId="7694" priority="4220"/>
    <cfRule type="duplicateValues" dxfId="7693" priority="242939"/>
    <cfRule type="duplicateValues" dxfId="7692" priority="242940"/>
    <cfRule type="duplicateValues" dxfId="7691" priority="242941"/>
    <cfRule type="duplicateValues" dxfId="7690" priority="242942"/>
    <cfRule type="duplicateValues" dxfId="7689" priority="242943"/>
    <cfRule type="duplicateValues" dxfId="7688" priority="242944"/>
    <cfRule type="duplicateValues" dxfId="7687" priority="242945"/>
    <cfRule type="duplicateValues" dxfId="7686" priority="242946"/>
    <cfRule type="duplicateValues" dxfId="7685" priority="242947"/>
    <cfRule type="duplicateValues" dxfId="7684" priority="242948"/>
    <cfRule type="duplicateValues" dxfId="7683" priority="242949"/>
    <cfRule type="duplicateValues" dxfId="7682" priority="242950"/>
    <cfRule type="duplicateValues" dxfId="7681" priority="242951"/>
    <cfRule type="duplicateValues" dxfId="7680" priority="242952"/>
    <cfRule type="duplicateValues" dxfId="7679" priority="242953"/>
    <cfRule type="duplicateValues" dxfId="7678" priority="242954"/>
    <cfRule type="duplicateValues" dxfId="7677" priority="242955"/>
    <cfRule type="duplicateValues" dxfId="7676" priority="242956"/>
    <cfRule type="duplicateValues" dxfId="7675" priority="242957"/>
    <cfRule type="duplicateValues" dxfId="7674" priority="242958"/>
    <cfRule type="duplicateValues" dxfId="7673" priority="242959"/>
    <cfRule type="duplicateValues" dxfId="7672" priority="242960"/>
    <cfRule type="duplicateValues" dxfId="7671" priority="242961"/>
    <cfRule type="duplicateValues" dxfId="7670" priority="242962"/>
    <cfRule type="duplicateValues" dxfId="7669" priority="242963"/>
    <cfRule type="duplicateValues" dxfId="7668" priority="242964"/>
    <cfRule type="duplicateValues" dxfId="7667" priority="242965"/>
    <cfRule type="duplicateValues" dxfId="7666" priority="242966"/>
    <cfRule type="duplicateValues" dxfId="7665" priority="242967"/>
    <cfRule type="duplicateValues" dxfId="7664" priority="242968"/>
    <cfRule type="duplicateValues" dxfId="7663" priority="242969"/>
    <cfRule type="duplicateValues" dxfId="7662" priority="242970"/>
    <cfRule type="duplicateValues" dxfId="7661" priority="242971"/>
    <cfRule type="duplicateValues" dxfId="7660" priority="242972"/>
    <cfRule type="duplicateValues" dxfId="7659" priority="242973"/>
    <cfRule type="duplicateValues" dxfId="7658" priority="242974"/>
    <cfRule type="duplicateValues" dxfId="7657" priority="242975"/>
    <cfRule type="duplicateValues" dxfId="7656" priority="242976"/>
    <cfRule type="duplicateValues" dxfId="7655" priority="242977"/>
    <cfRule type="duplicateValues" dxfId="7654" priority="242978"/>
    <cfRule type="duplicateValues" dxfId="7653" priority="242979"/>
    <cfRule type="duplicateValues" dxfId="7652" priority="242980"/>
    <cfRule type="duplicateValues" dxfId="7651" priority="243317"/>
    <cfRule type="duplicateValues" dxfId="7650" priority="243318"/>
    <cfRule type="duplicateValues" dxfId="7649" priority="243319"/>
    <cfRule type="duplicateValues" dxfId="7648" priority="243320"/>
    <cfRule type="duplicateValues" dxfId="7647" priority="243321"/>
    <cfRule type="duplicateValues" dxfId="7646" priority="243322"/>
    <cfRule type="duplicateValues" dxfId="7645" priority="243323"/>
    <cfRule type="duplicateValues" dxfId="7644" priority="243324"/>
    <cfRule type="duplicateValues" dxfId="7643" priority="243325"/>
    <cfRule type="duplicateValues" dxfId="7642" priority="243326"/>
    <cfRule type="duplicateValues" dxfId="7641" priority="243327"/>
    <cfRule type="duplicateValues" dxfId="7640" priority="243328"/>
    <cfRule type="duplicateValues" dxfId="7639" priority="243329"/>
    <cfRule type="duplicateValues" dxfId="7638" priority="243330"/>
    <cfRule type="duplicateValues" dxfId="7637" priority="243331"/>
    <cfRule type="duplicateValues" dxfId="7636" priority="243332"/>
    <cfRule type="duplicateValues" dxfId="7635" priority="243333"/>
    <cfRule type="duplicateValues" dxfId="7634" priority="243334"/>
    <cfRule type="duplicateValues" dxfId="7633" priority="243335"/>
    <cfRule type="duplicateValues" dxfId="7632" priority="243336"/>
    <cfRule type="duplicateValues" dxfId="7631" priority="243337"/>
    <cfRule type="duplicateValues" dxfId="7630" priority="243338"/>
    <cfRule type="duplicateValues" dxfId="7629" priority="243339"/>
    <cfRule type="duplicateValues" dxfId="7628" priority="243340"/>
    <cfRule type="duplicateValues" dxfId="7627" priority="243341"/>
    <cfRule type="duplicateValues" dxfId="7626" priority="243342"/>
    <cfRule type="duplicateValues" dxfId="7625" priority="243343"/>
    <cfRule type="duplicateValues" dxfId="7624" priority="243344"/>
    <cfRule type="duplicateValues" dxfId="7623" priority="243345"/>
    <cfRule type="duplicateValues" dxfId="7622" priority="243346"/>
    <cfRule type="duplicateValues" dxfId="7621" priority="243347"/>
    <cfRule type="duplicateValues" dxfId="7620" priority="243348"/>
    <cfRule type="duplicateValues" dxfId="7619" priority="243349"/>
    <cfRule type="duplicateValues" dxfId="7618" priority="243350"/>
    <cfRule type="duplicateValues" dxfId="7617" priority="243351"/>
    <cfRule type="duplicateValues" dxfId="7616" priority="243352"/>
    <cfRule type="duplicateValues" dxfId="7615" priority="243353"/>
    <cfRule type="duplicateValues" dxfId="7614" priority="243354"/>
    <cfRule type="duplicateValues" dxfId="7613" priority="243355"/>
    <cfRule type="duplicateValues" dxfId="7612" priority="243356"/>
    <cfRule type="duplicateValues" dxfId="7611" priority="243357"/>
    <cfRule type="duplicateValues" dxfId="7610" priority="243358"/>
  </conditionalFormatting>
  <conditionalFormatting sqref="B126">
    <cfRule type="duplicateValues" dxfId="7609" priority="243359"/>
    <cfRule type="duplicateValues" dxfId="7608" priority="243360"/>
    <cfRule type="duplicateValues" dxfId="7607" priority="243361"/>
    <cfRule type="duplicateValues" dxfId="7606" priority="243362"/>
    <cfRule type="duplicateValues" dxfId="7605" priority="243363"/>
    <cfRule type="duplicateValues" dxfId="7604" priority="243364"/>
    <cfRule type="duplicateValues" dxfId="7603" priority="243365"/>
    <cfRule type="duplicateValues" dxfId="7602" priority="243366"/>
    <cfRule type="duplicateValues" dxfId="7601" priority="243367"/>
    <cfRule type="duplicateValues" dxfId="7600" priority="243368"/>
    <cfRule type="duplicateValues" dxfId="7599" priority="243369"/>
    <cfRule type="duplicateValues" dxfId="7598" priority="243370"/>
    <cfRule type="duplicateValues" dxfId="7597" priority="243371"/>
    <cfRule type="duplicateValues" dxfId="7596" priority="243372"/>
    <cfRule type="duplicateValues" dxfId="7595" priority="243373"/>
    <cfRule type="duplicateValues" dxfId="7594" priority="243374"/>
    <cfRule type="duplicateValues" dxfId="7593" priority="243375"/>
    <cfRule type="duplicateValues" dxfId="7592" priority="243376"/>
    <cfRule type="duplicateValues" dxfId="7591" priority="243377"/>
    <cfRule type="duplicateValues" dxfId="7590" priority="243378"/>
    <cfRule type="duplicateValues" dxfId="7589" priority="243379"/>
    <cfRule type="duplicateValues" dxfId="7588" priority="243380"/>
    <cfRule type="duplicateValues" dxfId="7587" priority="243381"/>
    <cfRule type="duplicateValues" dxfId="7586" priority="243382"/>
    <cfRule type="duplicateValues" dxfId="7585" priority="243383"/>
    <cfRule type="duplicateValues" dxfId="7584" priority="243384"/>
    <cfRule type="duplicateValues" dxfId="7583" priority="243385"/>
    <cfRule type="duplicateValues" dxfId="7582" priority="243386"/>
    <cfRule type="duplicateValues" dxfId="7581" priority="243387"/>
    <cfRule type="duplicateValues" dxfId="7580" priority="243388"/>
    <cfRule type="duplicateValues" dxfId="7579" priority="243389"/>
    <cfRule type="duplicateValues" dxfId="7578" priority="243390"/>
    <cfRule type="duplicateValues" dxfId="7577" priority="243391"/>
    <cfRule type="duplicateValues" dxfId="7576" priority="243392"/>
    <cfRule type="duplicateValues" dxfId="7575" priority="243393"/>
    <cfRule type="duplicateValues" dxfId="7574" priority="243394"/>
    <cfRule type="duplicateValues" dxfId="7573" priority="243395"/>
    <cfRule type="duplicateValues" dxfId="7572" priority="243396"/>
    <cfRule type="duplicateValues" dxfId="7571" priority="243397"/>
    <cfRule type="duplicateValues" dxfId="7570" priority="243398"/>
    <cfRule type="duplicateValues" dxfId="7569" priority="243399"/>
    <cfRule type="duplicateValues" dxfId="7568" priority="243400"/>
    <cfRule type="duplicateValues" dxfId="7567" priority="243443"/>
    <cfRule type="duplicateValues" dxfId="7566" priority="243444"/>
    <cfRule type="duplicateValues" dxfId="7565" priority="243445"/>
    <cfRule type="duplicateValues" dxfId="7564" priority="243446"/>
    <cfRule type="duplicateValues" dxfId="7563" priority="243447"/>
    <cfRule type="duplicateValues" dxfId="7562" priority="243448"/>
    <cfRule type="duplicateValues" dxfId="7561" priority="243449"/>
    <cfRule type="duplicateValues" dxfId="7560" priority="243450"/>
    <cfRule type="duplicateValues" dxfId="7559" priority="243451"/>
    <cfRule type="duplicateValues" dxfId="7558" priority="243452"/>
    <cfRule type="duplicateValues" dxfId="7557" priority="243453"/>
    <cfRule type="duplicateValues" dxfId="7556" priority="243454"/>
    <cfRule type="duplicateValues" dxfId="7555" priority="243455"/>
    <cfRule type="duplicateValues" dxfId="7554" priority="243456"/>
    <cfRule type="duplicateValues" dxfId="7553" priority="243457"/>
    <cfRule type="duplicateValues" dxfId="7552" priority="243458"/>
    <cfRule type="duplicateValues" dxfId="7551" priority="243459"/>
    <cfRule type="duplicateValues" dxfId="7550" priority="243460"/>
    <cfRule type="duplicateValues" dxfId="7549" priority="243461"/>
    <cfRule type="duplicateValues" dxfId="7548" priority="243462"/>
    <cfRule type="duplicateValues" dxfId="7547" priority="243463"/>
    <cfRule type="duplicateValues" dxfId="7546" priority="243464"/>
    <cfRule type="duplicateValues" dxfId="7545" priority="243465"/>
    <cfRule type="duplicateValues" dxfId="7544" priority="243466"/>
    <cfRule type="duplicateValues" dxfId="7543" priority="243467"/>
    <cfRule type="duplicateValues" dxfId="7542" priority="243468"/>
    <cfRule type="duplicateValues" dxfId="7541" priority="243469"/>
    <cfRule type="duplicateValues" dxfId="7540" priority="243470"/>
    <cfRule type="duplicateValues" dxfId="7539" priority="243471"/>
    <cfRule type="duplicateValues" dxfId="7538" priority="243472"/>
    <cfRule type="duplicateValues" dxfId="7537" priority="243473"/>
    <cfRule type="duplicateValues" dxfId="7536" priority="243474"/>
    <cfRule type="duplicateValues" dxfId="7535" priority="243475"/>
    <cfRule type="duplicateValues" dxfId="7534" priority="243476"/>
    <cfRule type="duplicateValues" dxfId="7533" priority="243477"/>
    <cfRule type="duplicateValues" dxfId="7532" priority="243478"/>
    <cfRule type="duplicateValues" dxfId="7531" priority="243479"/>
    <cfRule type="duplicateValues" dxfId="7530" priority="243480"/>
    <cfRule type="duplicateValues" dxfId="7529" priority="243481"/>
    <cfRule type="duplicateValues" dxfId="7528" priority="243482"/>
    <cfRule type="duplicateValues" dxfId="7527" priority="243483"/>
    <cfRule type="duplicateValues" dxfId="7526" priority="243484"/>
    <cfRule type="duplicateValues" dxfId="7525" priority="243490"/>
    <cfRule type="duplicateValues" dxfId="7524" priority="243491"/>
    <cfRule type="duplicateValues" dxfId="7523" priority="243492"/>
    <cfRule type="duplicateValues" dxfId="7522" priority="243493"/>
    <cfRule type="duplicateValues" dxfId="7521" priority="243494"/>
  </conditionalFormatting>
  <conditionalFormatting sqref="B135:B196">
    <cfRule type="duplicateValues" dxfId="7520" priority="4043"/>
    <cfRule type="duplicateValues" dxfId="7519" priority="4044"/>
    <cfRule type="duplicateValues" dxfId="7518" priority="4045"/>
    <cfRule type="duplicateValues" dxfId="7517" priority="4046"/>
    <cfRule type="duplicateValues" dxfId="7516" priority="4047"/>
    <cfRule type="duplicateValues" dxfId="7515" priority="4048"/>
    <cfRule type="duplicateValues" dxfId="7514" priority="4049"/>
    <cfRule type="duplicateValues" dxfId="7513" priority="4050"/>
    <cfRule type="duplicateValues" dxfId="7512" priority="4051"/>
    <cfRule type="duplicateValues" dxfId="7511" priority="4052"/>
    <cfRule type="duplicateValues" dxfId="7510" priority="4053"/>
    <cfRule type="duplicateValues" dxfId="7509" priority="4054"/>
    <cfRule type="duplicateValues" dxfId="7508" priority="4055"/>
    <cfRule type="duplicateValues" dxfId="7507" priority="4056"/>
    <cfRule type="duplicateValues" dxfId="7506" priority="4057"/>
    <cfRule type="duplicateValues" dxfId="7505" priority="4058"/>
    <cfRule type="duplicateValues" dxfId="7504" priority="4059"/>
    <cfRule type="duplicateValues" dxfId="7503" priority="4060"/>
    <cfRule type="duplicateValues" dxfId="7502" priority="4061"/>
    <cfRule type="duplicateValues" dxfId="7501" priority="4062"/>
    <cfRule type="duplicateValues" dxfId="7500" priority="4063"/>
    <cfRule type="duplicateValues" dxfId="7499" priority="4064"/>
    <cfRule type="duplicateValues" dxfId="7498" priority="4065"/>
    <cfRule type="duplicateValues" dxfId="7497" priority="4066"/>
    <cfRule type="duplicateValues" dxfId="7496" priority="4067"/>
    <cfRule type="duplicateValues" dxfId="7495" priority="4068"/>
    <cfRule type="duplicateValues" dxfId="7494" priority="4069"/>
    <cfRule type="duplicateValues" dxfId="7493" priority="4070"/>
    <cfRule type="duplicateValues" dxfId="7492" priority="4071"/>
    <cfRule type="duplicateValues" dxfId="7491" priority="4072"/>
    <cfRule type="duplicateValues" dxfId="7490" priority="4073"/>
    <cfRule type="duplicateValues" dxfId="7489" priority="4074"/>
    <cfRule type="duplicateValues" dxfId="7488" priority="4075"/>
    <cfRule type="duplicateValues" dxfId="7487" priority="4076"/>
    <cfRule type="duplicateValues" dxfId="7486" priority="4077"/>
    <cfRule type="duplicateValues" dxfId="7485" priority="4078"/>
    <cfRule type="duplicateValues" dxfId="7484" priority="4079"/>
    <cfRule type="duplicateValues" dxfId="7483" priority="4080"/>
    <cfRule type="duplicateValues" dxfId="7482" priority="4081"/>
    <cfRule type="duplicateValues" dxfId="7481" priority="4082"/>
    <cfRule type="duplicateValues" dxfId="7480" priority="4083"/>
    <cfRule type="duplicateValues" dxfId="7479" priority="4084"/>
    <cfRule type="duplicateValues" dxfId="7478" priority="4085"/>
    <cfRule type="duplicateValues" dxfId="7477" priority="4086"/>
    <cfRule type="duplicateValues" dxfId="7476" priority="4087"/>
    <cfRule type="duplicateValues" dxfId="7475" priority="4088"/>
    <cfRule type="duplicateValues" dxfId="7474" priority="4089"/>
    <cfRule type="duplicateValues" dxfId="7473" priority="4090"/>
    <cfRule type="duplicateValues" dxfId="7472" priority="4091"/>
    <cfRule type="duplicateValues" dxfId="7471" priority="4092"/>
    <cfRule type="duplicateValues" dxfId="7470" priority="4093"/>
    <cfRule type="duplicateValues" dxfId="7469" priority="4094"/>
    <cfRule type="duplicateValues" dxfId="7468" priority="4095"/>
    <cfRule type="duplicateValues" dxfId="7467" priority="4096"/>
    <cfRule type="duplicateValues" dxfId="7466" priority="4097"/>
    <cfRule type="duplicateValues" dxfId="7465" priority="4098"/>
    <cfRule type="duplicateValues" dxfId="7464" priority="4099"/>
    <cfRule type="duplicateValues" dxfId="7463" priority="4100"/>
    <cfRule type="duplicateValues" dxfId="7462" priority="4101"/>
    <cfRule type="duplicateValues" dxfId="7461" priority="4102"/>
    <cfRule type="duplicateValues" dxfId="7460" priority="4103"/>
    <cfRule type="duplicateValues" dxfId="7459" priority="4104"/>
    <cfRule type="duplicateValues" dxfId="7458" priority="4105"/>
    <cfRule type="duplicateValues" dxfId="7457" priority="4106"/>
    <cfRule type="duplicateValues" dxfId="7456" priority="4107"/>
    <cfRule type="duplicateValues" dxfId="7455" priority="4108"/>
    <cfRule type="duplicateValues" dxfId="7454" priority="4109"/>
    <cfRule type="duplicateValues" dxfId="7453" priority="4110"/>
    <cfRule type="duplicateValues" dxfId="7452" priority="4111"/>
    <cfRule type="duplicateValues" dxfId="7451" priority="4112"/>
    <cfRule type="duplicateValues" dxfId="7450" priority="4113"/>
    <cfRule type="duplicateValues" dxfId="7449" priority="4114"/>
    <cfRule type="duplicateValues" dxfId="7448" priority="4115"/>
    <cfRule type="duplicateValues" dxfId="7447" priority="4116"/>
    <cfRule type="duplicateValues" dxfId="7446" priority="4117"/>
    <cfRule type="duplicateValues" dxfId="7445" priority="4118"/>
    <cfRule type="duplicateValues" dxfId="7444" priority="4119"/>
    <cfRule type="duplicateValues" dxfId="7443" priority="4120"/>
    <cfRule type="duplicateValues" dxfId="7442" priority="4121"/>
    <cfRule type="duplicateValues" dxfId="7441" priority="4122"/>
    <cfRule type="duplicateValues" dxfId="7440" priority="4123"/>
    <cfRule type="duplicateValues" dxfId="7439" priority="4124"/>
    <cfRule type="duplicateValues" dxfId="7438" priority="4125"/>
    <cfRule type="duplicateValues" dxfId="7437" priority="4126"/>
    <cfRule type="duplicateValues" dxfId="7436" priority="4127"/>
    <cfRule type="duplicateValues" dxfId="7435" priority="4128"/>
    <cfRule type="duplicateValues" dxfId="7434" priority="4129"/>
    <cfRule type="duplicateValues" dxfId="7433" priority="4130"/>
    <cfRule type="duplicateValues" dxfId="7432" priority="4131"/>
  </conditionalFormatting>
  <conditionalFormatting sqref="B197:B204">
    <cfRule type="duplicateValues" dxfId="7431" priority="3954"/>
    <cfRule type="duplicateValues" dxfId="7430" priority="3955"/>
    <cfRule type="duplicateValues" dxfId="7429" priority="3956"/>
    <cfRule type="duplicateValues" dxfId="7428" priority="3957"/>
    <cfRule type="duplicateValues" dxfId="7427" priority="3958"/>
    <cfRule type="duplicateValues" dxfId="7426" priority="3959"/>
    <cfRule type="duplicateValues" dxfId="7425" priority="3960"/>
    <cfRule type="duplicateValues" dxfId="7424" priority="3961"/>
    <cfRule type="duplicateValues" dxfId="7423" priority="3962"/>
    <cfRule type="duplicateValues" dxfId="7422" priority="3963"/>
    <cfRule type="duplicateValues" dxfId="7421" priority="3964"/>
    <cfRule type="duplicateValues" dxfId="7420" priority="3965"/>
    <cfRule type="duplicateValues" dxfId="7419" priority="3966"/>
    <cfRule type="duplicateValues" dxfId="7418" priority="3967"/>
    <cfRule type="duplicateValues" dxfId="7417" priority="3968"/>
    <cfRule type="duplicateValues" dxfId="7416" priority="3969"/>
    <cfRule type="duplicateValues" dxfId="7415" priority="3970"/>
    <cfRule type="duplicateValues" dxfId="7414" priority="3971"/>
    <cfRule type="duplicateValues" dxfId="7413" priority="3972"/>
    <cfRule type="duplicateValues" dxfId="7412" priority="3973"/>
    <cfRule type="duplicateValues" dxfId="7411" priority="3974"/>
    <cfRule type="duplicateValues" dxfId="7410" priority="3975"/>
    <cfRule type="duplicateValues" dxfId="7409" priority="3976"/>
    <cfRule type="duplicateValues" dxfId="7408" priority="3977"/>
    <cfRule type="duplicateValues" dxfId="7407" priority="3978"/>
    <cfRule type="duplicateValues" dxfId="7406" priority="3979"/>
    <cfRule type="duplicateValues" dxfId="7405" priority="3980"/>
    <cfRule type="duplicateValues" dxfId="7404" priority="3981"/>
    <cfRule type="duplicateValues" dxfId="7403" priority="3982"/>
    <cfRule type="duplicateValues" dxfId="7402" priority="3983"/>
    <cfRule type="duplicateValues" dxfId="7401" priority="3984"/>
    <cfRule type="duplicateValues" dxfId="7400" priority="3985"/>
    <cfRule type="duplicateValues" dxfId="7399" priority="3986"/>
    <cfRule type="duplicateValues" dxfId="7398" priority="3987"/>
    <cfRule type="duplicateValues" dxfId="7397" priority="3988"/>
    <cfRule type="duplicateValues" dxfId="7396" priority="3989"/>
    <cfRule type="duplicateValues" dxfId="7395" priority="3990"/>
    <cfRule type="duplicateValues" dxfId="7394" priority="3991"/>
    <cfRule type="duplicateValues" dxfId="7393" priority="3992"/>
    <cfRule type="duplicateValues" dxfId="7392" priority="3993"/>
    <cfRule type="duplicateValues" dxfId="7391" priority="3994"/>
    <cfRule type="duplicateValues" dxfId="7390" priority="3995"/>
    <cfRule type="duplicateValues" dxfId="7389" priority="3996"/>
    <cfRule type="duplicateValues" dxfId="7388" priority="3997"/>
    <cfRule type="duplicateValues" dxfId="7387" priority="3998"/>
    <cfRule type="duplicateValues" dxfId="7386" priority="3999"/>
    <cfRule type="duplicateValues" dxfId="7385" priority="4000"/>
    <cfRule type="duplicateValues" dxfId="7384" priority="4001"/>
    <cfRule type="duplicateValues" dxfId="7383" priority="4002"/>
    <cfRule type="duplicateValues" dxfId="7382" priority="4003"/>
    <cfRule type="duplicateValues" dxfId="7381" priority="4004"/>
    <cfRule type="duplicateValues" dxfId="7380" priority="4005"/>
    <cfRule type="duplicateValues" dxfId="7379" priority="4006"/>
    <cfRule type="duplicateValues" dxfId="7378" priority="4007"/>
    <cfRule type="duplicateValues" dxfId="7377" priority="4008"/>
    <cfRule type="duplicateValues" dxfId="7376" priority="4009"/>
    <cfRule type="duplicateValues" dxfId="7375" priority="4010"/>
    <cfRule type="duplicateValues" dxfId="7374" priority="4011"/>
    <cfRule type="duplicateValues" dxfId="7373" priority="4012"/>
    <cfRule type="duplicateValues" dxfId="7372" priority="4013"/>
    <cfRule type="duplicateValues" dxfId="7371" priority="4014"/>
    <cfRule type="duplicateValues" dxfId="7370" priority="4015"/>
    <cfRule type="duplicateValues" dxfId="7369" priority="4016"/>
    <cfRule type="duplicateValues" dxfId="7368" priority="4017"/>
    <cfRule type="duplicateValues" dxfId="7367" priority="4018"/>
    <cfRule type="duplicateValues" dxfId="7366" priority="4019"/>
    <cfRule type="duplicateValues" dxfId="7365" priority="4020"/>
    <cfRule type="duplicateValues" dxfId="7364" priority="4021"/>
    <cfRule type="duplicateValues" dxfId="7363" priority="4022"/>
    <cfRule type="duplicateValues" dxfId="7362" priority="4023"/>
    <cfRule type="duplicateValues" dxfId="7361" priority="4024"/>
    <cfRule type="duplicateValues" dxfId="7360" priority="4025"/>
    <cfRule type="duplicateValues" dxfId="7359" priority="4026"/>
    <cfRule type="duplicateValues" dxfId="7358" priority="4027"/>
    <cfRule type="duplicateValues" dxfId="7357" priority="4028"/>
    <cfRule type="duplicateValues" dxfId="7356" priority="4029"/>
    <cfRule type="duplicateValues" dxfId="7355" priority="4030"/>
    <cfRule type="duplicateValues" dxfId="7354" priority="4031"/>
    <cfRule type="duplicateValues" dxfId="7353" priority="4032"/>
    <cfRule type="duplicateValues" dxfId="7352" priority="4033"/>
    <cfRule type="duplicateValues" dxfId="7351" priority="4034"/>
    <cfRule type="duplicateValues" dxfId="7350" priority="4035"/>
    <cfRule type="duplicateValues" dxfId="7349" priority="4036"/>
    <cfRule type="duplicateValues" dxfId="7348" priority="4037"/>
    <cfRule type="duplicateValues" dxfId="7347" priority="4038"/>
    <cfRule type="duplicateValues" dxfId="7346" priority="4039"/>
    <cfRule type="duplicateValues" dxfId="7345" priority="4040"/>
    <cfRule type="duplicateValues" dxfId="7344" priority="4041"/>
    <cfRule type="duplicateValues" dxfId="7343" priority="4042"/>
  </conditionalFormatting>
  <conditionalFormatting sqref="B205:B215">
    <cfRule type="duplicateValues" dxfId="7342" priority="3865"/>
    <cfRule type="duplicateValues" dxfId="7341" priority="3866"/>
    <cfRule type="duplicateValues" dxfId="7340" priority="3867"/>
    <cfRule type="duplicateValues" dxfId="7339" priority="3868"/>
    <cfRule type="duplicateValues" dxfId="7338" priority="3869"/>
    <cfRule type="duplicateValues" dxfId="7337" priority="3870"/>
    <cfRule type="duplicateValues" dxfId="7336" priority="3871"/>
    <cfRule type="duplicateValues" dxfId="7335" priority="3872"/>
    <cfRule type="duplicateValues" dxfId="7334" priority="3873"/>
    <cfRule type="duplicateValues" dxfId="7333" priority="3874"/>
    <cfRule type="duplicateValues" dxfId="7332" priority="3875"/>
    <cfRule type="duplicateValues" dxfId="7331" priority="3876"/>
    <cfRule type="duplicateValues" dxfId="7330" priority="3877"/>
    <cfRule type="duplicateValues" dxfId="7329" priority="3878"/>
    <cfRule type="duplicateValues" dxfId="7328" priority="3879"/>
    <cfRule type="duplicateValues" dxfId="7327" priority="3880"/>
    <cfRule type="duplicateValues" dxfId="7326" priority="3881"/>
    <cfRule type="duplicateValues" dxfId="7325" priority="3882"/>
    <cfRule type="duplicateValues" dxfId="7324" priority="3883"/>
    <cfRule type="duplicateValues" dxfId="7323" priority="3884"/>
    <cfRule type="duplicateValues" dxfId="7322" priority="3885"/>
    <cfRule type="duplicateValues" dxfId="7321" priority="3886"/>
    <cfRule type="duplicateValues" dxfId="7320" priority="3887"/>
    <cfRule type="duplicateValues" dxfId="7319" priority="3888"/>
    <cfRule type="duplicateValues" dxfId="7318" priority="3889"/>
    <cfRule type="duplicateValues" dxfId="7317" priority="3890"/>
    <cfRule type="duplicateValues" dxfId="7316" priority="3891"/>
    <cfRule type="duplicateValues" dxfId="7315" priority="3892"/>
    <cfRule type="duplicateValues" dxfId="7314" priority="3893"/>
    <cfRule type="duplicateValues" dxfId="7313" priority="3894"/>
    <cfRule type="duplicateValues" dxfId="7312" priority="3895"/>
    <cfRule type="duplicateValues" dxfId="7311" priority="3896"/>
    <cfRule type="duplicateValues" dxfId="7310" priority="3897"/>
    <cfRule type="duplicateValues" dxfId="7309" priority="3898"/>
    <cfRule type="duplicateValues" dxfId="7308" priority="3899"/>
    <cfRule type="duplicateValues" dxfId="7307" priority="3900"/>
    <cfRule type="duplicateValues" dxfId="7306" priority="3901"/>
    <cfRule type="duplicateValues" dxfId="7305" priority="3902"/>
    <cfRule type="duplicateValues" dxfId="7304" priority="3903"/>
    <cfRule type="duplicateValues" dxfId="7303" priority="3904"/>
    <cfRule type="duplicateValues" dxfId="7302" priority="3905"/>
    <cfRule type="duplicateValues" dxfId="7301" priority="3906"/>
    <cfRule type="duplicateValues" dxfId="7300" priority="3907"/>
    <cfRule type="duplicateValues" dxfId="7299" priority="3908"/>
    <cfRule type="duplicateValues" dxfId="7298" priority="3909"/>
    <cfRule type="duplicateValues" dxfId="7297" priority="3910"/>
    <cfRule type="duplicateValues" dxfId="7296" priority="3911"/>
    <cfRule type="duplicateValues" dxfId="7295" priority="3912"/>
    <cfRule type="duplicateValues" dxfId="7294" priority="3913"/>
    <cfRule type="duplicateValues" dxfId="7293" priority="3914"/>
    <cfRule type="duplicateValues" dxfId="7292" priority="3915"/>
    <cfRule type="duplicateValues" dxfId="7291" priority="3916"/>
    <cfRule type="duplicateValues" dxfId="7290" priority="3917"/>
    <cfRule type="duplicateValues" dxfId="7289" priority="3918"/>
    <cfRule type="duplicateValues" dxfId="7288" priority="3919"/>
    <cfRule type="duplicateValues" dxfId="7287" priority="3920"/>
    <cfRule type="duplicateValues" dxfId="7286" priority="3921"/>
    <cfRule type="duplicateValues" dxfId="7285" priority="3922"/>
    <cfRule type="duplicateValues" dxfId="7284" priority="3923"/>
    <cfRule type="duplicateValues" dxfId="7283" priority="3924"/>
    <cfRule type="duplicateValues" dxfId="7282" priority="3925"/>
    <cfRule type="duplicateValues" dxfId="7281" priority="3926"/>
    <cfRule type="duplicateValues" dxfId="7280" priority="3927"/>
    <cfRule type="duplicateValues" dxfId="7279" priority="3928"/>
    <cfRule type="duplicateValues" dxfId="7278" priority="3929"/>
    <cfRule type="duplicateValues" dxfId="7277" priority="3930"/>
    <cfRule type="duplicateValues" dxfId="7276" priority="3931"/>
    <cfRule type="duplicateValues" dxfId="7275" priority="3932"/>
    <cfRule type="duplicateValues" dxfId="7274" priority="3933"/>
    <cfRule type="duplicateValues" dxfId="7273" priority="3934"/>
    <cfRule type="duplicateValues" dxfId="7272" priority="3935"/>
    <cfRule type="duplicateValues" dxfId="7271" priority="3936"/>
    <cfRule type="duplicateValues" dxfId="7270" priority="3937"/>
    <cfRule type="duplicateValues" dxfId="7269" priority="3938"/>
    <cfRule type="duplicateValues" dxfId="7268" priority="3939"/>
    <cfRule type="duplicateValues" dxfId="7267" priority="3940"/>
    <cfRule type="duplicateValues" dxfId="7266" priority="3941"/>
    <cfRule type="duplicateValues" dxfId="7265" priority="3942"/>
    <cfRule type="duplicateValues" dxfId="7264" priority="3943"/>
    <cfRule type="duplicateValues" dxfId="7263" priority="3944"/>
    <cfRule type="duplicateValues" dxfId="7262" priority="3945"/>
    <cfRule type="duplicateValues" dxfId="7261" priority="3946"/>
    <cfRule type="duplicateValues" dxfId="7260" priority="3947"/>
    <cfRule type="duplicateValues" dxfId="7259" priority="3948"/>
    <cfRule type="duplicateValues" dxfId="7258" priority="3949"/>
    <cfRule type="duplicateValues" dxfId="7257" priority="3950"/>
    <cfRule type="duplicateValues" dxfId="7256" priority="3951"/>
    <cfRule type="duplicateValues" dxfId="7255" priority="3952"/>
    <cfRule type="duplicateValues" dxfId="7254" priority="3953"/>
  </conditionalFormatting>
  <conditionalFormatting sqref="B216:B220">
    <cfRule type="duplicateValues" dxfId="7253" priority="3776"/>
    <cfRule type="duplicateValues" dxfId="7252" priority="3777"/>
    <cfRule type="duplicateValues" dxfId="7251" priority="3778"/>
    <cfRule type="duplicateValues" dxfId="7250" priority="3779"/>
    <cfRule type="duplicateValues" dxfId="7249" priority="3780"/>
    <cfRule type="duplicateValues" dxfId="7248" priority="3781"/>
    <cfRule type="duplicateValues" dxfId="7247" priority="3782"/>
    <cfRule type="duplicateValues" dxfId="7246" priority="3783"/>
    <cfRule type="duplicateValues" dxfId="7245" priority="3784"/>
    <cfRule type="duplicateValues" dxfId="7244" priority="3785"/>
    <cfRule type="duplicateValues" dxfId="7243" priority="3786"/>
    <cfRule type="duplicateValues" dxfId="7242" priority="3787"/>
    <cfRule type="duplicateValues" dxfId="7241" priority="3788"/>
    <cfRule type="duplicateValues" dxfId="7240" priority="3789"/>
    <cfRule type="duplicateValues" dxfId="7239" priority="3790"/>
    <cfRule type="duplicateValues" dxfId="7238" priority="3791"/>
    <cfRule type="duplicateValues" dxfId="7237" priority="3792"/>
    <cfRule type="duplicateValues" dxfId="7236" priority="3793"/>
    <cfRule type="duplicateValues" dxfId="7235" priority="3794"/>
    <cfRule type="duplicateValues" dxfId="7234" priority="3795"/>
    <cfRule type="duplicateValues" dxfId="7233" priority="3796"/>
    <cfRule type="duplicateValues" dxfId="7232" priority="3797"/>
    <cfRule type="duplicateValues" dxfId="7231" priority="3798"/>
    <cfRule type="duplicateValues" dxfId="7230" priority="3799"/>
    <cfRule type="duplicateValues" dxfId="7229" priority="3800"/>
    <cfRule type="duplicateValues" dxfId="7228" priority="3801"/>
    <cfRule type="duplicateValues" dxfId="7227" priority="3802"/>
    <cfRule type="duplicateValues" dxfId="7226" priority="3803"/>
    <cfRule type="duplicateValues" dxfId="7225" priority="3804"/>
    <cfRule type="duplicateValues" dxfId="7224" priority="3805"/>
    <cfRule type="duplicateValues" dxfId="7223" priority="3806"/>
    <cfRule type="duplicateValues" dxfId="7222" priority="3807"/>
    <cfRule type="duplicateValues" dxfId="7221" priority="3808"/>
    <cfRule type="duplicateValues" dxfId="7220" priority="3809"/>
    <cfRule type="duplicateValues" dxfId="7219" priority="3810"/>
    <cfRule type="duplicateValues" dxfId="7218" priority="3811"/>
    <cfRule type="duplicateValues" dxfId="7217" priority="3812"/>
    <cfRule type="duplicateValues" dxfId="7216" priority="3813"/>
    <cfRule type="duplicateValues" dxfId="7215" priority="3814"/>
    <cfRule type="duplicateValues" dxfId="7214" priority="3815"/>
    <cfRule type="duplicateValues" dxfId="7213" priority="3816"/>
    <cfRule type="duplicateValues" dxfId="7212" priority="3817"/>
    <cfRule type="duplicateValues" dxfId="7211" priority="3818"/>
    <cfRule type="duplicateValues" dxfId="7210" priority="3819"/>
    <cfRule type="duplicateValues" dxfId="7209" priority="3820"/>
    <cfRule type="duplicateValues" dxfId="7208" priority="3821"/>
    <cfRule type="duplicateValues" dxfId="7207" priority="3822"/>
    <cfRule type="duplicateValues" dxfId="7206" priority="3823"/>
    <cfRule type="duplicateValues" dxfId="7205" priority="3824"/>
    <cfRule type="duplicateValues" dxfId="7204" priority="3825"/>
    <cfRule type="duplicateValues" dxfId="7203" priority="3826"/>
    <cfRule type="duplicateValues" dxfId="7202" priority="3827"/>
    <cfRule type="duplicateValues" dxfId="7201" priority="3828"/>
    <cfRule type="duplicateValues" dxfId="7200" priority="3829"/>
    <cfRule type="duplicateValues" dxfId="7199" priority="3830"/>
    <cfRule type="duplicateValues" dxfId="7198" priority="3831"/>
    <cfRule type="duplicateValues" dxfId="7197" priority="3832"/>
    <cfRule type="duplicateValues" dxfId="7196" priority="3833"/>
    <cfRule type="duplicateValues" dxfId="7195" priority="3834"/>
    <cfRule type="duplicateValues" dxfId="7194" priority="3835"/>
    <cfRule type="duplicateValues" dxfId="7193" priority="3836"/>
    <cfRule type="duplicateValues" dxfId="7192" priority="3837"/>
    <cfRule type="duplicateValues" dxfId="7191" priority="3838"/>
    <cfRule type="duplicateValues" dxfId="7190" priority="3839"/>
    <cfRule type="duplicateValues" dxfId="7189" priority="3840"/>
    <cfRule type="duplicateValues" dxfId="7188" priority="3841"/>
    <cfRule type="duplicateValues" dxfId="7187" priority="3842"/>
    <cfRule type="duplicateValues" dxfId="7186" priority="3843"/>
    <cfRule type="duplicateValues" dxfId="7185" priority="3844"/>
    <cfRule type="duplicateValues" dxfId="7184" priority="3845"/>
    <cfRule type="duplicateValues" dxfId="7183" priority="3846"/>
    <cfRule type="duplicateValues" dxfId="7182" priority="3847"/>
    <cfRule type="duplicateValues" dxfId="7181" priority="3848"/>
    <cfRule type="duplicateValues" dxfId="7180" priority="3849"/>
    <cfRule type="duplicateValues" dxfId="7179" priority="3850"/>
    <cfRule type="duplicateValues" dxfId="7178" priority="3851"/>
    <cfRule type="duplicateValues" dxfId="7177" priority="3852"/>
    <cfRule type="duplicateValues" dxfId="7176" priority="3853"/>
    <cfRule type="duplicateValues" dxfId="7175" priority="3854"/>
    <cfRule type="duplicateValues" dxfId="7174" priority="3855"/>
    <cfRule type="duplicateValues" dxfId="7173" priority="3856"/>
    <cfRule type="duplicateValues" dxfId="7172" priority="3857"/>
    <cfRule type="duplicateValues" dxfId="7171" priority="3858"/>
    <cfRule type="duplicateValues" dxfId="7170" priority="3859"/>
    <cfRule type="duplicateValues" dxfId="7169" priority="3860"/>
    <cfRule type="duplicateValues" dxfId="7168" priority="3861"/>
    <cfRule type="duplicateValues" dxfId="7167" priority="3862"/>
    <cfRule type="duplicateValues" dxfId="7166" priority="3863"/>
    <cfRule type="duplicateValues" dxfId="7165" priority="3864"/>
  </conditionalFormatting>
  <conditionalFormatting sqref="B221:B222">
    <cfRule type="duplicateValues" dxfId="7164" priority="3687"/>
    <cfRule type="duplicateValues" dxfId="7163" priority="3688"/>
    <cfRule type="duplicateValues" dxfId="7162" priority="3689"/>
    <cfRule type="duplicateValues" dxfId="7161" priority="3690"/>
    <cfRule type="duplicateValues" dxfId="7160" priority="3691"/>
    <cfRule type="duplicateValues" dxfId="7159" priority="3692"/>
    <cfRule type="duplicateValues" dxfId="7158" priority="3693"/>
    <cfRule type="duplicateValues" dxfId="7157" priority="3694"/>
    <cfRule type="duplicateValues" dxfId="7156" priority="3695"/>
    <cfRule type="duplicateValues" dxfId="7155" priority="3696"/>
    <cfRule type="duplicateValues" dxfId="7154" priority="3697"/>
    <cfRule type="duplicateValues" dxfId="7153" priority="3698"/>
    <cfRule type="duplicateValues" dxfId="7152" priority="3699"/>
    <cfRule type="duplicateValues" dxfId="7151" priority="3700"/>
    <cfRule type="duplicateValues" dxfId="7150" priority="3701"/>
    <cfRule type="duplicateValues" dxfId="7149" priority="3702"/>
    <cfRule type="duplicateValues" dxfId="7148" priority="3703"/>
    <cfRule type="duplicateValues" dxfId="7147" priority="3704"/>
    <cfRule type="duplicateValues" dxfId="7146" priority="3705"/>
    <cfRule type="duplicateValues" dxfId="7145" priority="3706"/>
    <cfRule type="duplicateValues" dxfId="7144" priority="3707"/>
    <cfRule type="duplicateValues" dxfId="7143" priority="3708"/>
    <cfRule type="duplicateValues" dxfId="7142" priority="3709"/>
    <cfRule type="duplicateValues" dxfId="7141" priority="3710"/>
    <cfRule type="duplicateValues" dxfId="7140" priority="3711"/>
    <cfRule type="duplicateValues" dxfId="7139" priority="3712"/>
    <cfRule type="duplicateValues" dxfId="7138" priority="3713"/>
    <cfRule type="duplicateValues" dxfId="7137" priority="3714"/>
    <cfRule type="duplicateValues" dxfId="7136" priority="3715"/>
    <cfRule type="duplicateValues" dxfId="7135" priority="3716"/>
    <cfRule type="duplicateValues" dxfId="7134" priority="3717"/>
    <cfRule type="duplicateValues" dxfId="7133" priority="3718"/>
    <cfRule type="duplicateValues" dxfId="7132" priority="3719"/>
    <cfRule type="duplicateValues" dxfId="7131" priority="3720"/>
    <cfRule type="duplicateValues" dxfId="7130" priority="3721"/>
    <cfRule type="duplicateValues" dxfId="7129" priority="3722"/>
    <cfRule type="duplicateValues" dxfId="7128" priority="3723"/>
    <cfRule type="duplicateValues" dxfId="7127" priority="3724"/>
    <cfRule type="duplicateValues" dxfId="7126" priority="3725"/>
    <cfRule type="duplicateValues" dxfId="7125" priority="3726"/>
    <cfRule type="duplicateValues" dxfId="7124" priority="3727"/>
    <cfRule type="duplicateValues" dxfId="7123" priority="3728"/>
    <cfRule type="duplicateValues" dxfId="7122" priority="3729"/>
    <cfRule type="duplicateValues" dxfId="7121" priority="3730"/>
    <cfRule type="duplicateValues" dxfId="7120" priority="3731"/>
    <cfRule type="duplicateValues" dxfId="7119" priority="3732"/>
    <cfRule type="duplicateValues" dxfId="7118" priority="3733"/>
    <cfRule type="duplicateValues" dxfId="7117" priority="3734"/>
    <cfRule type="duplicateValues" dxfId="7116" priority="3735"/>
    <cfRule type="duplicateValues" dxfId="7115" priority="3736"/>
    <cfRule type="duplicateValues" dxfId="7114" priority="3737"/>
    <cfRule type="duplicateValues" dxfId="7113" priority="3738"/>
    <cfRule type="duplicateValues" dxfId="7112" priority="3739"/>
    <cfRule type="duplicateValues" dxfId="7111" priority="3740"/>
    <cfRule type="duplicateValues" dxfId="7110" priority="3741"/>
    <cfRule type="duplicateValues" dxfId="7109" priority="3742"/>
    <cfRule type="duplicateValues" dxfId="7108" priority="3743"/>
    <cfRule type="duplicateValues" dxfId="7107" priority="3744"/>
    <cfRule type="duplicateValues" dxfId="7106" priority="3745"/>
    <cfRule type="duplicateValues" dxfId="7105" priority="3746"/>
    <cfRule type="duplicateValues" dxfId="7104" priority="3747"/>
    <cfRule type="duplicateValues" dxfId="7103" priority="3748"/>
    <cfRule type="duplicateValues" dxfId="7102" priority="3749"/>
    <cfRule type="duplicateValues" dxfId="7101" priority="3750"/>
    <cfRule type="duplicateValues" dxfId="7100" priority="3751"/>
    <cfRule type="duplicateValues" dxfId="7099" priority="3752"/>
    <cfRule type="duplicateValues" dxfId="7098" priority="3753"/>
    <cfRule type="duplicateValues" dxfId="7097" priority="3754"/>
    <cfRule type="duplicateValues" dxfId="7096" priority="3755"/>
    <cfRule type="duplicateValues" dxfId="7095" priority="3756"/>
    <cfRule type="duplicateValues" dxfId="7094" priority="3757"/>
    <cfRule type="duplicateValues" dxfId="7093" priority="3758"/>
    <cfRule type="duplicateValues" dxfId="7092" priority="3759"/>
    <cfRule type="duplicateValues" dxfId="7091" priority="3760"/>
    <cfRule type="duplicateValues" dxfId="7090" priority="3761"/>
    <cfRule type="duplicateValues" dxfId="7089" priority="3762"/>
    <cfRule type="duplicateValues" dxfId="7088" priority="3763"/>
    <cfRule type="duplicateValues" dxfId="7087" priority="3764"/>
    <cfRule type="duplicateValues" dxfId="7086" priority="3765"/>
    <cfRule type="duplicateValues" dxfId="7085" priority="3766"/>
    <cfRule type="duplicateValues" dxfId="7084" priority="3767"/>
    <cfRule type="duplicateValues" dxfId="7083" priority="3768"/>
    <cfRule type="duplicateValues" dxfId="7082" priority="3769"/>
    <cfRule type="duplicateValues" dxfId="7081" priority="3770"/>
    <cfRule type="duplicateValues" dxfId="7080" priority="3771"/>
    <cfRule type="duplicateValues" dxfId="7079" priority="3772"/>
    <cfRule type="duplicateValues" dxfId="7078" priority="3773"/>
    <cfRule type="duplicateValues" dxfId="7077" priority="3774"/>
    <cfRule type="duplicateValues" dxfId="7076" priority="3775"/>
  </conditionalFormatting>
  <conditionalFormatting sqref="B223:B231">
    <cfRule type="duplicateValues" dxfId="7075" priority="3640"/>
    <cfRule type="duplicateValues" dxfId="7074" priority="3641"/>
    <cfRule type="duplicateValues" dxfId="7073" priority="3642"/>
    <cfRule type="duplicateValues" dxfId="7072" priority="3643"/>
    <cfRule type="duplicateValues" dxfId="7071" priority="3644"/>
    <cfRule type="duplicateValues" dxfId="7070" priority="3645"/>
    <cfRule type="duplicateValues" dxfId="7069" priority="3646"/>
    <cfRule type="duplicateValues" dxfId="7068" priority="3647"/>
    <cfRule type="duplicateValues" dxfId="7067" priority="3648"/>
    <cfRule type="duplicateValues" dxfId="7066" priority="3649"/>
    <cfRule type="duplicateValues" dxfId="7065" priority="3650"/>
    <cfRule type="duplicateValues" dxfId="7064" priority="3651"/>
    <cfRule type="duplicateValues" dxfId="7063" priority="3652"/>
    <cfRule type="duplicateValues" dxfId="7062" priority="3653"/>
    <cfRule type="duplicateValues" dxfId="7061" priority="3654"/>
    <cfRule type="duplicateValues" dxfId="7060" priority="3655"/>
    <cfRule type="duplicateValues" dxfId="7059" priority="3656"/>
    <cfRule type="duplicateValues" dxfId="7058" priority="3657"/>
    <cfRule type="duplicateValues" dxfId="7057" priority="3658"/>
    <cfRule type="duplicateValues" dxfId="7056" priority="3659"/>
    <cfRule type="duplicateValues" dxfId="7055" priority="3660"/>
    <cfRule type="duplicateValues" dxfId="7054" priority="3661"/>
    <cfRule type="duplicateValues" dxfId="7053" priority="3662"/>
    <cfRule type="duplicateValues" dxfId="7052" priority="3663"/>
    <cfRule type="duplicateValues" dxfId="7051" priority="3664"/>
    <cfRule type="duplicateValues" dxfId="7050" priority="3665"/>
    <cfRule type="duplicateValues" dxfId="7049" priority="3666"/>
    <cfRule type="duplicateValues" dxfId="7048" priority="3667"/>
    <cfRule type="duplicateValues" dxfId="7047" priority="3668"/>
    <cfRule type="duplicateValues" dxfId="7046" priority="3669"/>
    <cfRule type="duplicateValues" dxfId="7045" priority="3670"/>
    <cfRule type="duplicateValues" dxfId="7044" priority="3671"/>
    <cfRule type="duplicateValues" dxfId="7043" priority="3672"/>
    <cfRule type="duplicateValues" dxfId="7042" priority="3673"/>
    <cfRule type="duplicateValues" dxfId="7041" priority="3674"/>
    <cfRule type="duplicateValues" dxfId="7040" priority="3675"/>
    <cfRule type="duplicateValues" dxfId="7039" priority="3676"/>
    <cfRule type="duplicateValues" dxfId="7038" priority="3677"/>
    <cfRule type="duplicateValues" dxfId="7037" priority="3678"/>
    <cfRule type="duplicateValues" dxfId="7036" priority="3679"/>
    <cfRule type="duplicateValues" dxfId="7035" priority="3680"/>
    <cfRule type="duplicateValues" dxfId="7034" priority="3681"/>
    <cfRule type="duplicateValues" dxfId="7033" priority="3682"/>
    <cfRule type="duplicateValues" dxfId="7032" priority="3683"/>
    <cfRule type="duplicateValues" dxfId="7031" priority="3684"/>
    <cfRule type="duplicateValues" dxfId="7030" priority="3685"/>
    <cfRule type="duplicateValues" dxfId="7029" priority="3686"/>
    <cfRule type="duplicateValues" dxfId="7028" priority="242609"/>
    <cfRule type="duplicateValues" dxfId="7027" priority="242610"/>
    <cfRule type="duplicateValues" dxfId="7026" priority="242611"/>
    <cfRule type="duplicateValues" dxfId="7025" priority="242612"/>
    <cfRule type="duplicateValues" dxfId="7024" priority="242613"/>
    <cfRule type="duplicateValues" dxfId="7023" priority="242614"/>
    <cfRule type="duplicateValues" dxfId="7022" priority="242615"/>
    <cfRule type="duplicateValues" dxfId="7021" priority="242616"/>
    <cfRule type="duplicateValues" dxfId="7020" priority="242617"/>
    <cfRule type="duplicateValues" dxfId="7019" priority="242618"/>
    <cfRule type="duplicateValues" dxfId="7018" priority="242619"/>
    <cfRule type="duplicateValues" dxfId="7017" priority="242620"/>
    <cfRule type="duplicateValues" dxfId="7016" priority="242621"/>
    <cfRule type="duplicateValues" dxfId="7015" priority="242622"/>
    <cfRule type="duplicateValues" dxfId="7014" priority="242623"/>
    <cfRule type="duplicateValues" dxfId="7013" priority="242624"/>
    <cfRule type="duplicateValues" dxfId="7012" priority="242625"/>
    <cfRule type="duplicateValues" dxfId="7011" priority="242626"/>
    <cfRule type="duplicateValues" dxfId="7010" priority="242627"/>
    <cfRule type="duplicateValues" dxfId="7009" priority="242628"/>
    <cfRule type="duplicateValues" dxfId="7008" priority="242629"/>
    <cfRule type="duplicateValues" dxfId="7007" priority="242630"/>
    <cfRule type="duplicateValues" dxfId="7006" priority="242631"/>
    <cfRule type="duplicateValues" dxfId="7005" priority="242632"/>
    <cfRule type="duplicateValues" dxfId="7004" priority="242633"/>
    <cfRule type="duplicateValues" dxfId="7003" priority="242634"/>
    <cfRule type="duplicateValues" dxfId="7002" priority="242635"/>
    <cfRule type="duplicateValues" dxfId="7001" priority="242636"/>
    <cfRule type="duplicateValues" dxfId="7000" priority="242637"/>
    <cfRule type="duplicateValues" dxfId="6999" priority="242638"/>
    <cfRule type="duplicateValues" dxfId="6998" priority="242639"/>
    <cfRule type="duplicateValues" dxfId="6997" priority="242640"/>
    <cfRule type="duplicateValues" dxfId="6996" priority="242641"/>
    <cfRule type="duplicateValues" dxfId="6995" priority="242642"/>
    <cfRule type="duplicateValues" dxfId="6994" priority="242643"/>
    <cfRule type="duplicateValues" dxfId="6993" priority="242644"/>
    <cfRule type="duplicateValues" dxfId="6992" priority="242645"/>
    <cfRule type="duplicateValues" dxfId="6991" priority="242646"/>
    <cfRule type="duplicateValues" dxfId="6990" priority="242647"/>
    <cfRule type="duplicateValues" dxfId="6989" priority="242648"/>
    <cfRule type="duplicateValues" dxfId="6988" priority="242649"/>
    <cfRule type="duplicateValues" dxfId="6987" priority="242650"/>
  </conditionalFormatting>
  <conditionalFormatting sqref="B232">
    <cfRule type="duplicateValues" dxfId="6986" priority="242651"/>
    <cfRule type="duplicateValues" dxfId="6985" priority="242652"/>
    <cfRule type="duplicateValues" dxfId="6984" priority="242653"/>
    <cfRule type="duplicateValues" dxfId="6983" priority="242654"/>
    <cfRule type="duplicateValues" dxfId="6982" priority="242655"/>
    <cfRule type="duplicateValues" dxfId="6981" priority="242656"/>
    <cfRule type="duplicateValues" dxfId="6980" priority="242657"/>
    <cfRule type="duplicateValues" dxfId="6979" priority="242658"/>
    <cfRule type="duplicateValues" dxfId="6978" priority="242659"/>
    <cfRule type="duplicateValues" dxfId="6977" priority="242660"/>
    <cfRule type="duplicateValues" dxfId="6976" priority="242661"/>
    <cfRule type="duplicateValues" dxfId="6975" priority="242662"/>
    <cfRule type="duplicateValues" dxfId="6974" priority="242663"/>
    <cfRule type="duplicateValues" dxfId="6973" priority="242664"/>
    <cfRule type="duplicateValues" dxfId="6972" priority="242665"/>
    <cfRule type="duplicateValues" dxfId="6971" priority="242666"/>
    <cfRule type="duplicateValues" dxfId="6970" priority="242667"/>
    <cfRule type="duplicateValues" dxfId="6969" priority="242668"/>
    <cfRule type="duplicateValues" dxfId="6968" priority="242669"/>
    <cfRule type="duplicateValues" dxfId="6967" priority="242670"/>
    <cfRule type="duplicateValues" dxfId="6966" priority="242671"/>
    <cfRule type="duplicateValues" dxfId="6965" priority="242672"/>
    <cfRule type="duplicateValues" dxfId="6964" priority="242673"/>
    <cfRule type="duplicateValues" dxfId="6963" priority="242674"/>
    <cfRule type="duplicateValues" dxfId="6962" priority="242675"/>
    <cfRule type="duplicateValues" dxfId="6961" priority="242676"/>
    <cfRule type="duplicateValues" dxfId="6960" priority="242677"/>
    <cfRule type="duplicateValues" dxfId="6959" priority="242678"/>
    <cfRule type="duplicateValues" dxfId="6958" priority="242679"/>
    <cfRule type="duplicateValues" dxfId="6957" priority="242680"/>
    <cfRule type="duplicateValues" dxfId="6956" priority="242681"/>
    <cfRule type="duplicateValues" dxfId="6955" priority="242682"/>
    <cfRule type="duplicateValues" dxfId="6954" priority="242683"/>
    <cfRule type="duplicateValues" dxfId="6953" priority="242684"/>
    <cfRule type="duplicateValues" dxfId="6952" priority="242685"/>
    <cfRule type="duplicateValues" dxfId="6951" priority="242686"/>
    <cfRule type="duplicateValues" dxfId="6950" priority="242687"/>
    <cfRule type="duplicateValues" dxfId="6949" priority="242688"/>
    <cfRule type="duplicateValues" dxfId="6948" priority="242689"/>
    <cfRule type="duplicateValues" dxfId="6947" priority="242690"/>
    <cfRule type="duplicateValues" dxfId="6946" priority="242691"/>
    <cfRule type="duplicateValues" dxfId="6945" priority="242692"/>
    <cfRule type="duplicateValues" dxfId="6944" priority="242735"/>
    <cfRule type="duplicateValues" dxfId="6943" priority="242736"/>
    <cfRule type="duplicateValues" dxfId="6942" priority="242737"/>
    <cfRule type="duplicateValues" dxfId="6941" priority="242738"/>
    <cfRule type="duplicateValues" dxfId="6940" priority="242739"/>
    <cfRule type="duplicateValues" dxfId="6939" priority="242740"/>
    <cfRule type="duplicateValues" dxfId="6938" priority="242741"/>
    <cfRule type="duplicateValues" dxfId="6937" priority="242742"/>
    <cfRule type="duplicateValues" dxfId="6936" priority="242743"/>
    <cfRule type="duplicateValues" dxfId="6935" priority="242744"/>
    <cfRule type="duplicateValues" dxfId="6934" priority="242745"/>
    <cfRule type="duplicateValues" dxfId="6933" priority="242746"/>
    <cfRule type="duplicateValues" dxfId="6932" priority="242747"/>
    <cfRule type="duplicateValues" dxfId="6931" priority="242748"/>
    <cfRule type="duplicateValues" dxfId="6930" priority="242749"/>
    <cfRule type="duplicateValues" dxfId="6929" priority="242750"/>
    <cfRule type="duplicateValues" dxfId="6928" priority="242751"/>
    <cfRule type="duplicateValues" dxfId="6927" priority="242752"/>
    <cfRule type="duplicateValues" dxfId="6926" priority="242753"/>
    <cfRule type="duplicateValues" dxfId="6925" priority="242754"/>
    <cfRule type="duplicateValues" dxfId="6924" priority="242755"/>
    <cfRule type="duplicateValues" dxfId="6923" priority="242756"/>
    <cfRule type="duplicateValues" dxfId="6922" priority="242757"/>
    <cfRule type="duplicateValues" dxfId="6921" priority="242758"/>
    <cfRule type="duplicateValues" dxfId="6920" priority="242759"/>
    <cfRule type="duplicateValues" dxfId="6919" priority="242760"/>
    <cfRule type="duplicateValues" dxfId="6918" priority="242761"/>
    <cfRule type="duplicateValues" dxfId="6917" priority="242762"/>
    <cfRule type="duplicateValues" dxfId="6916" priority="242763"/>
    <cfRule type="duplicateValues" dxfId="6915" priority="242764"/>
    <cfRule type="duplicateValues" dxfId="6914" priority="242765"/>
    <cfRule type="duplicateValues" dxfId="6913" priority="242766"/>
    <cfRule type="duplicateValues" dxfId="6912" priority="242767"/>
    <cfRule type="duplicateValues" dxfId="6911" priority="242768"/>
    <cfRule type="duplicateValues" dxfId="6910" priority="242769"/>
    <cfRule type="duplicateValues" dxfId="6909" priority="242770"/>
    <cfRule type="duplicateValues" dxfId="6908" priority="242771"/>
    <cfRule type="duplicateValues" dxfId="6907" priority="242772"/>
    <cfRule type="duplicateValues" dxfId="6906" priority="242773"/>
    <cfRule type="duplicateValues" dxfId="6905" priority="242774"/>
    <cfRule type="duplicateValues" dxfId="6904" priority="242775"/>
    <cfRule type="duplicateValues" dxfId="6903" priority="242776"/>
    <cfRule type="duplicateValues" dxfId="6902" priority="242782"/>
    <cfRule type="duplicateValues" dxfId="6901" priority="242783"/>
    <cfRule type="duplicateValues" dxfId="6900" priority="242784"/>
    <cfRule type="duplicateValues" dxfId="6899" priority="242785"/>
    <cfRule type="duplicateValues" dxfId="6898" priority="242786"/>
  </conditionalFormatting>
  <conditionalFormatting sqref="B233:B240">
    <cfRule type="duplicateValues" dxfId="6897" priority="3509"/>
    <cfRule type="duplicateValues" dxfId="6896" priority="3510"/>
    <cfRule type="duplicateValues" dxfId="6895" priority="3511"/>
    <cfRule type="duplicateValues" dxfId="6894" priority="3512"/>
    <cfRule type="duplicateValues" dxfId="6893" priority="3513"/>
    <cfRule type="duplicateValues" dxfId="6892" priority="3514"/>
    <cfRule type="duplicateValues" dxfId="6891" priority="3515"/>
    <cfRule type="duplicateValues" dxfId="6890" priority="3516"/>
    <cfRule type="duplicateValues" dxfId="6889" priority="3517"/>
    <cfRule type="duplicateValues" dxfId="6888" priority="3518"/>
    <cfRule type="duplicateValues" dxfId="6887" priority="3519"/>
    <cfRule type="duplicateValues" dxfId="6886" priority="3520"/>
    <cfRule type="duplicateValues" dxfId="6885" priority="3521"/>
    <cfRule type="duplicateValues" dxfId="6884" priority="3522"/>
    <cfRule type="duplicateValues" dxfId="6883" priority="3523"/>
    <cfRule type="duplicateValues" dxfId="6882" priority="3524"/>
    <cfRule type="duplicateValues" dxfId="6881" priority="3525"/>
    <cfRule type="duplicateValues" dxfId="6880" priority="3526"/>
    <cfRule type="duplicateValues" dxfId="6879" priority="3527"/>
    <cfRule type="duplicateValues" dxfId="6878" priority="3528"/>
    <cfRule type="duplicateValues" dxfId="6877" priority="3529"/>
    <cfRule type="duplicateValues" dxfId="6876" priority="3530"/>
    <cfRule type="duplicateValues" dxfId="6875" priority="3531"/>
    <cfRule type="duplicateValues" dxfId="6874" priority="3532"/>
    <cfRule type="duplicateValues" dxfId="6873" priority="3533"/>
    <cfRule type="duplicateValues" dxfId="6872" priority="3534"/>
    <cfRule type="duplicateValues" dxfId="6871" priority="3535"/>
    <cfRule type="duplicateValues" dxfId="6870" priority="3536"/>
    <cfRule type="duplicateValues" dxfId="6869" priority="3537"/>
    <cfRule type="duplicateValues" dxfId="6868" priority="3538"/>
    <cfRule type="duplicateValues" dxfId="6867" priority="3539"/>
    <cfRule type="duplicateValues" dxfId="6866" priority="3540"/>
    <cfRule type="duplicateValues" dxfId="6865" priority="3541"/>
    <cfRule type="duplicateValues" dxfId="6864" priority="3542"/>
    <cfRule type="duplicateValues" dxfId="6863" priority="3543"/>
    <cfRule type="duplicateValues" dxfId="6862" priority="3544"/>
    <cfRule type="duplicateValues" dxfId="6861" priority="3545"/>
    <cfRule type="duplicateValues" dxfId="6860" priority="3546"/>
    <cfRule type="duplicateValues" dxfId="6859" priority="3547"/>
    <cfRule type="duplicateValues" dxfId="6858" priority="3548"/>
    <cfRule type="duplicateValues" dxfId="6857" priority="3549"/>
    <cfRule type="duplicateValues" dxfId="6856" priority="3550"/>
    <cfRule type="duplicateValues" dxfId="6855" priority="3551"/>
    <cfRule type="duplicateValues" dxfId="6854" priority="3552"/>
    <cfRule type="duplicateValues" dxfId="6853" priority="3553"/>
    <cfRule type="duplicateValues" dxfId="6852" priority="3554"/>
    <cfRule type="duplicateValues" dxfId="6851" priority="3555"/>
    <cfRule type="duplicateValues" dxfId="6850" priority="3556"/>
    <cfRule type="duplicateValues" dxfId="6849" priority="3557"/>
    <cfRule type="duplicateValues" dxfId="6848" priority="3558"/>
    <cfRule type="duplicateValues" dxfId="6847" priority="3559"/>
    <cfRule type="duplicateValues" dxfId="6846" priority="3560"/>
    <cfRule type="duplicateValues" dxfId="6845" priority="3561"/>
    <cfRule type="duplicateValues" dxfId="6844" priority="3562"/>
    <cfRule type="duplicateValues" dxfId="6843" priority="3563"/>
    <cfRule type="duplicateValues" dxfId="6842" priority="3564"/>
    <cfRule type="duplicateValues" dxfId="6841" priority="3565"/>
    <cfRule type="duplicateValues" dxfId="6840" priority="3566"/>
    <cfRule type="duplicateValues" dxfId="6839" priority="3567"/>
    <cfRule type="duplicateValues" dxfId="6838" priority="3568"/>
    <cfRule type="duplicateValues" dxfId="6837" priority="3569"/>
    <cfRule type="duplicateValues" dxfId="6836" priority="3570"/>
    <cfRule type="duplicateValues" dxfId="6835" priority="3571"/>
    <cfRule type="duplicateValues" dxfId="6834" priority="3572"/>
    <cfRule type="duplicateValues" dxfId="6833" priority="3573"/>
    <cfRule type="duplicateValues" dxfId="6832" priority="3574"/>
    <cfRule type="duplicateValues" dxfId="6831" priority="3575"/>
    <cfRule type="duplicateValues" dxfId="6830" priority="3576"/>
    <cfRule type="duplicateValues" dxfId="6829" priority="3577"/>
    <cfRule type="duplicateValues" dxfId="6828" priority="3578"/>
    <cfRule type="duplicateValues" dxfId="6827" priority="3579"/>
    <cfRule type="duplicateValues" dxfId="6826" priority="3580"/>
    <cfRule type="duplicateValues" dxfId="6825" priority="3581"/>
    <cfRule type="duplicateValues" dxfId="6824" priority="3582"/>
    <cfRule type="duplicateValues" dxfId="6823" priority="3583"/>
    <cfRule type="duplicateValues" dxfId="6822" priority="3584"/>
    <cfRule type="duplicateValues" dxfId="6821" priority="3585"/>
    <cfRule type="duplicateValues" dxfId="6820" priority="3586"/>
    <cfRule type="duplicateValues" dxfId="6819" priority="3587"/>
    <cfRule type="duplicateValues" dxfId="6818" priority="3588"/>
    <cfRule type="duplicateValues" dxfId="6817" priority="3589"/>
    <cfRule type="duplicateValues" dxfId="6816" priority="3590"/>
    <cfRule type="duplicateValues" dxfId="6815" priority="3591"/>
    <cfRule type="duplicateValues" dxfId="6814" priority="3592"/>
    <cfRule type="duplicateValues" dxfId="6813" priority="3593"/>
    <cfRule type="duplicateValues" dxfId="6812" priority="3594"/>
    <cfRule type="duplicateValues" dxfId="6811" priority="3595"/>
    <cfRule type="duplicateValues" dxfId="6810" priority="3596"/>
    <cfRule type="duplicateValues" dxfId="6809" priority="3597"/>
  </conditionalFormatting>
  <conditionalFormatting sqref="B241:B245">
    <cfRule type="duplicateValues" dxfId="6808" priority="3462"/>
    <cfRule type="duplicateValues" dxfId="6807" priority="3463"/>
    <cfRule type="duplicateValues" dxfId="6806" priority="3464"/>
    <cfRule type="duplicateValues" dxfId="6805" priority="3465"/>
    <cfRule type="duplicateValues" dxfId="6804" priority="3466"/>
    <cfRule type="duplicateValues" dxfId="6803" priority="3467"/>
    <cfRule type="duplicateValues" dxfId="6802" priority="3468"/>
    <cfRule type="duplicateValues" dxfId="6801" priority="3469"/>
    <cfRule type="duplicateValues" dxfId="6800" priority="3470"/>
    <cfRule type="duplicateValues" dxfId="6799" priority="3471"/>
    <cfRule type="duplicateValues" dxfId="6798" priority="3472"/>
    <cfRule type="duplicateValues" dxfId="6797" priority="3473"/>
    <cfRule type="duplicateValues" dxfId="6796" priority="3474"/>
    <cfRule type="duplicateValues" dxfId="6795" priority="3475"/>
    <cfRule type="duplicateValues" dxfId="6794" priority="3476"/>
    <cfRule type="duplicateValues" dxfId="6793" priority="3477"/>
    <cfRule type="duplicateValues" dxfId="6792" priority="3478"/>
    <cfRule type="duplicateValues" dxfId="6791" priority="3479"/>
    <cfRule type="duplicateValues" dxfId="6790" priority="3480"/>
    <cfRule type="duplicateValues" dxfId="6789" priority="3481"/>
    <cfRule type="duplicateValues" dxfId="6788" priority="3482"/>
    <cfRule type="duplicateValues" dxfId="6787" priority="3483"/>
    <cfRule type="duplicateValues" dxfId="6786" priority="3484"/>
    <cfRule type="duplicateValues" dxfId="6785" priority="3485"/>
    <cfRule type="duplicateValues" dxfId="6784" priority="3486"/>
    <cfRule type="duplicateValues" dxfId="6783" priority="3487"/>
    <cfRule type="duplicateValues" dxfId="6782" priority="3488"/>
    <cfRule type="duplicateValues" dxfId="6781" priority="3489"/>
    <cfRule type="duplicateValues" dxfId="6780" priority="3490"/>
    <cfRule type="duplicateValues" dxfId="6779" priority="3491"/>
    <cfRule type="duplicateValues" dxfId="6778" priority="3492"/>
    <cfRule type="duplicateValues" dxfId="6777" priority="3493"/>
    <cfRule type="duplicateValues" dxfId="6776" priority="3494"/>
    <cfRule type="duplicateValues" dxfId="6775" priority="3495"/>
    <cfRule type="duplicateValues" dxfId="6774" priority="3496"/>
    <cfRule type="duplicateValues" dxfId="6773" priority="3497"/>
    <cfRule type="duplicateValues" dxfId="6772" priority="3498"/>
    <cfRule type="duplicateValues" dxfId="6771" priority="3499"/>
    <cfRule type="duplicateValues" dxfId="6770" priority="3500"/>
    <cfRule type="duplicateValues" dxfId="6769" priority="3501"/>
    <cfRule type="duplicateValues" dxfId="6768" priority="3502"/>
    <cfRule type="duplicateValues" dxfId="6767" priority="3503"/>
    <cfRule type="duplicateValues" dxfId="6766" priority="3504"/>
    <cfRule type="duplicateValues" dxfId="6765" priority="3505"/>
    <cfRule type="duplicateValues" dxfId="6764" priority="3506"/>
    <cfRule type="duplicateValues" dxfId="6763" priority="3507"/>
    <cfRule type="duplicateValues" dxfId="6762" priority="3508"/>
    <cfRule type="duplicateValues" dxfId="6761" priority="242279"/>
    <cfRule type="duplicateValues" dxfId="6760" priority="242280"/>
    <cfRule type="duplicateValues" dxfId="6759" priority="242281"/>
    <cfRule type="duplicateValues" dxfId="6758" priority="242282"/>
    <cfRule type="duplicateValues" dxfId="6757" priority="242283"/>
    <cfRule type="duplicateValues" dxfId="6756" priority="242284"/>
    <cfRule type="duplicateValues" dxfId="6755" priority="242285"/>
    <cfRule type="duplicateValues" dxfId="6754" priority="242286"/>
    <cfRule type="duplicateValues" dxfId="6753" priority="242287"/>
    <cfRule type="duplicateValues" dxfId="6752" priority="242288"/>
    <cfRule type="duplicateValues" dxfId="6751" priority="242289"/>
    <cfRule type="duplicateValues" dxfId="6750" priority="242290"/>
    <cfRule type="duplicateValues" dxfId="6749" priority="242291"/>
    <cfRule type="duplicateValues" dxfId="6748" priority="242292"/>
    <cfRule type="duplicateValues" dxfId="6747" priority="242293"/>
    <cfRule type="duplicateValues" dxfId="6746" priority="242294"/>
    <cfRule type="duplicateValues" dxfId="6745" priority="242295"/>
    <cfRule type="duplicateValues" dxfId="6744" priority="242296"/>
    <cfRule type="duplicateValues" dxfId="6743" priority="242297"/>
    <cfRule type="duplicateValues" dxfId="6742" priority="242298"/>
    <cfRule type="duplicateValues" dxfId="6741" priority="242299"/>
    <cfRule type="duplicateValues" dxfId="6740" priority="242300"/>
    <cfRule type="duplicateValues" dxfId="6739" priority="242301"/>
    <cfRule type="duplicateValues" dxfId="6738" priority="242302"/>
    <cfRule type="duplicateValues" dxfId="6737" priority="242303"/>
    <cfRule type="duplicateValues" dxfId="6736" priority="242304"/>
    <cfRule type="duplicateValues" dxfId="6735" priority="242305"/>
    <cfRule type="duplicateValues" dxfId="6734" priority="242306"/>
    <cfRule type="duplicateValues" dxfId="6733" priority="242307"/>
    <cfRule type="duplicateValues" dxfId="6732" priority="242308"/>
    <cfRule type="duplicateValues" dxfId="6731" priority="242309"/>
    <cfRule type="duplicateValues" dxfId="6730" priority="242310"/>
    <cfRule type="duplicateValues" dxfId="6729" priority="242311"/>
    <cfRule type="duplicateValues" dxfId="6728" priority="242312"/>
    <cfRule type="duplicateValues" dxfId="6727" priority="242313"/>
    <cfRule type="duplicateValues" dxfId="6726" priority="242314"/>
    <cfRule type="duplicateValues" dxfId="6725" priority="242315"/>
    <cfRule type="duplicateValues" dxfId="6724" priority="242316"/>
    <cfRule type="duplicateValues" dxfId="6723" priority="242317"/>
    <cfRule type="duplicateValues" dxfId="6722" priority="242318"/>
    <cfRule type="duplicateValues" dxfId="6721" priority="242319"/>
    <cfRule type="duplicateValues" dxfId="6720" priority="242320"/>
  </conditionalFormatting>
  <conditionalFormatting sqref="B246:B249">
    <cfRule type="duplicateValues" dxfId="6719" priority="242321"/>
    <cfRule type="duplicateValues" dxfId="6718" priority="242322"/>
    <cfRule type="duplicateValues" dxfId="6717" priority="242323"/>
    <cfRule type="duplicateValues" dxfId="6716" priority="242324"/>
    <cfRule type="duplicateValues" dxfId="6715" priority="242325"/>
    <cfRule type="duplicateValues" dxfId="6714" priority="242326"/>
    <cfRule type="duplicateValues" dxfId="6713" priority="242327"/>
    <cfRule type="duplicateValues" dxfId="6712" priority="242328"/>
    <cfRule type="duplicateValues" dxfId="6711" priority="242329"/>
    <cfRule type="duplicateValues" dxfId="6710" priority="242330"/>
    <cfRule type="duplicateValues" dxfId="6709" priority="242331"/>
    <cfRule type="duplicateValues" dxfId="6708" priority="242332"/>
    <cfRule type="duplicateValues" dxfId="6707" priority="242333"/>
    <cfRule type="duplicateValues" dxfId="6706" priority="242334"/>
    <cfRule type="duplicateValues" dxfId="6705" priority="242335"/>
    <cfRule type="duplicateValues" dxfId="6704" priority="242336"/>
    <cfRule type="duplicateValues" dxfId="6703" priority="242337"/>
    <cfRule type="duplicateValues" dxfId="6702" priority="242338"/>
    <cfRule type="duplicateValues" dxfId="6701" priority="242339"/>
    <cfRule type="duplicateValues" dxfId="6700" priority="242340"/>
    <cfRule type="duplicateValues" dxfId="6699" priority="242341"/>
    <cfRule type="duplicateValues" dxfId="6698" priority="242342"/>
    <cfRule type="duplicateValues" dxfId="6697" priority="242343"/>
    <cfRule type="duplicateValues" dxfId="6696" priority="242344"/>
    <cfRule type="duplicateValues" dxfId="6695" priority="242345"/>
    <cfRule type="duplicateValues" dxfId="6694" priority="242346"/>
    <cfRule type="duplicateValues" dxfId="6693" priority="242347"/>
    <cfRule type="duplicateValues" dxfId="6692" priority="242348"/>
    <cfRule type="duplicateValues" dxfId="6691" priority="242349"/>
    <cfRule type="duplicateValues" dxfId="6690" priority="242350"/>
    <cfRule type="duplicateValues" dxfId="6689" priority="242351"/>
    <cfRule type="duplicateValues" dxfId="6688" priority="242352"/>
    <cfRule type="duplicateValues" dxfId="6687" priority="242353"/>
    <cfRule type="duplicateValues" dxfId="6686" priority="242354"/>
    <cfRule type="duplicateValues" dxfId="6685" priority="242355"/>
    <cfRule type="duplicateValues" dxfId="6684" priority="242356"/>
    <cfRule type="duplicateValues" dxfId="6683" priority="242357"/>
    <cfRule type="duplicateValues" dxfId="6682" priority="242358"/>
    <cfRule type="duplicateValues" dxfId="6681" priority="242359"/>
    <cfRule type="duplicateValues" dxfId="6680" priority="242360"/>
    <cfRule type="duplicateValues" dxfId="6679" priority="242361"/>
    <cfRule type="duplicateValues" dxfId="6678" priority="242362"/>
    <cfRule type="duplicateValues" dxfId="6677" priority="242405"/>
    <cfRule type="duplicateValues" dxfId="6676" priority="242406"/>
    <cfRule type="duplicateValues" dxfId="6675" priority="242407"/>
    <cfRule type="duplicateValues" dxfId="6674" priority="242408"/>
    <cfRule type="duplicateValues" dxfId="6673" priority="242409"/>
    <cfRule type="duplicateValues" dxfId="6672" priority="242410"/>
    <cfRule type="duplicateValues" dxfId="6671" priority="242411"/>
    <cfRule type="duplicateValues" dxfId="6670" priority="242412"/>
    <cfRule type="duplicateValues" dxfId="6669" priority="242413"/>
    <cfRule type="duplicateValues" dxfId="6668" priority="242414"/>
    <cfRule type="duplicateValues" dxfId="6667" priority="242415"/>
    <cfRule type="duplicateValues" dxfId="6666" priority="242416"/>
    <cfRule type="duplicateValues" dxfId="6665" priority="242417"/>
    <cfRule type="duplicateValues" dxfId="6664" priority="242418"/>
    <cfRule type="duplicateValues" dxfId="6663" priority="242419"/>
    <cfRule type="duplicateValues" dxfId="6662" priority="242420"/>
    <cfRule type="duplicateValues" dxfId="6661" priority="242421"/>
    <cfRule type="duplicateValues" dxfId="6660" priority="242422"/>
    <cfRule type="duplicateValues" dxfId="6659" priority="242423"/>
    <cfRule type="duplicateValues" dxfId="6658" priority="242424"/>
    <cfRule type="duplicateValues" dxfId="6657" priority="242425"/>
    <cfRule type="duplicateValues" dxfId="6656" priority="242426"/>
    <cfRule type="duplicateValues" dxfId="6655" priority="242427"/>
    <cfRule type="duplicateValues" dxfId="6654" priority="242428"/>
    <cfRule type="duplicateValues" dxfId="6653" priority="242429"/>
    <cfRule type="duplicateValues" dxfId="6652" priority="242430"/>
    <cfRule type="duplicateValues" dxfId="6651" priority="242431"/>
    <cfRule type="duplicateValues" dxfId="6650" priority="242432"/>
    <cfRule type="duplicateValues" dxfId="6649" priority="242433"/>
    <cfRule type="duplicateValues" dxfId="6648" priority="242434"/>
    <cfRule type="duplicateValues" dxfId="6647" priority="242435"/>
    <cfRule type="duplicateValues" dxfId="6646" priority="242436"/>
    <cfRule type="duplicateValues" dxfId="6645" priority="242437"/>
    <cfRule type="duplicateValues" dxfId="6644" priority="242438"/>
    <cfRule type="duplicateValues" dxfId="6643" priority="242439"/>
    <cfRule type="duplicateValues" dxfId="6642" priority="242440"/>
    <cfRule type="duplicateValues" dxfId="6641" priority="242441"/>
    <cfRule type="duplicateValues" dxfId="6640" priority="242442"/>
    <cfRule type="duplicateValues" dxfId="6639" priority="242443"/>
    <cfRule type="duplicateValues" dxfId="6638" priority="242444"/>
    <cfRule type="duplicateValues" dxfId="6637" priority="242445"/>
    <cfRule type="duplicateValues" dxfId="6636" priority="242446"/>
    <cfRule type="duplicateValues" dxfId="6635" priority="242452"/>
    <cfRule type="duplicateValues" dxfId="6634" priority="242453"/>
    <cfRule type="duplicateValues" dxfId="6633" priority="242454"/>
    <cfRule type="duplicateValues" dxfId="6632" priority="242455"/>
    <cfRule type="duplicateValues" dxfId="6631" priority="242456"/>
  </conditionalFormatting>
  <conditionalFormatting sqref="B250:B257">
    <cfRule type="duplicateValues" dxfId="6630" priority="3331"/>
    <cfRule type="duplicateValues" dxfId="6629" priority="3332"/>
    <cfRule type="duplicateValues" dxfId="6628" priority="3333"/>
    <cfRule type="duplicateValues" dxfId="6627" priority="3334"/>
    <cfRule type="duplicateValues" dxfId="6626" priority="3335"/>
    <cfRule type="duplicateValues" dxfId="6625" priority="3336"/>
    <cfRule type="duplicateValues" dxfId="6624" priority="3337"/>
    <cfRule type="duplicateValues" dxfId="6623" priority="3338"/>
    <cfRule type="duplicateValues" dxfId="6622" priority="3339"/>
    <cfRule type="duplicateValues" dxfId="6621" priority="3340"/>
    <cfRule type="duplicateValues" dxfId="6620" priority="3341"/>
    <cfRule type="duplicateValues" dxfId="6619" priority="3342"/>
    <cfRule type="duplicateValues" dxfId="6618" priority="3343"/>
    <cfRule type="duplicateValues" dxfId="6617" priority="3344"/>
    <cfRule type="duplicateValues" dxfId="6616" priority="3345"/>
    <cfRule type="duplicateValues" dxfId="6615" priority="3346"/>
    <cfRule type="duplicateValues" dxfId="6614" priority="3347"/>
    <cfRule type="duplicateValues" dxfId="6613" priority="3348"/>
    <cfRule type="duplicateValues" dxfId="6612" priority="3349"/>
    <cfRule type="duplicateValues" dxfId="6611" priority="3350"/>
    <cfRule type="duplicateValues" dxfId="6610" priority="3351"/>
    <cfRule type="duplicateValues" dxfId="6609" priority="3352"/>
    <cfRule type="duplicateValues" dxfId="6608" priority="3353"/>
    <cfRule type="duplicateValues" dxfId="6607" priority="3354"/>
    <cfRule type="duplicateValues" dxfId="6606" priority="3355"/>
    <cfRule type="duplicateValues" dxfId="6605" priority="3356"/>
    <cfRule type="duplicateValues" dxfId="6604" priority="3357"/>
    <cfRule type="duplicateValues" dxfId="6603" priority="3358"/>
    <cfRule type="duplicateValues" dxfId="6602" priority="3359"/>
    <cfRule type="duplicateValues" dxfId="6601" priority="3360"/>
    <cfRule type="duplicateValues" dxfId="6600" priority="3361"/>
    <cfRule type="duplicateValues" dxfId="6599" priority="3362"/>
    <cfRule type="duplicateValues" dxfId="6598" priority="3363"/>
    <cfRule type="duplicateValues" dxfId="6597" priority="3364"/>
    <cfRule type="duplicateValues" dxfId="6596" priority="3365"/>
    <cfRule type="duplicateValues" dxfId="6595" priority="3366"/>
    <cfRule type="duplicateValues" dxfId="6594" priority="3367"/>
    <cfRule type="duplicateValues" dxfId="6593" priority="3368"/>
    <cfRule type="duplicateValues" dxfId="6592" priority="3369"/>
    <cfRule type="duplicateValues" dxfId="6591" priority="3370"/>
    <cfRule type="duplicateValues" dxfId="6590" priority="3371"/>
    <cfRule type="duplicateValues" dxfId="6589" priority="3372"/>
    <cfRule type="duplicateValues" dxfId="6588" priority="3373"/>
    <cfRule type="duplicateValues" dxfId="6587" priority="3374"/>
    <cfRule type="duplicateValues" dxfId="6586" priority="3375"/>
    <cfRule type="duplicateValues" dxfId="6585" priority="3376"/>
    <cfRule type="duplicateValues" dxfId="6584" priority="3377"/>
    <cfRule type="duplicateValues" dxfId="6583" priority="3378"/>
    <cfRule type="duplicateValues" dxfId="6582" priority="3379"/>
    <cfRule type="duplicateValues" dxfId="6581" priority="3380"/>
    <cfRule type="duplicateValues" dxfId="6580" priority="3381"/>
    <cfRule type="duplicateValues" dxfId="6579" priority="3382"/>
    <cfRule type="duplicateValues" dxfId="6578" priority="3383"/>
    <cfRule type="duplicateValues" dxfId="6577" priority="3384"/>
    <cfRule type="duplicateValues" dxfId="6576" priority="3385"/>
    <cfRule type="duplicateValues" dxfId="6575" priority="3386"/>
    <cfRule type="duplicateValues" dxfId="6574" priority="3387"/>
    <cfRule type="duplicateValues" dxfId="6573" priority="3388"/>
    <cfRule type="duplicateValues" dxfId="6572" priority="3389"/>
    <cfRule type="duplicateValues" dxfId="6571" priority="3390"/>
    <cfRule type="duplicateValues" dxfId="6570" priority="3391"/>
    <cfRule type="duplicateValues" dxfId="6569" priority="3392"/>
    <cfRule type="duplicateValues" dxfId="6568" priority="3393"/>
    <cfRule type="duplicateValues" dxfId="6567" priority="3394"/>
    <cfRule type="duplicateValues" dxfId="6566" priority="3395"/>
    <cfRule type="duplicateValues" dxfId="6565" priority="3396"/>
    <cfRule type="duplicateValues" dxfId="6564" priority="3397"/>
    <cfRule type="duplicateValues" dxfId="6563" priority="3398"/>
    <cfRule type="duplicateValues" dxfId="6562" priority="3399"/>
    <cfRule type="duplicateValues" dxfId="6561" priority="3400"/>
    <cfRule type="duplicateValues" dxfId="6560" priority="3401"/>
    <cfRule type="duplicateValues" dxfId="6559" priority="3402"/>
    <cfRule type="duplicateValues" dxfId="6558" priority="3403"/>
    <cfRule type="duplicateValues" dxfId="6557" priority="3404"/>
    <cfRule type="duplicateValues" dxfId="6556" priority="3405"/>
    <cfRule type="duplicateValues" dxfId="6555" priority="3406"/>
    <cfRule type="duplicateValues" dxfId="6554" priority="3407"/>
    <cfRule type="duplicateValues" dxfId="6553" priority="3408"/>
    <cfRule type="duplicateValues" dxfId="6552" priority="3409"/>
    <cfRule type="duplicateValues" dxfId="6551" priority="3410"/>
    <cfRule type="duplicateValues" dxfId="6550" priority="3411"/>
    <cfRule type="duplicateValues" dxfId="6549" priority="3412"/>
    <cfRule type="duplicateValues" dxfId="6548" priority="3413"/>
    <cfRule type="duplicateValues" dxfId="6547" priority="3414"/>
    <cfRule type="duplicateValues" dxfId="6546" priority="3415"/>
    <cfRule type="duplicateValues" dxfId="6545" priority="3416"/>
    <cfRule type="duplicateValues" dxfId="6544" priority="3417"/>
    <cfRule type="duplicateValues" dxfId="6543" priority="3418"/>
    <cfRule type="duplicateValues" dxfId="6542" priority="3419"/>
  </conditionalFormatting>
  <conditionalFormatting sqref="B258:B268">
    <cfRule type="duplicateValues" dxfId="6541" priority="3242"/>
    <cfRule type="duplicateValues" dxfId="6540" priority="3243"/>
    <cfRule type="duplicateValues" dxfId="6539" priority="3244"/>
    <cfRule type="duplicateValues" dxfId="6538" priority="3245"/>
    <cfRule type="duplicateValues" dxfId="6537" priority="3246"/>
    <cfRule type="duplicateValues" dxfId="6536" priority="3247"/>
    <cfRule type="duplicateValues" dxfId="6535" priority="3248"/>
    <cfRule type="duplicateValues" dxfId="6534" priority="3249"/>
    <cfRule type="duplicateValues" dxfId="6533" priority="3250"/>
    <cfRule type="duplicateValues" dxfId="6532" priority="3251"/>
    <cfRule type="duplicateValues" dxfId="6531" priority="3252"/>
    <cfRule type="duplicateValues" dxfId="6530" priority="3253"/>
    <cfRule type="duplicateValues" dxfId="6529" priority="3254"/>
    <cfRule type="duplicateValues" dxfId="6528" priority="3255"/>
    <cfRule type="duplicateValues" dxfId="6527" priority="3256"/>
    <cfRule type="duplicateValues" dxfId="6526" priority="3257"/>
    <cfRule type="duplicateValues" dxfId="6525" priority="3258"/>
    <cfRule type="duplicateValues" dxfId="6524" priority="3259"/>
    <cfRule type="duplicateValues" dxfId="6523" priority="3260"/>
    <cfRule type="duplicateValues" dxfId="6522" priority="3261"/>
    <cfRule type="duplicateValues" dxfId="6521" priority="3262"/>
    <cfRule type="duplicateValues" dxfId="6520" priority="3263"/>
    <cfRule type="duplicateValues" dxfId="6519" priority="3264"/>
    <cfRule type="duplicateValues" dxfId="6518" priority="3265"/>
    <cfRule type="duplicateValues" dxfId="6517" priority="3266"/>
    <cfRule type="duplicateValues" dxfId="6516" priority="3267"/>
    <cfRule type="duplicateValues" dxfId="6515" priority="3268"/>
    <cfRule type="duplicateValues" dxfId="6514" priority="3269"/>
    <cfRule type="duplicateValues" dxfId="6513" priority="3270"/>
    <cfRule type="duplicateValues" dxfId="6512" priority="3271"/>
    <cfRule type="duplicateValues" dxfId="6511" priority="3272"/>
    <cfRule type="duplicateValues" dxfId="6510" priority="3273"/>
    <cfRule type="duplicateValues" dxfId="6509" priority="3274"/>
    <cfRule type="duplicateValues" dxfId="6508" priority="3275"/>
    <cfRule type="duplicateValues" dxfId="6507" priority="3276"/>
    <cfRule type="duplicateValues" dxfId="6506" priority="3277"/>
    <cfRule type="duplicateValues" dxfId="6505" priority="3278"/>
    <cfRule type="duplicateValues" dxfId="6504" priority="3279"/>
    <cfRule type="duplicateValues" dxfId="6503" priority="3280"/>
    <cfRule type="duplicateValues" dxfId="6502" priority="3281"/>
    <cfRule type="duplicateValues" dxfId="6501" priority="3282"/>
    <cfRule type="duplicateValues" dxfId="6500" priority="3283"/>
    <cfRule type="duplicateValues" dxfId="6499" priority="3284"/>
    <cfRule type="duplicateValues" dxfId="6498" priority="3285"/>
    <cfRule type="duplicateValues" dxfId="6497" priority="3286"/>
    <cfRule type="duplicateValues" dxfId="6496" priority="3287"/>
    <cfRule type="duplicateValues" dxfId="6495" priority="3288"/>
    <cfRule type="duplicateValues" dxfId="6494" priority="3289"/>
    <cfRule type="duplicateValues" dxfId="6493" priority="3290"/>
    <cfRule type="duplicateValues" dxfId="6492" priority="3291"/>
    <cfRule type="duplicateValues" dxfId="6491" priority="3292"/>
    <cfRule type="duplicateValues" dxfId="6490" priority="3293"/>
    <cfRule type="duplicateValues" dxfId="6489" priority="3294"/>
    <cfRule type="duplicateValues" dxfId="6488" priority="3295"/>
    <cfRule type="duplicateValues" dxfId="6487" priority="3296"/>
    <cfRule type="duplicateValues" dxfId="6486" priority="3297"/>
    <cfRule type="duplicateValues" dxfId="6485" priority="3298"/>
    <cfRule type="duplicateValues" dxfId="6484" priority="3299"/>
    <cfRule type="duplicateValues" dxfId="6483" priority="3300"/>
    <cfRule type="duplicateValues" dxfId="6482" priority="3301"/>
    <cfRule type="duplicateValues" dxfId="6481" priority="3302"/>
    <cfRule type="duplicateValues" dxfId="6480" priority="3303"/>
    <cfRule type="duplicateValues" dxfId="6479" priority="3304"/>
    <cfRule type="duplicateValues" dxfId="6478" priority="3305"/>
    <cfRule type="duplicateValues" dxfId="6477" priority="3306"/>
    <cfRule type="duplicateValues" dxfId="6476" priority="3307"/>
    <cfRule type="duplicateValues" dxfId="6475" priority="3308"/>
    <cfRule type="duplicateValues" dxfId="6474" priority="3309"/>
    <cfRule type="duplicateValues" dxfId="6473" priority="3310"/>
    <cfRule type="duplicateValues" dxfId="6472" priority="3311"/>
    <cfRule type="duplicateValues" dxfId="6471" priority="3312"/>
    <cfRule type="duplicateValues" dxfId="6470" priority="3313"/>
    <cfRule type="duplicateValues" dxfId="6469" priority="3314"/>
    <cfRule type="duplicateValues" dxfId="6468" priority="3315"/>
    <cfRule type="duplicateValues" dxfId="6467" priority="3316"/>
    <cfRule type="duplicateValues" dxfId="6466" priority="3317"/>
    <cfRule type="duplicateValues" dxfId="6465" priority="3318"/>
    <cfRule type="duplicateValues" dxfId="6464" priority="3319"/>
    <cfRule type="duplicateValues" dxfId="6463" priority="3320"/>
    <cfRule type="duplicateValues" dxfId="6462" priority="3321"/>
    <cfRule type="duplicateValues" dxfId="6461" priority="3322"/>
    <cfRule type="duplicateValues" dxfId="6460" priority="3323"/>
    <cfRule type="duplicateValues" dxfId="6459" priority="3324"/>
    <cfRule type="duplicateValues" dxfId="6458" priority="3325"/>
    <cfRule type="duplicateValues" dxfId="6457" priority="3326"/>
    <cfRule type="duplicateValues" dxfId="6456" priority="3327"/>
    <cfRule type="duplicateValues" dxfId="6455" priority="3328"/>
    <cfRule type="duplicateValues" dxfId="6454" priority="3329"/>
    <cfRule type="duplicateValues" dxfId="6453" priority="3330"/>
  </conditionalFormatting>
  <conditionalFormatting sqref="B269:B270">
    <cfRule type="duplicateValues" dxfId="6452" priority="3153"/>
    <cfRule type="duplicateValues" dxfId="6451" priority="3154"/>
    <cfRule type="duplicateValues" dxfId="6450" priority="3155"/>
    <cfRule type="duplicateValues" dxfId="6449" priority="3156"/>
    <cfRule type="duplicateValues" dxfId="6448" priority="3157"/>
    <cfRule type="duplicateValues" dxfId="6447" priority="3158"/>
    <cfRule type="duplicateValues" dxfId="6446" priority="3159"/>
    <cfRule type="duplicateValues" dxfId="6445" priority="3160"/>
    <cfRule type="duplicateValues" dxfId="6444" priority="3161"/>
    <cfRule type="duplicateValues" dxfId="6443" priority="3162"/>
    <cfRule type="duplicateValues" dxfId="6442" priority="3163"/>
    <cfRule type="duplicateValues" dxfId="6441" priority="3164"/>
    <cfRule type="duplicateValues" dxfId="6440" priority="3165"/>
    <cfRule type="duplicateValues" dxfId="6439" priority="3166"/>
    <cfRule type="duplicateValues" dxfId="6438" priority="3167"/>
    <cfRule type="duplicateValues" dxfId="6437" priority="3168"/>
    <cfRule type="duplicateValues" dxfId="6436" priority="3169"/>
    <cfRule type="duplicateValues" dxfId="6435" priority="3170"/>
    <cfRule type="duplicateValues" dxfId="6434" priority="3171"/>
    <cfRule type="duplicateValues" dxfId="6433" priority="3172"/>
    <cfRule type="duplicateValues" dxfId="6432" priority="3173"/>
    <cfRule type="duplicateValues" dxfId="6431" priority="3174"/>
    <cfRule type="duplicateValues" dxfId="6430" priority="3175"/>
    <cfRule type="duplicateValues" dxfId="6429" priority="3176"/>
    <cfRule type="duplicateValues" dxfId="6428" priority="3177"/>
    <cfRule type="duplicateValues" dxfId="6427" priority="3178"/>
    <cfRule type="duplicateValues" dxfId="6426" priority="3179"/>
    <cfRule type="duplicateValues" dxfId="6425" priority="3180"/>
    <cfRule type="duplicateValues" dxfId="6424" priority="3181"/>
    <cfRule type="duplicateValues" dxfId="6423" priority="3182"/>
    <cfRule type="duplicateValues" dxfId="6422" priority="3183"/>
    <cfRule type="duplicateValues" dxfId="6421" priority="3184"/>
    <cfRule type="duplicateValues" dxfId="6420" priority="3185"/>
    <cfRule type="duplicateValues" dxfId="6419" priority="3186"/>
    <cfRule type="duplicateValues" dxfId="6418" priority="3187"/>
    <cfRule type="duplicateValues" dxfId="6417" priority="3188"/>
    <cfRule type="duplicateValues" dxfId="6416" priority="3189"/>
    <cfRule type="duplicateValues" dxfId="6415" priority="3190"/>
    <cfRule type="duplicateValues" dxfId="6414" priority="3191"/>
    <cfRule type="duplicateValues" dxfId="6413" priority="3192"/>
    <cfRule type="duplicateValues" dxfId="6412" priority="3193"/>
    <cfRule type="duplicateValues" dxfId="6411" priority="3194"/>
    <cfRule type="duplicateValues" dxfId="6410" priority="3195"/>
    <cfRule type="duplicateValues" dxfId="6409" priority="3196"/>
    <cfRule type="duplicateValues" dxfId="6408" priority="3197"/>
    <cfRule type="duplicateValues" dxfId="6407" priority="3198"/>
    <cfRule type="duplicateValues" dxfId="6406" priority="3199"/>
    <cfRule type="duplicateValues" dxfId="6405" priority="3200"/>
    <cfRule type="duplicateValues" dxfId="6404" priority="3201"/>
    <cfRule type="duplicateValues" dxfId="6403" priority="3202"/>
    <cfRule type="duplicateValues" dxfId="6402" priority="3203"/>
    <cfRule type="duplicateValues" dxfId="6401" priority="3204"/>
    <cfRule type="duplicateValues" dxfId="6400" priority="3205"/>
    <cfRule type="duplicateValues" dxfId="6399" priority="3206"/>
    <cfRule type="duplicateValues" dxfId="6398" priority="3207"/>
    <cfRule type="duplicateValues" dxfId="6397" priority="3208"/>
    <cfRule type="duplicateValues" dxfId="6396" priority="3209"/>
    <cfRule type="duplicateValues" dxfId="6395" priority="3210"/>
    <cfRule type="duplicateValues" dxfId="6394" priority="3211"/>
    <cfRule type="duplicateValues" dxfId="6393" priority="3212"/>
    <cfRule type="duplicateValues" dxfId="6392" priority="3213"/>
    <cfRule type="duplicateValues" dxfId="6391" priority="3214"/>
    <cfRule type="duplicateValues" dxfId="6390" priority="3215"/>
    <cfRule type="duplicateValues" dxfId="6389" priority="3216"/>
    <cfRule type="duplicateValues" dxfId="6388" priority="3217"/>
    <cfRule type="duplicateValues" dxfId="6387" priority="3218"/>
    <cfRule type="duplicateValues" dxfId="6386" priority="3219"/>
    <cfRule type="duplicateValues" dxfId="6385" priority="3220"/>
    <cfRule type="duplicateValues" dxfId="6384" priority="3221"/>
    <cfRule type="duplicateValues" dxfId="6383" priority="3222"/>
    <cfRule type="duplicateValues" dxfId="6382" priority="3223"/>
    <cfRule type="duplicateValues" dxfId="6381" priority="3224"/>
    <cfRule type="duplicateValues" dxfId="6380" priority="3225"/>
    <cfRule type="duplicateValues" dxfId="6379" priority="3226"/>
    <cfRule type="duplicateValues" dxfId="6378" priority="3227"/>
    <cfRule type="duplicateValues" dxfId="6377" priority="3228"/>
    <cfRule type="duplicateValues" dxfId="6376" priority="3229"/>
    <cfRule type="duplicateValues" dxfId="6375" priority="3230"/>
    <cfRule type="duplicateValues" dxfId="6374" priority="3231"/>
    <cfRule type="duplicateValues" dxfId="6373" priority="3232"/>
    <cfRule type="duplicateValues" dxfId="6372" priority="3233"/>
    <cfRule type="duplicateValues" dxfId="6371" priority="3234"/>
    <cfRule type="duplicateValues" dxfId="6370" priority="3235"/>
    <cfRule type="duplicateValues" dxfId="6369" priority="3236"/>
    <cfRule type="duplicateValues" dxfId="6368" priority="3237"/>
    <cfRule type="duplicateValues" dxfId="6367" priority="3238"/>
    <cfRule type="duplicateValues" dxfId="6366" priority="3239"/>
    <cfRule type="duplicateValues" dxfId="6365" priority="3240"/>
    <cfRule type="duplicateValues" dxfId="6364" priority="3241"/>
  </conditionalFormatting>
  <conditionalFormatting sqref="B271:B272">
    <cfRule type="duplicateValues" dxfId="6363" priority="3064"/>
    <cfRule type="duplicateValues" dxfId="6362" priority="3065"/>
    <cfRule type="duplicateValues" dxfId="6361" priority="3066"/>
    <cfRule type="duplicateValues" dxfId="6360" priority="3067"/>
    <cfRule type="duplicateValues" dxfId="6359" priority="3068"/>
    <cfRule type="duplicateValues" dxfId="6358" priority="3069"/>
    <cfRule type="duplicateValues" dxfId="6357" priority="3070"/>
    <cfRule type="duplicateValues" dxfId="6356" priority="3071"/>
    <cfRule type="duplicateValues" dxfId="6355" priority="3072"/>
    <cfRule type="duplicateValues" dxfId="6354" priority="3073"/>
    <cfRule type="duplicateValues" dxfId="6353" priority="3074"/>
    <cfRule type="duplicateValues" dxfId="6352" priority="3075"/>
    <cfRule type="duplicateValues" dxfId="6351" priority="3076"/>
    <cfRule type="duplicateValues" dxfId="6350" priority="3077"/>
    <cfRule type="duplicateValues" dxfId="6349" priority="3078"/>
    <cfRule type="duplicateValues" dxfId="6348" priority="3079"/>
    <cfRule type="duplicateValues" dxfId="6347" priority="3080"/>
    <cfRule type="duplicateValues" dxfId="6346" priority="3081"/>
    <cfRule type="duplicateValues" dxfId="6345" priority="3082"/>
    <cfRule type="duplicateValues" dxfId="6344" priority="3083"/>
    <cfRule type="duplicateValues" dxfId="6343" priority="3084"/>
    <cfRule type="duplicateValues" dxfId="6342" priority="3085"/>
    <cfRule type="duplicateValues" dxfId="6341" priority="3086"/>
    <cfRule type="duplicateValues" dxfId="6340" priority="3087"/>
    <cfRule type="duplicateValues" dxfId="6339" priority="3088"/>
    <cfRule type="duplicateValues" dxfId="6338" priority="3089"/>
    <cfRule type="duplicateValues" dxfId="6337" priority="3090"/>
    <cfRule type="duplicateValues" dxfId="6336" priority="3091"/>
    <cfRule type="duplicateValues" dxfId="6335" priority="3092"/>
    <cfRule type="duplicateValues" dxfId="6334" priority="3093"/>
    <cfRule type="duplicateValues" dxfId="6333" priority="3094"/>
    <cfRule type="duplicateValues" dxfId="6332" priority="3095"/>
    <cfRule type="duplicateValues" dxfId="6331" priority="3096"/>
    <cfRule type="duplicateValues" dxfId="6330" priority="3097"/>
    <cfRule type="duplicateValues" dxfId="6329" priority="3098"/>
    <cfRule type="duplicateValues" dxfId="6328" priority="3099"/>
    <cfRule type="duplicateValues" dxfId="6327" priority="3100"/>
    <cfRule type="duplicateValues" dxfId="6326" priority="3101"/>
    <cfRule type="duplicateValues" dxfId="6325" priority="3102"/>
    <cfRule type="duplicateValues" dxfId="6324" priority="3103"/>
    <cfRule type="duplicateValues" dxfId="6323" priority="3104"/>
    <cfRule type="duplicateValues" dxfId="6322" priority="3105"/>
    <cfRule type="duplicateValues" dxfId="6321" priority="3106"/>
    <cfRule type="duplicateValues" dxfId="6320" priority="3107"/>
    <cfRule type="duplicateValues" dxfId="6319" priority="3108"/>
    <cfRule type="duplicateValues" dxfId="6318" priority="3109"/>
    <cfRule type="duplicateValues" dxfId="6317" priority="3110"/>
    <cfRule type="duplicateValues" dxfId="6316" priority="3111"/>
    <cfRule type="duplicateValues" dxfId="6315" priority="3112"/>
    <cfRule type="duplicateValues" dxfId="6314" priority="3113"/>
    <cfRule type="duplicateValues" dxfId="6313" priority="3114"/>
    <cfRule type="duplicateValues" dxfId="6312" priority="3115"/>
    <cfRule type="duplicateValues" dxfId="6311" priority="3116"/>
    <cfRule type="duplicateValues" dxfId="6310" priority="3117"/>
    <cfRule type="duplicateValues" dxfId="6309" priority="3118"/>
    <cfRule type="duplicateValues" dxfId="6308" priority="3119"/>
    <cfRule type="duplicateValues" dxfId="6307" priority="3120"/>
    <cfRule type="duplicateValues" dxfId="6306" priority="3121"/>
    <cfRule type="duplicateValues" dxfId="6305" priority="3122"/>
    <cfRule type="duplicateValues" dxfId="6304" priority="3123"/>
    <cfRule type="duplicateValues" dxfId="6303" priority="3124"/>
    <cfRule type="duplicateValues" dxfId="6302" priority="3125"/>
    <cfRule type="duplicateValues" dxfId="6301" priority="3126"/>
    <cfRule type="duplicateValues" dxfId="6300" priority="3127"/>
    <cfRule type="duplicateValues" dxfId="6299" priority="3128"/>
    <cfRule type="duplicateValues" dxfId="6298" priority="3129"/>
    <cfRule type="duplicateValues" dxfId="6297" priority="3130"/>
    <cfRule type="duplicateValues" dxfId="6296" priority="3131"/>
    <cfRule type="duplicateValues" dxfId="6295" priority="3132"/>
    <cfRule type="duplicateValues" dxfId="6294" priority="3133"/>
    <cfRule type="duplicateValues" dxfId="6293" priority="3134"/>
    <cfRule type="duplicateValues" dxfId="6292" priority="3135"/>
    <cfRule type="duplicateValues" dxfId="6291" priority="3136"/>
    <cfRule type="duplicateValues" dxfId="6290" priority="3137"/>
    <cfRule type="duplicateValues" dxfId="6289" priority="3138"/>
    <cfRule type="duplicateValues" dxfId="6288" priority="3139"/>
    <cfRule type="duplicateValues" dxfId="6287" priority="3140"/>
    <cfRule type="duplicateValues" dxfId="6286" priority="3141"/>
    <cfRule type="duplicateValues" dxfId="6285" priority="3142"/>
    <cfRule type="duplicateValues" dxfId="6284" priority="3143"/>
    <cfRule type="duplicateValues" dxfId="6283" priority="3144"/>
    <cfRule type="duplicateValues" dxfId="6282" priority="3145"/>
    <cfRule type="duplicateValues" dxfId="6281" priority="3146"/>
    <cfRule type="duplicateValues" dxfId="6280" priority="3147"/>
    <cfRule type="duplicateValues" dxfId="6279" priority="3148"/>
    <cfRule type="duplicateValues" dxfId="6278" priority="3149"/>
    <cfRule type="duplicateValues" dxfId="6277" priority="3150"/>
    <cfRule type="duplicateValues" dxfId="6276" priority="3151"/>
    <cfRule type="duplicateValues" dxfId="6275" priority="3152"/>
  </conditionalFormatting>
  <conditionalFormatting sqref="B273:B274">
    <cfRule type="duplicateValues" dxfId="6274" priority="2975"/>
    <cfRule type="duplicateValues" dxfId="6273" priority="2976"/>
    <cfRule type="duplicateValues" dxfId="6272" priority="2977"/>
    <cfRule type="duplicateValues" dxfId="6271" priority="2978"/>
    <cfRule type="duplicateValues" dxfId="6270" priority="2979"/>
    <cfRule type="duplicateValues" dxfId="6269" priority="2980"/>
    <cfRule type="duplicateValues" dxfId="6268" priority="2981"/>
    <cfRule type="duplicateValues" dxfId="6267" priority="2982"/>
    <cfRule type="duplicateValues" dxfId="6266" priority="2983"/>
    <cfRule type="duplicateValues" dxfId="6265" priority="2984"/>
    <cfRule type="duplicateValues" dxfId="6264" priority="2985"/>
    <cfRule type="duplicateValues" dxfId="6263" priority="2986"/>
    <cfRule type="duplicateValues" dxfId="6262" priority="2987"/>
    <cfRule type="duplicateValues" dxfId="6261" priority="2988"/>
    <cfRule type="duplicateValues" dxfId="6260" priority="2989"/>
    <cfRule type="duplicateValues" dxfId="6259" priority="2990"/>
    <cfRule type="duplicateValues" dxfId="6258" priority="2991"/>
    <cfRule type="duplicateValues" dxfId="6257" priority="2992"/>
    <cfRule type="duplicateValues" dxfId="6256" priority="2993"/>
    <cfRule type="duplicateValues" dxfId="6255" priority="2994"/>
    <cfRule type="duplicateValues" dxfId="6254" priority="2995"/>
    <cfRule type="duplicateValues" dxfId="6253" priority="2996"/>
    <cfRule type="duplicateValues" dxfId="6252" priority="2997"/>
    <cfRule type="duplicateValues" dxfId="6251" priority="2998"/>
    <cfRule type="duplicateValues" dxfId="6250" priority="2999"/>
    <cfRule type="duplicateValues" dxfId="6249" priority="3000"/>
    <cfRule type="duplicateValues" dxfId="6248" priority="3001"/>
    <cfRule type="duplicateValues" dxfId="6247" priority="3002"/>
    <cfRule type="duplicateValues" dxfId="6246" priority="3003"/>
    <cfRule type="duplicateValues" dxfId="6245" priority="3004"/>
    <cfRule type="duplicateValues" dxfId="6244" priority="3005"/>
    <cfRule type="duplicateValues" dxfId="6243" priority="3006"/>
    <cfRule type="duplicateValues" dxfId="6242" priority="3007"/>
    <cfRule type="duplicateValues" dxfId="6241" priority="3008"/>
    <cfRule type="duplicateValues" dxfId="6240" priority="3009"/>
    <cfRule type="duplicateValues" dxfId="6239" priority="3010"/>
    <cfRule type="duplicateValues" dxfId="6238" priority="3011"/>
    <cfRule type="duplicateValues" dxfId="6237" priority="3012"/>
    <cfRule type="duplicateValues" dxfId="6236" priority="3013"/>
    <cfRule type="duplicateValues" dxfId="6235" priority="3014"/>
    <cfRule type="duplicateValues" dxfId="6234" priority="3015"/>
    <cfRule type="duplicateValues" dxfId="6233" priority="3016"/>
    <cfRule type="duplicateValues" dxfId="6232" priority="3017"/>
    <cfRule type="duplicateValues" dxfId="6231" priority="3018"/>
    <cfRule type="duplicateValues" dxfId="6230" priority="3019"/>
    <cfRule type="duplicateValues" dxfId="6229" priority="3020"/>
    <cfRule type="duplicateValues" dxfId="6228" priority="3021"/>
    <cfRule type="duplicateValues" dxfId="6227" priority="3022"/>
    <cfRule type="duplicateValues" dxfId="6226" priority="3023"/>
    <cfRule type="duplicateValues" dxfId="6225" priority="3024"/>
    <cfRule type="duplicateValues" dxfId="6224" priority="3025"/>
    <cfRule type="duplicateValues" dxfId="6223" priority="3026"/>
    <cfRule type="duplicateValues" dxfId="6222" priority="3027"/>
    <cfRule type="duplicateValues" dxfId="6221" priority="3028"/>
    <cfRule type="duplicateValues" dxfId="6220" priority="3029"/>
    <cfRule type="duplicateValues" dxfId="6219" priority="3030"/>
    <cfRule type="duplicateValues" dxfId="6218" priority="3031"/>
    <cfRule type="duplicateValues" dxfId="6217" priority="3032"/>
    <cfRule type="duplicateValues" dxfId="6216" priority="3033"/>
    <cfRule type="duplicateValues" dxfId="6215" priority="3034"/>
    <cfRule type="duplicateValues" dxfId="6214" priority="3035"/>
    <cfRule type="duplicateValues" dxfId="6213" priority="3036"/>
    <cfRule type="duplicateValues" dxfId="6212" priority="3037"/>
    <cfRule type="duplicateValues" dxfId="6211" priority="3038"/>
    <cfRule type="duplicateValues" dxfId="6210" priority="3039"/>
    <cfRule type="duplicateValues" dxfId="6209" priority="3040"/>
    <cfRule type="duplicateValues" dxfId="6208" priority="3041"/>
    <cfRule type="duplicateValues" dxfId="6207" priority="3042"/>
    <cfRule type="duplicateValues" dxfId="6206" priority="3043"/>
    <cfRule type="duplicateValues" dxfId="6205" priority="3044"/>
    <cfRule type="duplicateValues" dxfId="6204" priority="3045"/>
    <cfRule type="duplicateValues" dxfId="6203" priority="3046"/>
    <cfRule type="duplicateValues" dxfId="6202" priority="3047"/>
    <cfRule type="duplicateValues" dxfId="6201" priority="3048"/>
    <cfRule type="duplicateValues" dxfId="6200" priority="3049"/>
    <cfRule type="duplicateValues" dxfId="6199" priority="3050"/>
    <cfRule type="duplicateValues" dxfId="6198" priority="3051"/>
    <cfRule type="duplicateValues" dxfId="6197" priority="3052"/>
    <cfRule type="duplicateValues" dxfId="6196" priority="3053"/>
    <cfRule type="duplicateValues" dxfId="6195" priority="3054"/>
    <cfRule type="duplicateValues" dxfId="6194" priority="3055"/>
    <cfRule type="duplicateValues" dxfId="6193" priority="3056"/>
    <cfRule type="duplicateValues" dxfId="6192" priority="3057"/>
    <cfRule type="duplicateValues" dxfId="6191" priority="3058"/>
    <cfRule type="duplicateValues" dxfId="6190" priority="3059"/>
    <cfRule type="duplicateValues" dxfId="6189" priority="3060"/>
    <cfRule type="duplicateValues" dxfId="6188" priority="3061"/>
    <cfRule type="duplicateValues" dxfId="6187" priority="3062"/>
    <cfRule type="duplicateValues" dxfId="6186" priority="3063"/>
  </conditionalFormatting>
  <conditionalFormatting sqref="B275:B278">
    <cfRule type="duplicateValues" dxfId="6185" priority="2886"/>
    <cfRule type="duplicateValues" dxfId="6184" priority="2887"/>
    <cfRule type="duplicateValues" dxfId="6183" priority="2888"/>
    <cfRule type="duplicateValues" dxfId="6182" priority="2889"/>
    <cfRule type="duplicateValues" dxfId="6181" priority="2890"/>
    <cfRule type="duplicateValues" dxfId="6180" priority="2891"/>
    <cfRule type="duplicateValues" dxfId="6179" priority="2892"/>
    <cfRule type="duplicateValues" dxfId="6178" priority="2893"/>
    <cfRule type="duplicateValues" dxfId="6177" priority="2894"/>
    <cfRule type="duplicateValues" dxfId="6176" priority="2895"/>
    <cfRule type="duplicateValues" dxfId="6175" priority="2896"/>
    <cfRule type="duplicateValues" dxfId="6174" priority="2897"/>
    <cfRule type="duplicateValues" dxfId="6173" priority="2898"/>
    <cfRule type="duplicateValues" dxfId="6172" priority="2899"/>
    <cfRule type="duplicateValues" dxfId="6171" priority="2900"/>
    <cfRule type="duplicateValues" dxfId="6170" priority="2901"/>
    <cfRule type="duplicateValues" dxfId="6169" priority="2902"/>
    <cfRule type="duplicateValues" dxfId="6168" priority="2903"/>
    <cfRule type="duplicateValues" dxfId="6167" priority="2904"/>
    <cfRule type="duplicateValues" dxfId="6166" priority="2905"/>
    <cfRule type="duplicateValues" dxfId="6165" priority="2906"/>
    <cfRule type="duplicateValues" dxfId="6164" priority="2907"/>
    <cfRule type="duplicateValues" dxfId="6163" priority="2908"/>
    <cfRule type="duplicateValues" dxfId="6162" priority="2909"/>
    <cfRule type="duplicateValues" dxfId="6161" priority="2910"/>
    <cfRule type="duplicateValues" dxfId="6160" priority="2911"/>
    <cfRule type="duplicateValues" dxfId="6159" priority="2912"/>
    <cfRule type="duplicateValues" dxfId="6158" priority="2913"/>
    <cfRule type="duplicateValues" dxfId="6157" priority="2914"/>
    <cfRule type="duplicateValues" dxfId="6156" priority="2915"/>
    <cfRule type="duplicateValues" dxfId="6155" priority="2916"/>
    <cfRule type="duplicateValues" dxfId="6154" priority="2917"/>
    <cfRule type="duplicateValues" dxfId="6153" priority="2918"/>
    <cfRule type="duplicateValues" dxfId="6152" priority="2919"/>
    <cfRule type="duplicateValues" dxfId="6151" priority="2920"/>
    <cfRule type="duplicateValues" dxfId="6150" priority="2921"/>
    <cfRule type="duplicateValues" dxfId="6149" priority="2922"/>
    <cfRule type="duplicateValues" dxfId="6148" priority="2923"/>
    <cfRule type="duplicateValues" dxfId="6147" priority="2924"/>
    <cfRule type="duplicateValues" dxfId="6146" priority="2925"/>
    <cfRule type="duplicateValues" dxfId="6145" priority="2926"/>
    <cfRule type="duplicateValues" dxfId="6144" priority="2927"/>
    <cfRule type="duplicateValues" dxfId="6143" priority="2928"/>
    <cfRule type="duplicateValues" dxfId="6142" priority="2929"/>
    <cfRule type="duplicateValues" dxfId="6141" priority="2930"/>
    <cfRule type="duplicateValues" dxfId="6140" priority="2931"/>
    <cfRule type="duplicateValues" dxfId="6139" priority="2932"/>
    <cfRule type="duplicateValues" dxfId="6138" priority="2933"/>
    <cfRule type="duplicateValues" dxfId="6137" priority="2934"/>
    <cfRule type="duplicateValues" dxfId="6136" priority="2935"/>
    <cfRule type="duplicateValues" dxfId="6135" priority="2936"/>
    <cfRule type="duplicateValues" dxfId="6134" priority="2937"/>
    <cfRule type="duplicateValues" dxfId="6133" priority="2938"/>
    <cfRule type="duplicateValues" dxfId="6132" priority="2939"/>
    <cfRule type="duplicateValues" dxfId="6131" priority="2940"/>
    <cfRule type="duplicateValues" dxfId="6130" priority="2941"/>
    <cfRule type="duplicateValues" dxfId="6129" priority="2942"/>
    <cfRule type="duplicateValues" dxfId="6128" priority="2943"/>
    <cfRule type="duplicateValues" dxfId="6127" priority="2944"/>
    <cfRule type="duplicateValues" dxfId="6126" priority="2945"/>
    <cfRule type="duplicateValues" dxfId="6125" priority="2946"/>
    <cfRule type="duplicateValues" dxfId="6124" priority="2947"/>
    <cfRule type="duplicateValues" dxfId="6123" priority="2948"/>
    <cfRule type="duplicateValues" dxfId="6122" priority="2949"/>
    <cfRule type="duplicateValues" dxfId="6121" priority="2950"/>
    <cfRule type="duplicateValues" dxfId="6120" priority="2951"/>
    <cfRule type="duplicateValues" dxfId="6119" priority="2952"/>
    <cfRule type="duplicateValues" dxfId="6118" priority="2953"/>
    <cfRule type="duplicateValues" dxfId="6117" priority="2954"/>
    <cfRule type="duplicateValues" dxfId="6116" priority="2955"/>
    <cfRule type="duplicateValues" dxfId="6115" priority="2956"/>
    <cfRule type="duplicateValues" dxfId="6114" priority="2957"/>
    <cfRule type="duplicateValues" dxfId="6113" priority="2958"/>
    <cfRule type="duplicateValues" dxfId="6112" priority="2959"/>
    <cfRule type="duplicateValues" dxfId="6111" priority="2960"/>
    <cfRule type="duplicateValues" dxfId="6110" priority="2961"/>
    <cfRule type="duplicateValues" dxfId="6109" priority="2962"/>
    <cfRule type="duplicateValues" dxfId="6108" priority="2963"/>
    <cfRule type="duplicateValues" dxfId="6107" priority="2964"/>
    <cfRule type="duplicateValues" dxfId="6106" priority="2965"/>
    <cfRule type="duplicateValues" dxfId="6105" priority="2966"/>
    <cfRule type="duplicateValues" dxfId="6104" priority="2967"/>
    <cfRule type="duplicateValues" dxfId="6103" priority="2968"/>
    <cfRule type="duplicateValues" dxfId="6102" priority="2969"/>
    <cfRule type="duplicateValues" dxfId="6101" priority="2970"/>
    <cfRule type="duplicateValues" dxfId="6100" priority="2971"/>
    <cfRule type="duplicateValues" dxfId="6099" priority="2972"/>
    <cfRule type="duplicateValues" dxfId="6098" priority="2973"/>
    <cfRule type="duplicateValues" dxfId="6097" priority="2974"/>
  </conditionalFormatting>
  <conditionalFormatting sqref="B279:B287">
    <cfRule type="duplicateValues" dxfId="6096" priority="2797"/>
    <cfRule type="duplicateValues" dxfId="6095" priority="2798"/>
    <cfRule type="duplicateValues" dxfId="6094" priority="2799"/>
    <cfRule type="duplicateValues" dxfId="6093" priority="2800"/>
    <cfRule type="duplicateValues" dxfId="6092" priority="2801"/>
    <cfRule type="duplicateValues" dxfId="6091" priority="2802"/>
    <cfRule type="duplicateValues" dxfId="6090" priority="2803"/>
    <cfRule type="duplicateValues" dxfId="6089" priority="2804"/>
    <cfRule type="duplicateValues" dxfId="6088" priority="2805"/>
    <cfRule type="duplicateValues" dxfId="6087" priority="2806"/>
    <cfRule type="duplicateValues" dxfId="6086" priority="2807"/>
    <cfRule type="duplicateValues" dxfId="6085" priority="2808"/>
    <cfRule type="duplicateValues" dxfId="6084" priority="2809"/>
    <cfRule type="duplicateValues" dxfId="6083" priority="2810"/>
    <cfRule type="duplicateValues" dxfId="6082" priority="2811"/>
    <cfRule type="duplicateValues" dxfId="6081" priority="2812"/>
    <cfRule type="duplicateValues" dxfId="6080" priority="2813"/>
    <cfRule type="duplicateValues" dxfId="6079" priority="2814"/>
    <cfRule type="duplicateValues" dxfId="6078" priority="2815"/>
    <cfRule type="duplicateValues" dxfId="6077" priority="2816"/>
    <cfRule type="duplicateValues" dxfId="6076" priority="2817"/>
    <cfRule type="duplicateValues" dxfId="6075" priority="2818"/>
    <cfRule type="duplicateValues" dxfId="6074" priority="2819"/>
    <cfRule type="duplicateValues" dxfId="6073" priority="2820"/>
    <cfRule type="duplicateValues" dxfId="6072" priority="2821"/>
    <cfRule type="duplicateValues" dxfId="6071" priority="2822"/>
    <cfRule type="duplicateValues" dxfId="6070" priority="2823"/>
    <cfRule type="duplicateValues" dxfId="6069" priority="2824"/>
    <cfRule type="duplicateValues" dxfId="6068" priority="2825"/>
    <cfRule type="duplicateValues" dxfId="6067" priority="2826"/>
    <cfRule type="duplicateValues" dxfId="6066" priority="2827"/>
    <cfRule type="duplicateValues" dxfId="6065" priority="2828"/>
    <cfRule type="duplicateValues" dxfId="6064" priority="2829"/>
    <cfRule type="duplicateValues" dxfId="6063" priority="2830"/>
    <cfRule type="duplicateValues" dxfId="6062" priority="2831"/>
    <cfRule type="duplicateValues" dxfId="6061" priority="2832"/>
    <cfRule type="duplicateValues" dxfId="6060" priority="2833"/>
    <cfRule type="duplicateValues" dxfId="6059" priority="2834"/>
    <cfRule type="duplicateValues" dxfId="6058" priority="2835"/>
    <cfRule type="duplicateValues" dxfId="6057" priority="2836"/>
    <cfRule type="duplicateValues" dxfId="6056" priority="2837"/>
    <cfRule type="duplicateValues" dxfId="6055" priority="2838"/>
    <cfRule type="duplicateValues" dxfId="6054" priority="2839"/>
    <cfRule type="duplicateValues" dxfId="6053" priority="2840"/>
    <cfRule type="duplicateValues" dxfId="6052" priority="2841"/>
    <cfRule type="duplicateValues" dxfId="6051" priority="2842"/>
    <cfRule type="duplicateValues" dxfId="6050" priority="2843"/>
    <cfRule type="duplicateValues" dxfId="6049" priority="2844"/>
    <cfRule type="duplicateValues" dxfId="6048" priority="2845"/>
    <cfRule type="duplicateValues" dxfId="6047" priority="2846"/>
    <cfRule type="duplicateValues" dxfId="6046" priority="2847"/>
    <cfRule type="duplicateValues" dxfId="6045" priority="2848"/>
    <cfRule type="duplicateValues" dxfId="6044" priority="2849"/>
    <cfRule type="duplicateValues" dxfId="6043" priority="2850"/>
    <cfRule type="duplicateValues" dxfId="6042" priority="2851"/>
    <cfRule type="duplicateValues" dxfId="6041" priority="2852"/>
    <cfRule type="duplicateValues" dxfId="6040" priority="2853"/>
    <cfRule type="duplicateValues" dxfId="6039" priority="2854"/>
    <cfRule type="duplicateValues" dxfId="6038" priority="2855"/>
    <cfRule type="duplicateValues" dxfId="6037" priority="2856"/>
    <cfRule type="duplicateValues" dxfId="6036" priority="2857"/>
    <cfRule type="duplicateValues" dxfId="6035" priority="2858"/>
    <cfRule type="duplicateValues" dxfId="6034" priority="2859"/>
    <cfRule type="duplicateValues" dxfId="6033" priority="2860"/>
    <cfRule type="duplicateValues" dxfId="6032" priority="2861"/>
    <cfRule type="duplicateValues" dxfId="6031" priority="2862"/>
    <cfRule type="duplicateValues" dxfId="6030" priority="2863"/>
    <cfRule type="duplicateValues" dxfId="6029" priority="2864"/>
    <cfRule type="duplicateValues" dxfId="6028" priority="2865"/>
    <cfRule type="duplicateValues" dxfId="6027" priority="2866"/>
    <cfRule type="duplicateValues" dxfId="6026" priority="2867"/>
    <cfRule type="duplicateValues" dxfId="6025" priority="2868"/>
    <cfRule type="duplicateValues" dxfId="6024" priority="2869"/>
    <cfRule type="duplicateValues" dxfId="6023" priority="2870"/>
    <cfRule type="duplicateValues" dxfId="6022" priority="2871"/>
    <cfRule type="duplicateValues" dxfId="6021" priority="2872"/>
    <cfRule type="duplicateValues" dxfId="6020" priority="2873"/>
    <cfRule type="duplicateValues" dxfId="6019" priority="2874"/>
    <cfRule type="duplicateValues" dxfId="6018" priority="2875"/>
    <cfRule type="duplicateValues" dxfId="6017" priority="2876"/>
    <cfRule type="duplicateValues" dxfId="6016" priority="2877"/>
    <cfRule type="duplicateValues" dxfId="6015" priority="2878"/>
    <cfRule type="duplicateValues" dxfId="6014" priority="2879"/>
    <cfRule type="duplicateValues" dxfId="6013" priority="2880"/>
    <cfRule type="duplicateValues" dxfId="6012" priority="2881"/>
    <cfRule type="duplicateValues" dxfId="6011" priority="2882"/>
    <cfRule type="duplicateValues" dxfId="6010" priority="2883"/>
    <cfRule type="duplicateValues" dxfId="6009" priority="2884"/>
    <cfRule type="duplicateValues" dxfId="6008" priority="2885"/>
  </conditionalFormatting>
  <conditionalFormatting sqref="B288:B297">
    <cfRule type="duplicateValues" dxfId="6007" priority="2708"/>
    <cfRule type="duplicateValues" dxfId="6006" priority="2709"/>
    <cfRule type="duplicateValues" dxfId="6005" priority="2710"/>
    <cfRule type="duplicateValues" dxfId="6004" priority="2711"/>
    <cfRule type="duplicateValues" dxfId="6003" priority="2712"/>
    <cfRule type="duplicateValues" dxfId="6002" priority="2713"/>
    <cfRule type="duplicateValues" dxfId="6001" priority="2714"/>
    <cfRule type="duplicateValues" dxfId="6000" priority="2715"/>
    <cfRule type="duplicateValues" dxfId="5999" priority="2716"/>
    <cfRule type="duplicateValues" dxfId="5998" priority="2717"/>
    <cfRule type="duplicateValues" dxfId="5997" priority="2718"/>
    <cfRule type="duplicateValues" dxfId="5996" priority="2719"/>
    <cfRule type="duplicateValues" dxfId="5995" priority="2720"/>
    <cfRule type="duplicateValues" dxfId="5994" priority="2721"/>
    <cfRule type="duplicateValues" dxfId="5993" priority="2722"/>
    <cfRule type="duplicateValues" dxfId="5992" priority="2723"/>
    <cfRule type="duplicateValues" dxfId="5991" priority="2724"/>
    <cfRule type="duplicateValues" dxfId="5990" priority="2725"/>
    <cfRule type="duplicateValues" dxfId="5989" priority="2726"/>
    <cfRule type="duplicateValues" dxfId="5988" priority="2727"/>
    <cfRule type="duplicateValues" dxfId="5987" priority="2728"/>
    <cfRule type="duplicateValues" dxfId="5986" priority="2729"/>
    <cfRule type="duplicateValues" dxfId="5985" priority="2730"/>
    <cfRule type="duplicateValues" dxfId="5984" priority="2731"/>
    <cfRule type="duplicateValues" dxfId="5983" priority="2732"/>
    <cfRule type="duplicateValues" dxfId="5982" priority="2733"/>
    <cfRule type="duplicateValues" dxfId="5981" priority="2734"/>
    <cfRule type="duplicateValues" dxfId="5980" priority="2735"/>
    <cfRule type="duplicateValues" dxfId="5979" priority="2736"/>
    <cfRule type="duplicateValues" dxfId="5978" priority="2737"/>
    <cfRule type="duplicateValues" dxfId="5977" priority="2738"/>
    <cfRule type="duplicateValues" dxfId="5976" priority="2739"/>
    <cfRule type="duplicateValues" dxfId="5975" priority="2740"/>
    <cfRule type="duplicateValues" dxfId="5974" priority="2741"/>
    <cfRule type="duplicateValues" dxfId="5973" priority="2742"/>
    <cfRule type="duplicateValues" dxfId="5972" priority="2743"/>
    <cfRule type="duplicateValues" dxfId="5971" priority="2744"/>
    <cfRule type="duplicateValues" dxfId="5970" priority="2745"/>
    <cfRule type="duplicateValues" dxfId="5969" priority="2746"/>
    <cfRule type="duplicateValues" dxfId="5968" priority="2747"/>
    <cfRule type="duplicateValues" dxfId="5967" priority="2748"/>
    <cfRule type="duplicateValues" dxfId="5966" priority="2749"/>
    <cfRule type="duplicateValues" dxfId="5965" priority="2750"/>
    <cfRule type="duplicateValues" dxfId="5964" priority="2751"/>
    <cfRule type="duplicateValues" dxfId="5963" priority="2752"/>
    <cfRule type="duplicateValues" dxfId="5962" priority="2753"/>
    <cfRule type="duplicateValues" dxfId="5961" priority="2754"/>
    <cfRule type="duplicateValues" dxfId="5960" priority="2755"/>
    <cfRule type="duplicateValues" dxfId="5959" priority="2756"/>
    <cfRule type="duplicateValues" dxfId="5958" priority="2757"/>
    <cfRule type="duplicateValues" dxfId="5957" priority="2758"/>
    <cfRule type="duplicateValues" dxfId="5956" priority="2759"/>
    <cfRule type="duplicateValues" dxfId="5955" priority="2760"/>
    <cfRule type="duplicateValues" dxfId="5954" priority="2761"/>
    <cfRule type="duplicateValues" dxfId="5953" priority="2762"/>
    <cfRule type="duplicateValues" dxfId="5952" priority="2763"/>
    <cfRule type="duplicateValues" dxfId="5951" priority="2764"/>
    <cfRule type="duplicateValues" dxfId="5950" priority="2765"/>
    <cfRule type="duplicateValues" dxfId="5949" priority="2766"/>
    <cfRule type="duplicateValues" dxfId="5948" priority="2767"/>
    <cfRule type="duplicateValues" dxfId="5947" priority="2768"/>
    <cfRule type="duplicateValues" dxfId="5946" priority="2769"/>
    <cfRule type="duplicateValues" dxfId="5945" priority="2770"/>
    <cfRule type="duplicateValues" dxfId="5944" priority="2771"/>
    <cfRule type="duplicateValues" dxfId="5943" priority="2772"/>
    <cfRule type="duplicateValues" dxfId="5942" priority="2773"/>
    <cfRule type="duplicateValues" dxfId="5941" priority="2774"/>
    <cfRule type="duplicateValues" dxfId="5940" priority="2775"/>
    <cfRule type="duplicateValues" dxfId="5939" priority="2776"/>
    <cfRule type="duplicateValues" dxfId="5938" priority="2777"/>
    <cfRule type="duplicateValues" dxfId="5937" priority="2778"/>
    <cfRule type="duplicateValues" dxfId="5936" priority="2779"/>
    <cfRule type="duplicateValues" dxfId="5935" priority="2780"/>
    <cfRule type="duplicateValues" dxfId="5934" priority="2781"/>
    <cfRule type="duplicateValues" dxfId="5933" priority="2782"/>
    <cfRule type="duplicateValues" dxfId="5932" priority="2783"/>
    <cfRule type="duplicateValues" dxfId="5931" priority="2784"/>
    <cfRule type="duplicateValues" dxfId="5930" priority="2785"/>
    <cfRule type="duplicateValues" dxfId="5929" priority="2786"/>
    <cfRule type="duplicateValues" dxfId="5928" priority="2787"/>
    <cfRule type="duplicateValues" dxfId="5927" priority="2788"/>
    <cfRule type="duplicateValues" dxfId="5926" priority="2789"/>
    <cfRule type="duplicateValues" dxfId="5925" priority="2790"/>
    <cfRule type="duplicateValues" dxfId="5924" priority="2791"/>
    <cfRule type="duplicateValues" dxfId="5923" priority="2792"/>
    <cfRule type="duplicateValues" dxfId="5922" priority="2793"/>
    <cfRule type="duplicateValues" dxfId="5921" priority="2794"/>
    <cfRule type="duplicateValues" dxfId="5920" priority="2795"/>
    <cfRule type="duplicateValues" dxfId="5919" priority="2796"/>
  </conditionalFormatting>
  <conditionalFormatting sqref="B298:B305">
    <cfRule type="duplicateValues" dxfId="5918" priority="2619"/>
    <cfRule type="duplicateValues" dxfId="5917" priority="2620"/>
    <cfRule type="duplicateValues" dxfId="5916" priority="2621"/>
    <cfRule type="duplicateValues" dxfId="5915" priority="2622"/>
    <cfRule type="duplicateValues" dxfId="5914" priority="2623"/>
    <cfRule type="duplicateValues" dxfId="5913" priority="2624"/>
    <cfRule type="duplicateValues" dxfId="5912" priority="2625"/>
    <cfRule type="duplicateValues" dxfId="5911" priority="2626"/>
    <cfRule type="duplicateValues" dxfId="5910" priority="2627"/>
    <cfRule type="duplicateValues" dxfId="5909" priority="2628"/>
    <cfRule type="duplicateValues" dxfId="5908" priority="2629"/>
    <cfRule type="duplicateValues" dxfId="5907" priority="2630"/>
    <cfRule type="duplicateValues" dxfId="5906" priority="2631"/>
    <cfRule type="duplicateValues" dxfId="5905" priority="2632"/>
    <cfRule type="duplicateValues" dxfId="5904" priority="2633"/>
    <cfRule type="duplicateValues" dxfId="5903" priority="2634"/>
    <cfRule type="duplicateValues" dxfId="5902" priority="2635"/>
    <cfRule type="duplicateValues" dxfId="5901" priority="2636"/>
    <cfRule type="duplicateValues" dxfId="5900" priority="2637"/>
    <cfRule type="duplicateValues" dxfId="5899" priority="2638"/>
    <cfRule type="duplicateValues" dxfId="5898" priority="2639"/>
    <cfRule type="duplicateValues" dxfId="5897" priority="2640"/>
    <cfRule type="duplicateValues" dxfId="5896" priority="2641"/>
    <cfRule type="duplicateValues" dxfId="5895" priority="2642"/>
    <cfRule type="duplicateValues" dxfId="5894" priority="2643"/>
    <cfRule type="duplicateValues" dxfId="5893" priority="2644"/>
    <cfRule type="duplicateValues" dxfId="5892" priority="2645"/>
    <cfRule type="duplicateValues" dxfId="5891" priority="2646"/>
    <cfRule type="duplicateValues" dxfId="5890" priority="2647"/>
    <cfRule type="duplicateValues" dxfId="5889" priority="2648"/>
    <cfRule type="duplicateValues" dxfId="5888" priority="2649"/>
    <cfRule type="duplicateValues" dxfId="5887" priority="2650"/>
    <cfRule type="duplicateValues" dxfId="5886" priority="2651"/>
    <cfRule type="duplicateValues" dxfId="5885" priority="2652"/>
    <cfRule type="duplicateValues" dxfId="5884" priority="2653"/>
    <cfRule type="duplicateValues" dxfId="5883" priority="2654"/>
    <cfRule type="duplicateValues" dxfId="5882" priority="2655"/>
    <cfRule type="duplicateValues" dxfId="5881" priority="2656"/>
    <cfRule type="duplicateValues" dxfId="5880" priority="2657"/>
    <cfRule type="duplicateValues" dxfId="5879" priority="2658"/>
    <cfRule type="duplicateValues" dxfId="5878" priority="2659"/>
    <cfRule type="duplicateValues" dxfId="5877" priority="2660"/>
    <cfRule type="duplicateValues" dxfId="5876" priority="2661"/>
    <cfRule type="duplicateValues" dxfId="5875" priority="2662"/>
    <cfRule type="duplicateValues" dxfId="5874" priority="2663"/>
    <cfRule type="duplicateValues" dxfId="5873" priority="2664"/>
    <cfRule type="duplicateValues" dxfId="5872" priority="2665"/>
    <cfRule type="duplicateValues" dxfId="5871" priority="2666"/>
    <cfRule type="duplicateValues" dxfId="5870" priority="2667"/>
    <cfRule type="duplicateValues" dxfId="5869" priority="2668"/>
    <cfRule type="duplicateValues" dxfId="5868" priority="2669"/>
    <cfRule type="duplicateValues" dxfId="5867" priority="2670"/>
    <cfRule type="duplicateValues" dxfId="5866" priority="2671"/>
    <cfRule type="duplicateValues" dxfId="5865" priority="2672"/>
    <cfRule type="duplicateValues" dxfId="5864" priority="2673"/>
    <cfRule type="duplicateValues" dxfId="5863" priority="2674"/>
    <cfRule type="duplicateValues" dxfId="5862" priority="2675"/>
    <cfRule type="duplicateValues" dxfId="5861" priority="2676"/>
    <cfRule type="duplicateValues" dxfId="5860" priority="2677"/>
    <cfRule type="duplicateValues" dxfId="5859" priority="2678"/>
    <cfRule type="duplicateValues" dxfId="5858" priority="2679"/>
    <cfRule type="duplicateValues" dxfId="5857" priority="2680"/>
    <cfRule type="duplicateValues" dxfId="5856" priority="2681"/>
    <cfRule type="duplicateValues" dxfId="5855" priority="2682"/>
    <cfRule type="duplicateValues" dxfId="5854" priority="2683"/>
    <cfRule type="duplicateValues" dxfId="5853" priority="2684"/>
    <cfRule type="duplicateValues" dxfId="5852" priority="2685"/>
    <cfRule type="duplicateValues" dxfId="5851" priority="2686"/>
    <cfRule type="duplicateValues" dxfId="5850" priority="2687"/>
    <cfRule type="duplicateValues" dxfId="5849" priority="2688"/>
    <cfRule type="duplicateValues" dxfId="5848" priority="2689"/>
    <cfRule type="duplicateValues" dxfId="5847" priority="2690"/>
    <cfRule type="duplicateValues" dxfId="5846" priority="2691"/>
    <cfRule type="duplicateValues" dxfId="5845" priority="2692"/>
    <cfRule type="duplicateValues" dxfId="5844" priority="2693"/>
    <cfRule type="duplicateValues" dxfId="5843" priority="2694"/>
    <cfRule type="duplicateValues" dxfId="5842" priority="2695"/>
    <cfRule type="duplicateValues" dxfId="5841" priority="2696"/>
    <cfRule type="duplicateValues" dxfId="5840" priority="2697"/>
    <cfRule type="duplicateValues" dxfId="5839" priority="2698"/>
    <cfRule type="duplicateValues" dxfId="5838" priority="2699"/>
    <cfRule type="duplicateValues" dxfId="5837" priority="2700"/>
    <cfRule type="duplicateValues" dxfId="5836" priority="2701"/>
    <cfRule type="duplicateValues" dxfId="5835" priority="2702"/>
    <cfRule type="duplicateValues" dxfId="5834" priority="2703"/>
    <cfRule type="duplicateValues" dxfId="5833" priority="2704"/>
    <cfRule type="duplicateValues" dxfId="5832" priority="2705"/>
    <cfRule type="duplicateValues" dxfId="5831" priority="2706"/>
    <cfRule type="duplicateValues" dxfId="5830" priority="2707"/>
  </conditionalFormatting>
  <conditionalFormatting sqref="B306:B314">
    <cfRule type="duplicateValues" dxfId="5829" priority="2530"/>
    <cfRule type="duplicateValues" dxfId="5828" priority="2531"/>
    <cfRule type="duplicateValues" dxfId="5827" priority="2532"/>
    <cfRule type="duplicateValues" dxfId="5826" priority="2533"/>
    <cfRule type="duplicateValues" dxfId="5825" priority="2534"/>
    <cfRule type="duplicateValues" dxfId="5824" priority="2535"/>
    <cfRule type="duplicateValues" dxfId="5823" priority="2536"/>
    <cfRule type="duplicateValues" dxfId="5822" priority="2537"/>
    <cfRule type="duplicateValues" dxfId="5821" priority="2538"/>
    <cfRule type="duplicateValues" dxfId="5820" priority="2539"/>
    <cfRule type="duplicateValues" dxfId="5819" priority="2540"/>
    <cfRule type="duplicateValues" dxfId="5818" priority="2541"/>
    <cfRule type="duplicateValues" dxfId="5817" priority="2542"/>
    <cfRule type="duplicateValues" dxfId="5816" priority="2543"/>
    <cfRule type="duplicateValues" dxfId="5815" priority="2544"/>
    <cfRule type="duplicateValues" dxfId="5814" priority="2545"/>
    <cfRule type="duplicateValues" dxfId="5813" priority="2546"/>
    <cfRule type="duplicateValues" dxfId="5812" priority="2547"/>
    <cfRule type="duplicateValues" dxfId="5811" priority="2548"/>
    <cfRule type="duplicateValues" dxfId="5810" priority="2549"/>
    <cfRule type="duplicateValues" dxfId="5809" priority="2550"/>
    <cfRule type="duplicateValues" dxfId="5808" priority="2551"/>
    <cfRule type="duplicateValues" dxfId="5807" priority="2552"/>
    <cfRule type="duplicateValues" dxfId="5806" priority="2553"/>
    <cfRule type="duplicateValues" dxfId="5805" priority="2554"/>
    <cfRule type="duplicateValues" dxfId="5804" priority="2555"/>
    <cfRule type="duplicateValues" dxfId="5803" priority="2556"/>
    <cfRule type="duplicateValues" dxfId="5802" priority="2557"/>
    <cfRule type="duplicateValues" dxfId="5801" priority="2558"/>
    <cfRule type="duplicateValues" dxfId="5800" priority="2559"/>
    <cfRule type="duplicateValues" dxfId="5799" priority="2560"/>
    <cfRule type="duplicateValues" dxfId="5798" priority="2561"/>
    <cfRule type="duplicateValues" dxfId="5797" priority="2562"/>
    <cfRule type="duplicateValues" dxfId="5796" priority="2563"/>
    <cfRule type="duplicateValues" dxfId="5795" priority="2564"/>
    <cfRule type="duplicateValues" dxfId="5794" priority="2565"/>
    <cfRule type="duplicateValues" dxfId="5793" priority="2566"/>
    <cfRule type="duplicateValues" dxfId="5792" priority="2567"/>
    <cfRule type="duplicateValues" dxfId="5791" priority="2568"/>
    <cfRule type="duplicateValues" dxfId="5790" priority="2569"/>
    <cfRule type="duplicateValues" dxfId="5789" priority="2570"/>
    <cfRule type="duplicateValues" dxfId="5788" priority="2571"/>
    <cfRule type="duplicateValues" dxfId="5787" priority="2572"/>
    <cfRule type="duplicateValues" dxfId="5786" priority="2573"/>
    <cfRule type="duplicateValues" dxfId="5785" priority="2574"/>
    <cfRule type="duplicateValues" dxfId="5784" priority="2575"/>
    <cfRule type="duplicateValues" dxfId="5783" priority="2576"/>
    <cfRule type="duplicateValues" dxfId="5782" priority="2577"/>
    <cfRule type="duplicateValues" dxfId="5781" priority="2578"/>
    <cfRule type="duplicateValues" dxfId="5780" priority="2579"/>
    <cfRule type="duplicateValues" dxfId="5779" priority="2580"/>
    <cfRule type="duplicateValues" dxfId="5778" priority="2581"/>
    <cfRule type="duplicateValues" dxfId="5777" priority="2582"/>
    <cfRule type="duplicateValues" dxfId="5776" priority="2583"/>
    <cfRule type="duplicateValues" dxfId="5775" priority="2584"/>
    <cfRule type="duplicateValues" dxfId="5774" priority="2585"/>
    <cfRule type="duplicateValues" dxfId="5773" priority="2586"/>
    <cfRule type="duplicateValues" dxfId="5772" priority="2587"/>
    <cfRule type="duplicateValues" dxfId="5771" priority="2588"/>
    <cfRule type="duplicateValues" dxfId="5770" priority="2589"/>
    <cfRule type="duplicateValues" dxfId="5769" priority="2590"/>
    <cfRule type="duplicateValues" dxfId="5768" priority="2591"/>
    <cfRule type="duplicateValues" dxfId="5767" priority="2592"/>
    <cfRule type="duplicateValues" dxfId="5766" priority="2593"/>
    <cfRule type="duplicateValues" dxfId="5765" priority="2594"/>
    <cfRule type="duplicateValues" dxfId="5764" priority="2595"/>
    <cfRule type="duplicateValues" dxfId="5763" priority="2596"/>
    <cfRule type="duplicateValues" dxfId="5762" priority="2597"/>
    <cfRule type="duplicateValues" dxfId="5761" priority="2598"/>
    <cfRule type="duplicateValues" dxfId="5760" priority="2599"/>
    <cfRule type="duplicateValues" dxfId="5759" priority="2600"/>
    <cfRule type="duplicateValues" dxfId="5758" priority="2601"/>
    <cfRule type="duplicateValues" dxfId="5757" priority="2602"/>
    <cfRule type="duplicateValues" dxfId="5756" priority="2603"/>
    <cfRule type="duplicateValues" dxfId="5755" priority="2604"/>
    <cfRule type="duplicateValues" dxfId="5754" priority="2605"/>
    <cfRule type="duplicateValues" dxfId="5753" priority="2606"/>
    <cfRule type="duplicateValues" dxfId="5752" priority="2607"/>
    <cfRule type="duplicateValues" dxfId="5751" priority="2608"/>
    <cfRule type="duplicateValues" dxfId="5750" priority="2609"/>
    <cfRule type="duplicateValues" dxfId="5749" priority="2610"/>
    <cfRule type="duplicateValues" dxfId="5748" priority="2611"/>
    <cfRule type="duplicateValues" dxfId="5747" priority="2612"/>
    <cfRule type="duplicateValues" dxfId="5746" priority="2613"/>
    <cfRule type="duplicateValues" dxfId="5745" priority="2614"/>
    <cfRule type="duplicateValues" dxfId="5744" priority="2615"/>
    <cfRule type="duplicateValues" dxfId="5743" priority="2616"/>
    <cfRule type="duplicateValues" dxfId="5742" priority="2617"/>
    <cfRule type="duplicateValues" dxfId="5741" priority="2618"/>
  </conditionalFormatting>
  <conditionalFormatting sqref="B315:B345">
    <cfRule type="duplicateValues" dxfId="5740" priority="2441"/>
    <cfRule type="duplicateValues" dxfId="5739" priority="2442"/>
    <cfRule type="duplicateValues" dxfId="5738" priority="2443"/>
    <cfRule type="duplicateValues" dxfId="5737" priority="2444"/>
    <cfRule type="duplicateValues" dxfId="5736" priority="2445"/>
    <cfRule type="duplicateValues" dxfId="5735" priority="2446"/>
    <cfRule type="duplicateValues" dxfId="5734" priority="2447"/>
    <cfRule type="duplicateValues" dxfId="5733" priority="2448"/>
    <cfRule type="duplicateValues" dxfId="5732" priority="2449"/>
    <cfRule type="duplicateValues" dxfId="5731" priority="2450"/>
    <cfRule type="duplicateValues" dxfId="5730" priority="2451"/>
    <cfRule type="duplicateValues" dxfId="5729" priority="2452"/>
    <cfRule type="duplicateValues" dxfId="5728" priority="2453"/>
    <cfRule type="duplicateValues" dxfId="5727" priority="2454"/>
    <cfRule type="duplicateValues" dxfId="5726" priority="2455"/>
    <cfRule type="duplicateValues" dxfId="5725" priority="2456"/>
    <cfRule type="duplicateValues" dxfId="5724" priority="2457"/>
    <cfRule type="duplicateValues" dxfId="5723" priority="2458"/>
    <cfRule type="duplicateValues" dxfId="5722" priority="2459"/>
    <cfRule type="duplicateValues" dxfId="5721" priority="2460"/>
    <cfRule type="duplicateValues" dxfId="5720" priority="2461"/>
    <cfRule type="duplicateValues" dxfId="5719" priority="2462"/>
    <cfRule type="duplicateValues" dxfId="5718" priority="2463"/>
    <cfRule type="duplicateValues" dxfId="5717" priority="2464"/>
    <cfRule type="duplicateValues" dxfId="5716" priority="2465"/>
    <cfRule type="duplicateValues" dxfId="5715" priority="2466"/>
    <cfRule type="duplicateValues" dxfId="5714" priority="2467"/>
    <cfRule type="duplicateValues" dxfId="5713" priority="2468"/>
    <cfRule type="duplicateValues" dxfId="5712" priority="2469"/>
    <cfRule type="duplicateValues" dxfId="5711" priority="2470"/>
    <cfRule type="duplicateValues" dxfId="5710" priority="2471"/>
    <cfRule type="duplicateValues" dxfId="5709" priority="2472"/>
    <cfRule type="duplicateValues" dxfId="5708" priority="2473"/>
    <cfRule type="duplicateValues" dxfId="5707" priority="2474"/>
    <cfRule type="duplicateValues" dxfId="5706" priority="2475"/>
    <cfRule type="duplicateValues" dxfId="5705" priority="2476"/>
    <cfRule type="duplicateValues" dxfId="5704" priority="2477"/>
    <cfRule type="duplicateValues" dxfId="5703" priority="2478"/>
    <cfRule type="duplicateValues" dxfId="5702" priority="2479"/>
    <cfRule type="duplicateValues" dxfId="5701" priority="2480"/>
    <cfRule type="duplicateValues" dxfId="5700" priority="2481"/>
    <cfRule type="duplicateValues" dxfId="5699" priority="2482"/>
    <cfRule type="duplicateValues" dxfId="5698" priority="2483"/>
    <cfRule type="duplicateValues" dxfId="5697" priority="2484"/>
    <cfRule type="duplicateValues" dxfId="5696" priority="2485"/>
    <cfRule type="duplicateValues" dxfId="5695" priority="2486"/>
    <cfRule type="duplicateValues" dxfId="5694" priority="2487"/>
    <cfRule type="duplicateValues" dxfId="5693" priority="2488"/>
    <cfRule type="duplicateValues" dxfId="5692" priority="2489"/>
    <cfRule type="duplicateValues" dxfId="5691" priority="2490"/>
    <cfRule type="duplicateValues" dxfId="5690" priority="2491"/>
    <cfRule type="duplicateValues" dxfId="5689" priority="2492"/>
    <cfRule type="duplicateValues" dxfId="5688" priority="2493"/>
    <cfRule type="duplicateValues" dxfId="5687" priority="2494"/>
    <cfRule type="duplicateValues" dxfId="5686" priority="2495"/>
    <cfRule type="duplicateValues" dxfId="5685" priority="2496"/>
    <cfRule type="duplicateValues" dxfId="5684" priority="2497"/>
    <cfRule type="duplicateValues" dxfId="5683" priority="2498"/>
    <cfRule type="duplicateValues" dxfId="5682" priority="2499"/>
    <cfRule type="duplicateValues" dxfId="5681" priority="2500"/>
    <cfRule type="duplicateValues" dxfId="5680" priority="2501"/>
    <cfRule type="duplicateValues" dxfId="5679" priority="2502"/>
    <cfRule type="duplicateValues" dxfId="5678" priority="2503"/>
    <cfRule type="duplicateValues" dxfId="5677" priority="2504"/>
    <cfRule type="duplicateValues" dxfId="5676" priority="2505"/>
    <cfRule type="duplicateValues" dxfId="5675" priority="2506"/>
    <cfRule type="duplicateValues" dxfId="5674" priority="2507"/>
    <cfRule type="duplicateValues" dxfId="5673" priority="2508"/>
    <cfRule type="duplicateValues" dxfId="5672" priority="2509"/>
    <cfRule type="duplicateValues" dxfId="5671" priority="2510"/>
    <cfRule type="duplicateValues" dxfId="5670" priority="2511"/>
    <cfRule type="duplicateValues" dxfId="5669" priority="2512"/>
    <cfRule type="duplicateValues" dxfId="5668" priority="2513"/>
    <cfRule type="duplicateValues" dxfId="5667" priority="2514"/>
    <cfRule type="duplicateValues" dxfId="5666" priority="2515"/>
    <cfRule type="duplicateValues" dxfId="5665" priority="2516"/>
    <cfRule type="duplicateValues" dxfId="5664" priority="2517"/>
    <cfRule type="duplicateValues" dxfId="5663" priority="2518"/>
    <cfRule type="duplicateValues" dxfId="5662" priority="2519"/>
    <cfRule type="duplicateValues" dxfId="5661" priority="2520"/>
    <cfRule type="duplicateValues" dxfId="5660" priority="2521"/>
    <cfRule type="duplicateValues" dxfId="5659" priority="2522"/>
    <cfRule type="duplicateValues" dxfId="5658" priority="2523"/>
    <cfRule type="duplicateValues" dxfId="5657" priority="2524"/>
    <cfRule type="duplicateValues" dxfId="5656" priority="2525"/>
    <cfRule type="duplicateValues" dxfId="5655" priority="2526"/>
    <cfRule type="duplicateValues" dxfId="5654" priority="2527"/>
    <cfRule type="duplicateValues" dxfId="5653" priority="2528"/>
    <cfRule type="duplicateValues" dxfId="5652" priority="2529"/>
  </conditionalFormatting>
  <conditionalFormatting sqref="B346:B347">
    <cfRule type="duplicateValues" dxfId="5651" priority="2352"/>
    <cfRule type="duplicateValues" dxfId="5650" priority="2353"/>
    <cfRule type="duplicateValues" dxfId="5649" priority="2354"/>
    <cfRule type="duplicateValues" dxfId="5648" priority="2355"/>
    <cfRule type="duplicateValues" dxfId="5647" priority="2356"/>
    <cfRule type="duplicateValues" dxfId="5646" priority="2357"/>
    <cfRule type="duplicateValues" dxfId="5645" priority="2358"/>
    <cfRule type="duplicateValues" dxfId="5644" priority="2359"/>
    <cfRule type="duplicateValues" dxfId="5643" priority="2360"/>
    <cfRule type="duplicateValues" dxfId="5642" priority="2361"/>
    <cfRule type="duplicateValues" dxfId="5641" priority="2362"/>
    <cfRule type="duplicateValues" dxfId="5640" priority="2363"/>
    <cfRule type="duplicateValues" dxfId="5639" priority="2364"/>
    <cfRule type="duplicateValues" dxfId="5638" priority="2365"/>
    <cfRule type="duplicateValues" dxfId="5637" priority="2366"/>
    <cfRule type="duplicateValues" dxfId="5636" priority="2367"/>
    <cfRule type="duplicateValues" dxfId="5635" priority="2368"/>
    <cfRule type="duplicateValues" dxfId="5634" priority="2369"/>
    <cfRule type="duplicateValues" dxfId="5633" priority="2370"/>
    <cfRule type="duplicateValues" dxfId="5632" priority="2371"/>
    <cfRule type="duplicateValues" dxfId="5631" priority="2372"/>
    <cfRule type="duplicateValues" dxfId="5630" priority="2373"/>
    <cfRule type="duplicateValues" dxfId="5629" priority="2374"/>
    <cfRule type="duplicateValues" dxfId="5628" priority="2375"/>
    <cfRule type="duplicateValues" dxfId="5627" priority="2376"/>
    <cfRule type="duplicateValues" dxfId="5626" priority="2377"/>
    <cfRule type="duplicateValues" dxfId="5625" priority="2378"/>
    <cfRule type="duplicateValues" dxfId="5624" priority="2379"/>
    <cfRule type="duplicateValues" dxfId="5623" priority="2380"/>
    <cfRule type="duplicateValues" dxfId="5622" priority="2381"/>
    <cfRule type="duplicateValues" dxfId="5621" priority="2382"/>
    <cfRule type="duplicateValues" dxfId="5620" priority="2383"/>
    <cfRule type="duplicateValues" dxfId="5619" priority="2384"/>
    <cfRule type="duplicateValues" dxfId="5618" priority="2385"/>
    <cfRule type="duplicateValues" dxfId="5617" priority="2386"/>
    <cfRule type="duplicateValues" dxfId="5616" priority="2387"/>
    <cfRule type="duplicateValues" dxfId="5615" priority="2388"/>
    <cfRule type="duplicateValues" dxfId="5614" priority="2389"/>
    <cfRule type="duplicateValues" dxfId="5613" priority="2390"/>
    <cfRule type="duplicateValues" dxfId="5612" priority="2391"/>
    <cfRule type="duplicateValues" dxfId="5611" priority="2392"/>
    <cfRule type="duplicateValues" dxfId="5610" priority="2393"/>
    <cfRule type="duplicateValues" dxfId="5609" priority="2394"/>
    <cfRule type="duplicateValues" dxfId="5608" priority="2395"/>
    <cfRule type="duplicateValues" dxfId="5607" priority="2396"/>
    <cfRule type="duplicateValues" dxfId="5606" priority="2397"/>
    <cfRule type="duplicateValues" dxfId="5605" priority="2398"/>
    <cfRule type="duplicateValues" dxfId="5604" priority="2399"/>
    <cfRule type="duplicateValues" dxfId="5603" priority="2400"/>
    <cfRule type="duplicateValues" dxfId="5602" priority="2401"/>
    <cfRule type="duplicateValues" dxfId="5601" priority="2402"/>
    <cfRule type="duplicateValues" dxfId="5600" priority="2403"/>
    <cfRule type="duplicateValues" dxfId="5599" priority="2404"/>
    <cfRule type="duplicateValues" dxfId="5598" priority="2405"/>
    <cfRule type="duplicateValues" dxfId="5597" priority="2406"/>
    <cfRule type="duplicateValues" dxfId="5596" priority="2407"/>
    <cfRule type="duplicateValues" dxfId="5595" priority="2408"/>
    <cfRule type="duplicateValues" dxfId="5594" priority="2409"/>
    <cfRule type="duplicateValues" dxfId="5593" priority="2410"/>
    <cfRule type="duplicateValues" dxfId="5592" priority="2411"/>
    <cfRule type="duplicateValues" dxfId="5591" priority="2412"/>
    <cfRule type="duplicateValues" dxfId="5590" priority="2413"/>
    <cfRule type="duplicateValues" dxfId="5589" priority="2414"/>
    <cfRule type="duplicateValues" dxfId="5588" priority="2415"/>
    <cfRule type="duplicateValues" dxfId="5587" priority="2416"/>
    <cfRule type="duplicateValues" dxfId="5586" priority="2417"/>
    <cfRule type="duplicateValues" dxfId="5585" priority="2418"/>
    <cfRule type="duplicateValues" dxfId="5584" priority="2419"/>
    <cfRule type="duplicateValues" dxfId="5583" priority="2420"/>
    <cfRule type="duplicateValues" dxfId="5582" priority="2421"/>
    <cfRule type="duplicateValues" dxfId="5581" priority="2422"/>
    <cfRule type="duplicateValues" dxfId="5580" priority="2423"/>
    <cfRule type="duplicateValues" dxfId="5579" priority="2424"/>
    <cfRule type="duplicateValues" dxfId="5578" priority="2425"/>
    <cfRule type="duplicateValues" dxfId="5577" priority="2426"/>
    <cfRule type="duplicateValues" dxfId="5576" priority="2427"/>
    <cfRule type="duplicateValues" dxfId="5575" priority="2428"/>
    <cfRule type="duplicateValues" dxfId="5574" priority="2429"/>
    <cfRule type="duplicateValues" dxfId="5573" priority="2430"/>
    <cfRule type="duplicateValues" dxfId="5572" priority="2431"/>
    <cfRule type="duplicateValues" dxfId="5571" priority="2432"/>
    <cfRule type="duplicateValues" dxfId="5570" priority="2433"/>
    <cfRule type="duplicateValues" dxfId="5569" priority="2434"/>
    <cfRule type="duplicateValues" dxfId="5568" priority="2435"/>
    <cfRule type="duplicateValues" dxfId="5567" priority="2436"/>
    <cfRule type="duplicateValues" dxfId="5566" priority="2437"/>
    <cfRule type="duplicateValues" dxfId="5565" priority="2438"/>
    <cfRule type="duplicateValues" dxfId="5564" priority="2439"/>
    <cfRule type="duplicateValues" dxfId="5563" priority="2440"/>
  </conditionalFormatting>
  <conditionalFormatting sqref="B348">
    <cfRule type="duplicateValues" dxfId="5562" priority="2263"/>
    <cfRule type="duplicateValues" dxfId="5561" priority="2264"/>
    <cfRule type="duplicateValues" dxfId="5560" priority="2265"/>
    <cfRule type="duplicateValues" dxfId="5559" priority="2266"/>
    <cfRule type="duplicateValues" dxfId="5558" priority="2267"/>
    <cfRule type="duplicateValues" dxfId="5557" priority="2268"/>
    <cfRule type="duplicateValues" dxfId="5556" priority="2269"/>
    <cfRule type="duplicateValues" dxfId="5555" priority="2270"/>
    <cfRule type="duplicateValues" dxfId="5554" priority="2271"/>
    <cfRule type="duplicateValues" dxfId="5553" priority="2272"/>
    <cfRule type="duplicateValues" dxfId="5552" priority="2273"/>
    <cfRule type="duplicateValues" dxfId="5551" priority="2274"/>
    <cfRule type="duplicateValues" dxfId="5550" priority="2275"/>
    <cfRule type="duplicateValues" dxfId="5549" priority="2276"/>
    <cfRule type="duplicateValues" dxfId="5548" priority="2277"/>
    <cfRule type="duplicateValues" dxfId="5547" priority="2278"/>
    <cfRule type="duplicateValues" dxfId="5546" priority="2279"/>
    <cfRule type="duplicateValues" dxfId="5545" priority="2280"/>
    <cfRule type="duplicateValues" dxfId="5544" priority="2281"/>
    <cfRule type="duplicateValues" dxfId="5543" priority="2282"/>
    <cfRule type="duplicateValues" dxfId="5542" priority="2283"/>
    <cfRule type="duplicateValues" dxfId="5541" priority="2284"/>
    <cfRule type="duplicateValues" dxfId="5540" priority="2285"/>
    <cfRule type="duplicateValues" dxfId="5539" priority="2286"/>
    <cfRule type="duplicateValues" dxfId="5538" priority="2287"/>
    <cfRule type="duplicateValues" dxfId="5537" priority="2288"/>
    <cfRule type="duplicateValues" dxfId="5536" priority="2289"/>
    <cfRule type="duplicateValues" dxfId="5535" priority="2290"/>
    <cfRule type="duplicateValues" dxfId="5534" priority="2291"/>
    <cfRule type="duplicateValues" dxfId="5533" priority="2292"/>
    <cfRule type="duplicateValues" dxfId="5532" priority="2293"/>
    <cfRule type="duplicateValues" dxfId="5531" priority="2294"/>
    <cfRule type="duplicateValues" dxfId="5530" priority="2295"/>
    <cfRule type="duplicateValues" dxfId="5529" priority="2296"/>
    <cfRule type="duplicateValues" dxfId="5528" priority="2297"/>
    <cfRule type="duplicateValues" dxfId="5527" priority="2298"/>
    <cfRule type="duplicateValues" dxfId="5526" priority="2299"/>
    <cfRule type="duplicateValues" dxfId="5525" priority="2300"/>
    <cfRule type="duplicateValues" dxfId="5524" priority="2301"/>
    <cfRule type="duplicateValues" dxfId="5523" priority="2302"/>
    <cfRule type="duplicateValues" dxfId="5522" priority="2303"/>
    <cfRule type="duplicateValues" dxfId="5521" priority="2304"/>
    <cfRule type="duplicateValues" dxfId="5520" priority="2305"/>
    <cfRule type="duplicateValues" dxfId="5519" priority="2306"/>
    <cfRule type="duplicateValues" dxfId="5518" priority="2307"/>
    <cfRule type="duplicateValues" dxfId="5517" priority="2308"/>
    <cfRule type="duplicateValues" dxfId="5516" priority="2309"/>
    <cfRule type="duplicateValues" dxfId="5515" priority="2310"/>
    <cfRule type="duplicateValues" dxfId="5514" priority="2311"/>
    <cfRule type="duplicateValues" dxfId="5513" priority="2312"/>
    <cfRule type="duplicateValues" dxfId="5512" priority="2313"/>
    <cfRule type="duplicateValues" dxfId="5511" priority="2314"/>
    <cfRule type="duplicateValues" dxfId="5510" priority="2315"/>
    <cfRule type="duplicateValues" dxfId="5509" priority="2316"/>
    <cfRule type="duplicateValues" dxfId="5508" priority="2317"/>
    <cfRule type="duplicateValues" dxfId="5507" priority="2318"/>
    <cfRule type="duplicateValues" dxfId="5506" priority="2319"/>
    <cfRule type="duplicateValues" dxfId="5505" priority="2320"/>
    <cfRule type="duplicateValues" dxfId="5504" priority="2321"/>
    <cfRule type="duplicateValues" dxfId="5503" priority="2322"/>
    <cfRule type="duplicateValues" dxfId="5502" priority="2323"/>
    <cfRule type="duplicateValues" dxfId="5501" priority="2324"/>
    <cfRule type="duplicateValues" dxfId="5500" priority="2325"/>
    <cfRule type="duplicateValues" dxfId="5499" priority="2326"/>
    <cfRule type="duplicateValues" dxfId="5498" priority="2327"/>
    <cfRule type="duplicateValues" dxfId="5497" priority="2328"/>
    <cfRule type="duplicateValues" dxfId="5496" priority="2329"/>
    <cfRule type="duplicateValues" dxfId="5495" priority="2330"/>
    <cfRule type="duplicateValues" dxfId="5494" priority="2331"/>
    <cfRule type="duplicateValues" dxfId="5493" priority="2332"/>
    <cfRule type="duplicateValues" dxfId="5492" priority="2333"/>
    <cfRule type="duplicateValues" dxfId="5491" priority="2334"/>
    <cfRule type="duplicateValues" dxfId="5490" priority="2335"/>
    <cfRule type="duplicateValues" dxfId="5489" priority="2336"/>
    <cfRule type="duplicateValues" dxfId="5488" priority="2337"/>
    <cfRule type="duplicateValues" dxfId="5487" priority="2338"/>
    <cfRule type="duplicateValues" dxfId="5486" priority="2339"/>
    <cfRule type="duplicateValues" dxfId="5485" priority="2340"/>
    <cfRule type="duplicateValues" dxfId="5484" priority="2341"/>
    <cfRule type="duplicateValues" dxfId="5483" priority="2342"/>
    <cfRule type="duplicateValues" dxfId="5482" priority="2343"/>
    <cfRule type="duplicateValues" dxfId="5481" priority="2344"/>
    <cfRule type="duplicateValues" dxfId="5480" priority="2345"/>
    <cfRule type="duplicateValues" dxfId="5479" priority="2346"/>
    <cfRule type="duplicateValues" dxfId="5478" priority="2347"/>
    <cfRule type="duplicateValues" dxfId="5477" priority="2348"/>
    <cfRule type="duplicateValues" dxfId="5476" priority="2349"/>
    <cfRule type="duplicateValues" dxfId="5475" priority="2350"/>
    <cfRule type="duplicateValues" dxfId="5474" priority="2351"/>
  </conditionalFormatting>
  <conditionalFormatting sqref="B349:B351">
    <cfRule type="duplicateValues" dxfId="5473" priority="2174"/>
    <cfRule type="duplicateValues" dxfId="5472" priority="2175"/>
    <cfRule type="duplicateValues" dxfId="5471" priority="2176"/>
    <cfRule type="duplicateValues" dxfId="5470" priority="2177"/>
    <cfRule type="duplicateValues" dxfId="5469" priority="2178"/>
    <cfRule type="duplicateValues" dxfId="5468" priority="2179"/>
    <cfRule type="duplicateValues" dxfId="5467" priority="2180"/>
    <cfRule type="duplicateValues" dxfId="5466" priority="2181"/>
    <cfRule type="duplicateValues" dxfId="5465" priority="2182"/>
    <cfRule type="duplicateValues" dxfId="5464" priority="2183"/>
    <cfRule type="duplicateValues" dxfId="5463" priority="2184"/>
    <cfRule type="duplicateValues" dxfId="5462" priority="2185"/>
    <cfRule type="duplicateValues" dxfId="5461" priority="2186"/>
    <cfRule type="duplicateValues" dxfId="5460" priority="2187"/>
    <cfRule type="duplicateValues" dxfId="5459" priority="2188"/>
    <cfRule type="duplicateValues" dxfId="5458" priority="2189"/>
    <cfRule type="duplicateValues" dxfId="5457" priority="2190"/>
    <cfRule type="duplicateValues" dxfId="5456" priority="2191"/>
    <cfRule type="duplicateValues" dxfId="5455" priority="2192"/>
    <cfRule type="duplicateValues" dxfId="5454" priority="2193"/>
    <cfRule type="duplicateValues" dxfId="5453" priority="2194"/>
    <cfRule type="duplicateValues" dxfId="5452" priority="2195"/>
    <cfRule type="duplicateValues" dxfId="5451" priority="2196"/>
    <cfRule type="duplicateValues" dxfId="5450" priority="2197"/>
    <cfRule type="duplicateValues" dxfId="5449" priority="2198"/>
    <cfRule type="duplicateValues" dxfId="5448" priority="2199"/>
    <cfRule type="duplicateValues" dxfId="5447" priority="2200"/>
    <cfRule type="duplicateValues" dxfId="5446" priority="2201"/>
    <cfRule type="duplicateValues" dxfId="5445" priority="2202"/>
    <cfRule type="duplicateValues" dxfId="5444" priority="2203"/>
    <cfRule type="duplicateValues" dxfId="5443" priority="2204"/>
    <cfRule type="duplicateValues" dxfId="5442" priority="2205"/>
    <cfRule type="duplicateValues" dxfId="5441" priority="2206"/>
    <cfRule type="duplicateValues" dxfId="5440" priority="2207"/>
    <cfRule type="duplicateValues" dxfId="5439" priority="2208"/>
    <cfRule type="duplicateValues" dxfId="5438" priority="2209"/>
    <cfRule type="duplicateValues" dxfId="5437" priority="2210"/>
    <cfRule type="duplicateValues" dxfId="5436" priority="2211"/>
    <cfRule type="duplicateValues" dxfId="5435" priority="2212"/>
    <cfRule type="duplicateValues" dxfId="5434" priority="2213"/>
    <cfRule type="duplicateValues" dxfId="5433" priority="2214"/>
    <cfRule type="duplicateValues" dxfId="5432" priority="2215"/>
    <cfRule type="duplicateValues" dxfId="5431" priority="2216"/>
    <cfRule type="duplicateValues" dxfId="5430" priority="2217"/>
    <cfRule type="duplicateValues" dxfId="5429" priority="2218"/>
    <cfRule type="duplicateValues" dxfId="5428" priority="2219"/>
    <cfRule type="duplicateValues" dxfId="5427" priority="2220"/>
    <cfRule type="duplicateValues" dxfId="5426" priority="2221"/>
    <cfRule type="duplicateValues" dxfId="5425" priority="2222"/>
    <cfRule type="duplicateValues" dxfId="5424" priority="2223"/>
    <cfRule type="duplicateValues" dxfId="5423" priority="2224"/>
    <cfRule type="duplicateValues" dxfId="5422" priority="2225"/>
    <cfRule type="duplicateValues" dxfId="5421" priority="2226"/>
    <cfRule type="duplicateValues" dxfId="5420" priority="2227"/>
    <cfRule type="duplicateValues" dxfId="5419" priority="2228"/>
    <cfRule type="duplicateValues" dxfId="5418" priority="2229"/>
    <cfRule type="duplicateValues" dxfId="5417" priority="2230"/>
    <cfRule type="duplicateValues" dxfId="5416" priority="2231"/>
    <cfRule type="duplicateValues" dxfId="5415" priority="2232"/>
    <cfRule type="duplicateValues" dxfId="5414" priority="2233"/>
    <cfRule type="duplicateValues" dxfId="5413" priority="2234"/>
    <cfRule type="duplicateValues" dxfId="5412" priority="2235"/>
    <cfRule type="duplicateValues" dxfId="5411" priority="2236"/>
    <cfRule type="duplicateValues" dxfId="5410" priority="2237"/>
    <cfRule type="duplicateValues" dxfId="5409" priority="2238"/>
    <cfRule type="duplicateValues" dxfId="5408" priority="2239"/>
    <cfRule type="duplicateValues" dxfId="5407" priority="2240"/>
    <cfRule type="duplicateValues" dxfId="5406" priority="2241"/>
    <cfRule type="duplicateValues" dxfId="5405" priority="2242"/>
    <cfRule type="duplicateValues" dxfId="5404" priority="2243"/>
    <cfRule type="duplicateValues" dxfId="5403" priority="2244"/>
    <cfRule type="duplicateValues" dxfId="5402" priority="2245"/>
    <cfRule type="duplicateValues" dxfId="5401" priority="2246"/>
    <cfRule type="duplicateValues" dxfId="5400" priority="2247"/>
    <cfRule type="duplicateValues" dxfId="5399" priority="2248"/>
    <cfRule type="duplicateValues" dxfId="5398" priority="2249"/>
    <cfRule type="duplicateValues" dxfId="5397" priority="2250"/>
    <cfRule type="duplicateValues" dxfId="5396" priority="2251"/>
    <cfRule type="duplicateValues" dxfId="5395" priority="2252"/>
    <cfRule type="duplicateValues" dxfId="5394" priority="2253"/>
    <cfRule type="duplicateValues" dxfId="5393" priority="2254"/>
    <cfRule type="duplicateValues" dxfId="5392" priority="2255"/>
    <cfRule type="duplicateValues" dxfId="5391" priority="2256"/>
    <cfRule type="duplicateValues" dxfId="5390" priority="2257"/>
    <cfRule type="duplicateValues" dxfId="5389" priority="2258"/>
    <cfRule type="duplicateValues" dxfId="5388" priority="2259"/>
    <cfRule type="duplicateValues" dxfId="5387" priority="2260"/>
    <cfRule type="duplicateValues" dxfId="5386" priority="2261"/>
    <cfRule type="duplicateValues" dxfId="5385" priority="2262"/>
  </conditionalFormatting>
  <conditionalFormatting sqref="B352:B355">
    <cfRule type="duplicateValues" dxfId="5384" priority="2085"/>
    <cfRule type="duplicateValues" dxfId="5383" priority="2086"/>
    <cfRule type="duplicateValues" dxfId="5382" priority="2087"/>
    <cfRule type="duplicateValues" dxfId="5381" priority="2088"/>
    <cfRule type="duplicateValues" dxfId="5380" priority="2089"/>
    <cfRule type="duplicateValues" dxfId="5379" priority="2090"/>
    <cfRule type="duplicateValues" dxfId="5378" priority="2091"/>
    <cfRule type="duplicateValues" dxfId="5377" priority="2092"/>
    <cfRule type="duplicateValues" dxfId="5376" priority="2093"/>
    <cfRule type="duplicateValues" dxfId="5375" priority="2094"/>
    <cfRule type="duplicateValues" dxfId="5374" priority="2095"/>
    <cfRule type="duplicateValues" dxfId="5373" priority="2096"/>
    <cfRule type="duplicateValues" dxfId="5372" priority="2097"/>
    <cfRule type="duplicateValues" dxfId="5371" priority="2098"/>
    <cfRule type="duplicateValues" dxfId="5370" priority="2099"/>
    <cfRule type="duplicateValues" dxfId="5369" priority="2100"/>
    <cfRule type="duplicateValues" dxfId="5368" priority="2101"/>
    <cfRule type="duplicateValues" dxfId="5367" priority="2102"/>
    <cfRule type="duplicateValues" dxfId="5366" priority="2103"/>
    <cfRule type="duplicateValues" dxfId="5365" priority="2104"/>
    <cfRule type="duplicateValues" dxfId="5364" priority="2105"/>
    <cfRule type="duplicateValues" dxfId="5363" priority="2106"/>
    <cfRule type="duplicateValues" dxfId="5362" priority="2107"/>
    <cfRule type="duplicateValues" dxfId="5361" priority="2108"/>
    <cfRule type="duplicateValues" dxfId="5360" priority="2109"/>
    <cfRule type="duplicateValues" dxfId="5359" priority="2110"/>
    <cfRule type="duplicateValues" dxfId="5358" priority="2111"/>
    <cfRule type="duplicateValues" dxfId="5357" priority="2112"/>
    <cfRule type="duplicateValues" dxfId="5356" priority="2113"/>
    <cfRule type="duplicateValues" dxfId="5355" priority="2114"/>
    <cfRule type="duplicateValues" dxfId="5354" priority="2115"/>
    <cfRule type="duplicateValues" dxfId="5353" priority="2116"/>
    <cfRule type="duplicateValues" dxfId="5352" priority="2117"/>
    <cfRule type="duplicateValues" dxfId="5351" priority="2118"/>
    <cfRule type="duplicateValues" dxfId="5350" priority="2119"/>
    <cfRule type="duplicateValues" dxfId="5349" priority="2120"/>
    <cfRule type="duplicateValues" dxfId="5348" priority="2121"/>
    <cfRule type="duplicateValues" dxfId="5347" priority="2122"/>
    <cfRule type="duplicateValues" dxfId="5346" priority="2123"/>
    <cfRule type="duplicateValues" dxfId="5345" priority="2124"/>
    <cfRule type="duplicateValues" dxfId="5344" priority="2125"/>
    <cfRule type="duplicateValues" dxfId="5343" priority="2126"/>
    <cfRule type="duplicateValues" dxfId="5342" priority="2127"/>
    <cfRule type="duplicateValues" dxfId="5341" priority="2128"/>
    <cfRule type="duplicateValues" dxfId="5340" priority="2129"/>
    <cfRule type="duplicateValues" dxfId="5339" priority="2130"/>
    <cfRule type="duplicateValues" dxfId="5338" priority="2131"/>
    <cfRule type="duplicateValues" dxfId="5337" priority="2132"/>
    <cfRule type="duplicateValues" dxfId="5336" priority="2133"/>
    <cfRule type="duplicateValues" dxfId="5335" priority="2134"/>
    <cfRule type="duplicateValues" dxfId="5334" priority="2135"/>
    <cfRule type="duplicateValues" dxfId="5333" priority="2136"/>
    <cfRule type="duplicateValues" dxfId="5332" priority="2137"/>
    <cfRule type="duplicateValues" dxfId="5331" priority="2138"/>
    <cfRule type="duplicateValues" dxfId="5330" priority="2139"/>
    <cfRule type="duplicateValues" dxfId="5329" priority="2140"/>
    <cfRule type="duplicateValues" dxfId="5328" priority="2141"/>
    <cfRule type="duplicateValues" dxfId="5327" priority="2142"/>
    <cfRule type="duplicateValues" dxfId="5326" priority="2143"/>
    <cfRule type="duplicateValues" dxfId="5325" priority="2144"/>
    <cfRule type="duplicateValues" dxfId="5324" priority="2145"/>
    <cfRule type="duplicateValues" dxfId="5323" priority="2146"/>
    <cfRule type="duplicateValues" dxfId="5322" priority="2147"/>
    <cfRule type="duplicateValues" dxfId="5321" priority="2148"/>
    <cfRule type="duplicateValues" dxfId="5320" priority="2149"/>
    <cfRule type="duplicateValues" dxfId="5319" priority="2150"/>
    <cfRule type="duplicateValues" dxfId="5318" priority="2151"/>
    <cfRule type="duplicateValues" dxfId="5317" priority="2152"/>
    <cfRule type="duplicateValues" dxfId="5316" priority="2153"/>
    <cfRule type="duplicateValues" dxfId="5315" priority="2154"/>
    <cfRule type="duplicateValues" dxfId="5314" priority="2155"/>
    <cfRule type="duplicateValues" dxfId="5313" priority="2156"/>
    <cfRule type="duplicateValues" dxfId="5312" priority="2157"/>
    <cfRule type="duplicateValues" dxfId="5311" priority="2158"/>
    <cfRule type="duplicateValues" dxfId="5310" priority="2159"/>
    <cfRule type="duplicateValues" dxfId="5309" priority="2160"/>
    <cfRule type="duplicateValues" dxfId="5308" priority="2161"/>
    <cfRule type="duplicateValues" dxfId="5307" priority="2162"/>
    <cfRule type="duplicateValues" dxfId="5306" priority="2163"/>
    <cfRule type="duplicateValues" dxfId="5305" priority="2164"/>
    <cfRule type="duplicateValues" dxfId="5304" priority="2165"/>
    <cfRule type="duplicateValues" dxfId="5303" priority="2166"/>
    <cfRule type="duplicateValues" dxfId="5302" priority="2167"/>
    <cfRule type="duplicateValues" dxfId="5301" priority="2168"/>
    <cfRule type="duplicateValues" dxfId="5300" priority="2169"/>
    <cfRule type="duplicateValues" dxfId="5299" priority="2170"/>
    <cfRule type="duplicateValues" dxfId="5298" priority="2171"/>
    <cfRule type="duplicateValues" dxfId="5297" priority="2172"/>
    <cfRule type="duplicateValues" dxfId="5296" priority="2173"/>
  </conditionalFormatting>
  <conditionalFormatting sqref="B356:B366">
    <cfRule type="duplicateValues" dxfId="5295" priority="1996"/>
    <cfRule type="duplicateValues" dxfId="5294" priority="1997"/>
    <cfRule type="duplicateValues" dxfId="5293" priority="1998"/>
    <cfRule type="duplicateValues" dxfId="5292" priority="1999"/>
    <cfRule type="duplicateValues" dxfId="5291" priority="2000"/>
    <cfRule type="duplicateValues" dxfId="5290" priority="2001"/>
    <cfRule type="duplicateValues" dxfId="5289" priority="2002"/>
    <cfRule type="duplicateValues" dxfId="5288" priority="2003"/>
    <cfRule type="duplicateValues" dxfId="5287" priority="2004"/>
    <cfRule type="duplicateValues" dxfId="5286" priority="2005"/>
    <cfRule type="duplicateValues" dxfId="5285" priority="2006"/>
    <cfRule type="duplicateValues" dxfId="5284" priority="2007"/>
    <cfRule type="duplicateValues" dxfId="5283" priority="2008"/>
    <cfRule type="duplicateValues" dxfId="5282" priority="2009"/>
    <cfRule type="duplicateValues" dxfId="5281" priority="2010"/>
    <cfRule type="duplicateValues" dxfId="5280" priority="2011"/>
    <cfRule type="duplicateValues" dxfId="5279" priority="2012"/>
    <cfRule type="duplicateValues" dxfId="5278" priority="2013"/>
    <cfRule type="duplicateValues" dxfId="5277" priority="2014"/>
    <cfRule type="duplicateValues" dxfId="5276" priority="2015"/>
    <cfRule type="duplicateValues" dxfId="5275" priority="2016"/>
    <cfRule type="duplicateValues" dxfId="5274" priority="2017"/>
    <cfRule type="duplicateValues" dxfId="5273" priority="2018"/>
    <cfRule type="duplicateValues" dxfId="5272" priority="2019"/>
    <cfRule type="duplicateValues" dxfId="5271" priority="2020"/>
    <cfRule type="duplicateValues" dxfId="5270" priority="2021"/>
    <cfRule type="duplicateValues" dxfId="5269" priority="2022"/>
    <cfRule type="duplicateValues" dxfId="5268" priority="2023"/>
    <cfRule type="duplicateValues" dxfId="5267" priority="2024"/>
    <cfRule type="duplicateValues" dxfId="5266" priority="2025"/>
    <cfRule type="duplicateValues" dxfId="5265" priority="2026"/>
    <cfRule type="duplicateValues" dxfId="5264" priority="2027"/>
    <cfRule type="duplicateValues" dxfId="5263" priority="2028"/>
    <cfRule type="duplicateValues" dxfId="5262" priority="2029"/>
    <cfRule type="duplicateValues" dxfId="5261" priority="2030"/>
    <cfRule type="duplicateValues" dxfId="5260" priority="2031"/>
    <cfRule type="duplicateValues" dxfId="5259" priority="2032"/>
    <cfRule type="duplicateValues" dxfId="5258" priority="2033"/>
    <cfRule type="duplicateValues" dxfId="5257" priority="2034"/>
    <cfRule type="duplicateValues" dxfId="5256" priority="2035"/>
    <cfRule type="duplicateValues" dxfId="5255" priority="2036"/>
    <cfRule type="duplicateValues" dxfId="5254" priority="2037"/>
    <cfRule type="duplicateValues" dxfId="5253" priority="2038"/>
    <cfRule type="duplicateValues" dxfId="5252" priority="2039"/>
    <cfRule type="duplicateValues" dxfId="5251" priority="2040"/>
    <cfRule type="duplicateValues" dxfId="5250" priority="2041"/>
    <cfRule type="duplicateValues" dxfId="5249" priority="2042"/>
    <cfRule type="duplicateValues" dxfId="5248" priority="2043"/>
    <cfRule type="duplicateValues" dxfId="5247" priority="2044"/>
    <cfRule type="duplicateValues" dxfId="5246" priority="2045"/>
    <cfRule type="duplicateValues" dxfId="5245" priority="2046"/>
    <cfRule type="duplicateValues" dxfId="5244" priority="2047"/>
    <cfRule type="duplicateValues" dxfId="5243" priority="2048"/>
    <cfRule type="duplicateValues" dxfId="5242" priority="2049"/>
    <cfRule type="duplicateValues" dxfId="5241" priority="2050"/>
    <cfRule type="duplicateValues" dxfId="5240" priority="2051"/>
    <cfRule type="duplicateValues" dxfId="5239" priority="2052"/>
    <cfRule type="duplicateValues" dxfId="5238" priority="2053"/>
    <cfRule type="duplicateValues" dxfId="5237" priority="2054"/>
    <cfRule type="duplicateValues" dxfId="5236" priority="2055"/>
    <cfRule type="duplicateValues" dxfId="5235" priority="2056"/>
    <cfRule type="duplicateValues" dxfId="5234" priority="2057"/>
    <cfRule type="duplicateValues" dxfId="5233" priority="2058"/>
    <cfRule type="duplicateValues" dxfId="5232" priority="2059"/>
    <cfRule type="duplicateValues" dxfId="5231" priority="2060"/>
    <cfRule type="duplicateValues" dxfId="5230" priority="2061"/>
    <cfRule type="duplicateValues" dxfId="5229" priority="2062"/>
    <cfRule type="duplicateValues" dxfId="5228" priority="2063"/>
    <cfRule type="duplicateValues" dxfId="5227" priority="2064"/>
    <cfRule type="duplicateValues" dxfId="5226" priority="2065"/>
    <cfRule type="duplicateValues" dxfId="5225" priority="2066"/>
    <cfRule type="duplicateValues" dxfId="5224" priority="2067"/>
    <cfRule type="duplicateValues" dxfId="5223" priority="2068"/>
    <cfRule type="duplicateValues" dxfId="5222" priority="2069"/>
    <cfRule type="duplicateValues" dxfId="5221" priority="2070"/>
    <cfRule type="duplicateValues" dxfId="5220" priority="2071"/>
    <cfRule type="duplicateValues" dxfId="5219" priority="2072"/>
    <cfRule type="duplicateValues" dxfId="5218" priority="2073"/>
    <cfRule type="duplicateValues" dxfId="5217" priority="2074"/>
    <cfRule type="duplicateValues" dxfId="5216" priority="2075"/>
    <cfRule type="duplicateValues" dxfId="5215" priority="2076"/>
    <cfRule type="duplicateValues" dxfId="5214" priority="2077"/>
    <cfRule type="duplicateValues" dxfId="5213" priority="2078"/>
    <cfRule type="duplicateValues" dxfId="5212" priority="2079"/>
    <cfRule type="duplicateValues" dxfId="5211" priority="2080"/>
    <cfRule type="duplicateValues" dxfId="5210" priority="2081"/>
    <cfRule type="duplicateValues" dxfId="5209" priority="2082"/>
    <cfRule type="duplicateValues" dxfId="5208" priority="2083"/>
    <cfRule type="duplicateValues" dxfId="5207" priority="2084"/>
  </conditionalFormatting>
  <conditionalFormatting sqref="B367:B370">
    <cfRule type="duplicateValues" dxfId="5206" priority="1907"/>
    <cfRule type="duplicateValues" dxfId="5205" priority="1908"/>
    <cfRule type="duplicateValues" dxfId="5204" priority="1909"/>
    <cfRule type="duplicateValues" dxfId="5203" priority="1910"/>
    <cfRule type="duplicateValues" dxfId="5202" priority="1911"/>
    <cfRule type="duplicateValues" dxfId="5201" priority="1912"/>
    <cfRule type="duplicateValues" dxfId="5200" priority="1913"/>
    <cfRule type="duplicateValues" dxfId="5199" priority="1914"/>
    <cfRule type="duplicateValues" dxfId="5198" priority="1915"/>
    <cfRule type="duplicateValues" dxfId="5197" priority="1916"/>
    <cfRule type="duplicateValues" dxfId="5196" priority="1917"/>
    <cfRule type="duplicateValues" dxfId="5195" priority="1918"/>
    <cfRule type="duplicateValues" dxfId="5194" priority="1919"/>
    <cfRule type="duplicateValues" dxfId="5193" priority="1920"/>
    <cfRule type="duplicateValues" dxfId="5192" priority="1921"/>
    <cfRule type="duplicateValues" dxfId="5191" priority="1922"/>
    <cfRule type="duplicateValues" dxfId="5190" priority="1923"/>
    <cfRule type="duplicateValues" dxfId="5189" priority="1924"/>
    <cfRule type="duplicateValues" dxfId="5188" priority="1925"/>
    <cfRule type="duplicateValues" dxfId="5187" priority="1926"/>
    <cfRule type="duplicateValues" dxfId="5186" priority="1927"/>
    <cfRule type="duplicateValues" dxfId="5185" priority="1928"/>
    <cfRule type="duplicateValues" dxfId="5184" priority="1929"/>
    <cfRule type="duplicateValues" dxfId="5183" priority="1930"/>
    <cfRule type="duplicateValues" dxfId="5182" priority="1931"/>
    <cfRule type="duplicateValues" dxfId="5181" priority="1932"/>
    <cfRule type="duplicateValues" dxfId="5180" priority="1933"/>
    <cfRule type="duplicateValues" dxfId="5179" priority="1934"/>
    <cfRule type="duplicateValues" dxfId="5178" priority="1935"/>
    <cfRule type="duplicateValues" dxfId="5177" priority="1936"/>
    <cfRule type="duplicateValues" dxfId="5176" priority="1937"/>
    <cfRule type="duplicateValues" dxfId="5175" priority="1938"/>
    <cfRule type="duplicateValues" dxfId="5174" priority="1939"/>
    <cfRule type="duplicateValues" dxfId="5173" priority="1940"/>
    <cfRule type="duplicateValues" dxfId="5172" priority="1941"/>
    <cfRule type="duplicateValues" dxfId="5171" priority="1942"/>
    <cfRule type="duplicateValues" dxfId="5170" priority="1943"/>
    <cfRule type="duplicateValues" dxfId="5169" priority="1944"/>
    <cfRule type="duplicateValues" dxfId="5168" priority="1945"/>
    <cfRule type="duplicateValues" dxfId="5167" priority="1946"/>
    <cfRule type="duplicateValues" dxfId="5166" priority="1947"/>
    <cfRule type="duplicateValues" dxfId="5165" priority="1948"/>
    <cfRule type="duplicateValues" dxfId="5164" priority="1949"/>
    <cfRule type="duplicateValues" dxfId="5163" priority="1950"/>
    <cfRule type="duplicateValues" dxfId="5162" priority="1951"/>
    <cfRule type="duplicateValues" dxfId="5161" priority="1952"/>
    <cfRule type="duplicateValues" dxfId="5160" priority="1953"/>
    <cfRule type="duplicateValues" dxfId="5159" priority="1954"/>
    <cfRule type="duplicateValues" dxfId="5158" priority="1955"/>
    <cfRule type="duplicateValues" dxfId="5157" priority="1956"/>
    <cfRule type="duplicateValues" dxfId="5156" priority="1957"/>
    <cfRule type="duplicateValues" dxfId="5155" priority="1958"/>
    <cfRule type="duplicateValues" dxfId="5154" priority="1959"/>
    <cfRule type="duplicateValues" dxfId="5153" priority="1960"/>
    <cfRule type="duplicateValues" dxfId="5152" priority="1961"/>
    <cfRule type="duplicateValues" dxfId="5151" priority="1962"/>
    <cfRule type="duplicateValues" dxfId="5150" priority="1963"/>
    <cfRule type="duplicateValues" dxfId="5149" priority="1964"/>
    <cfRule type="duplicateValues" dxfId="5148" priority="1965"/>
    <cfRule type="duplicateValues" dxfId="5147" priority="1966"/>
    <cfRule type="duplicateValues" dxfId="5146" priority="1967"/>
    <cfRule type="duplicateValues" dxfId="5145" priority="1968"/>
    <cfRule type="duplicateValues" dxfId="5144" priority="1969"/>
    <cfRule type="duplicateValues" dxfId="5143" priority="1970"/>
    <cfRule type="duplicateValues" dxfId="5142" priority="1971"/>
    <cfRule type="duplicateValues" dxfId="5141" priority="1972"/>
    <cfRule type="duplicateValues" dxfId="5140" priority="1973"/>
    <cfRule type="duplicateValues" dxfId="5139" priority="1974"/>
    <cfRule type="duplicateValues" dxfId="5138" priority="1975"/>
    <cfRule type="duplicateValues" dxfId="5137" priority="1976"/>
    <cfRule type="duplicateValues" dxfId="5136" priority="1977"/>
    <cfRule type="duplicateValues" dxfId="5135" priority="1978"/>
    <cfRule type="duplicateValues" dxfId="5134" priority="1979"/>
    <cfRule type="duplicateValues" dxfId="5133" priority="1980"/>
    <cfRule type="duplicateValues" dxfId="5132" priority="1981"/>
    <cfRule type="duplicateValues" dxfId="5131" priority="1982"/>
    <cfRule type="duplicateValues" dxfId="5130" priority="1983"/>
    <cfRule type="duplicateValues" dxfId="5129" priority="1984"/>
    <cfRule type="duplicateValues" dxfId="5128" priority="1985"/>
    <cfRule type="duplicateValues" dxfId="5127" priority="1986"/>
    <cfRule type="duplicateValues" dxfId="5126" priority="1987"/>
    <cfRule type="duplicateValues" dxfId="5125" priority="1988"/>
    <cfRule type="duplicateValues" dxfId="5124" priority="1989"/>
    <cfRule type="duplicateValues" dxfId="5123" priority="1990"/>
    <cfRule type="duplicateValues" dxfId="5122" priority="1991"/>
    <cfRule type="duplicateValues" dxfId="5121" priority="1992"/>
    <cfRule type="duplicateValues" dxfId="5120" priority="1993"/>
    <cfRule type="duplicateValues" dxfId="5119" priority="1994"/>
    <cfRule type="duplicateValues" dxfId="5118" priority="1995"/>
  </conditionalFormatting>
  <conditionalFormatting sqref="B371:B373">
    <cfRule type="duplicateValues" dxfId="5117" priority="1818"/>
    <cfRule type="duplicateValues" dxfId="5116" priority="1819"/>
    <cfRule type="duplicateValues" dxfId="5115" priority="1820"/>
    <cfRule type="duplicateValues" dxfId="5114" priority="1821"/>
    <cfRule type="duplicateValues" dxfId="5113" priority="1822"/>
    <cfRule type="duplicateValues" dxfId="5112" priority="1823"/>
    <cfRule type="duplicateValues" dxfId="5111" priority="1824"/>
    <cfRule type="duplicateValues" dxfId="5110" priority="1825"/>
    <cfRule type="duplicateValues" dxfId="5109" priority="1826"/>
    <cfRule type="duplicateValues" dxfId="5108" priority="1827"/>
    <cfRule type="duplicateValues" dxfId="5107" priority="1828"/>
    <cfRule type="duplicateValues" dxfId="5106" priority="1829"/>
    <cfRule type="duplicateValues" dxfId="5105" priority="1830"/>
    <cfRule type="duplicateValues" dxfId="5104" priority="1831"/>
    <cfRule type="duplicateValues" dxfId="5103" priority="1832"/>
    <cfRule type="duplicateValues" dxfId="5102" priority="1833"/>
    <cfRule type="duplicateValues" dxfId="5101" priority="1834"/>
    <cfRule type="duplicateValues" dxfId="5100" priority="1835"/>
    <cfRule type="duplicateValues" dxfId="5099" priority="1836"/>
    <cfRule type="duplicateValues" dxfId="5098" priority="1837"/>
    <cfRule type="duplicateValues" dxfId="5097" priority="1838"/>
    <cfRule type="duplicateValues" dxfId="5096" priority="1839"/>
    <cfRule type="duplicateValues" dxfId="5095" priority="1840"/>
    <cfRule type="duplicateValues" dxfId="5094" priority="1841"/>
    <cfRule type="duplicateValues" dxfId="5093" priority="1842"/>
    <cfRule type="duplicateValues" dxfId="5092" priority="1843"/>
    <cfRule type="duplicateValues" dxfId="5091" priority="1844"/>
    <cfRule type="duplicateValues" dxfId="5090" priority="1845"/>
    <cfRule type="duplicateValues" dxfId="5089" priority="1846"/>
    <cfRule type="duplicateValues" dxfId="5088" priority="1847"/>
    <cfRule type="duplicateValues" dxfId="5087" priority="1848"/>
    <cfRule type="duplicateValues" dxfId="5086" priority="1849"/>
    <cfRule type="duplicateValues" dxfId="5085" priority="1850"/>
    <cfRule type="duplicateValues" dxfId="5084" priority="1851"/>
    <cfRule type="duplicateValues" dxfId="5083" priority="1852"/>
    <cfRule type="duplicateValues" dxfId="5082" priority="1853"/>
    <cfRule type="duplicateValues" dxfId="5081" priority="1854"/>
    <cfRule type="duplicateValues" dxfId="5080" priority="1855"/>
    <cfRule type="duplicateValues" dxfId="5079" priority="1856"/>
    <cfRule type="duplicateValues" dxfId="5078" priority="1857"/>
    <cfRule type="duplicateValues" dxfId="5077" priority="1858"/>
    <cfRule type="duplicateValues" dxfId="5076" priority="1859"/>
    <cfRule type="duplicateValues" dxfId="5075" priority="1860"/>
    <cfRule type="duplicateValues" dxfId="5074" priority="1861"/>
    <cfRule type="duplicateValues" dxfId="5073" priority="1862"/>
    <cfRule type="duplicateValues" dxfId="5072" priority="1863"/>
    <cfRule type="duplicateValues" dxfId="5071" priority="1864"/>
    <cfRule type="duplicateValues" dxfId="5070" priority="1865"/>
    <cfRule type="duplicateValues" dxfId="5069" priority="1866"/>
    <cfRule type="duplicateValues" dxfId="5068" priority="1867"/>
    <cfRule type="duplicateValues" dxfId="5067" priority="1868"/>
    <cfRule type="duplicateValues" dxfId="5066" priority="1869"/>
    <cfRule type="duplicateValues" dxfId="5065" priority="1870"/>
    <cfRule type="duplicateValues" dxfId="5064" priority="1871"/>
    <cfRule type="duplicateValues" dxfId="5063" priority="1872"/>
    <cfRule type="duplicateValues" dxfId="5062" priority="1873"/>
    <cfRule type="duplicateValues" dxfId="5061" priority="1874"/>
    <cfRule type="duplicateValues" dxfId="5060" priority="1875"/>
    <cfRule type="duplicateValues" dxfId="5059" priority="1876"/>
    <cfRule type="duplicateValues" dxfId="5058" priority="1877"/>
    <cfRule type="duplicateValues" dxfId="5057" priority="1878"/>
    <cfRule type="duplicateValues" dxfId="5056" priority="1879"/>
    <cfRule type="duplicateValues" dxfId="5055" priority="1880"/>
    <cfRule type="duplicateValues" dxfId="5054" priority="1881"/>
    <cfRule type="duplicateValues" dxfId="5053" priority="1882"/>
    <cfRule type="duplicateValues" dxfId="5052" priority="1883"/>
    <cfRule type="duplicateValues" dxfId="5051" priority="1884"/>
    <cfRule type="duplicateValues" dxfId="5050" priority="1885"/>
    <cfRule type="duplicateValues" dxfId="5049" priority="1886"/>
    <cfRule type="duplicateValues" dxfId="5048" priority="1887"/>
    <cfRule type="duplicateValues" dxfId="5047" priority="1888"/>
    <cfRule type="duplicateValues" dxfId="5046" priority="1889"/>
    <cfRule type="duplicateValues" dxfId="5045" priority="1890"/>
    <cfRule type="duplicateValues" dxfId="5044" priority="1891"/>
    <cfRule type="duplicateValues" dxfId="5043" priority="1892"/>
    <cfRule type="duplicateValues" dxfId="5042" priority="1893"/>
    <cfRule type="duplicateValues" dxfId="5041" priority="1894"/>
    <cfRule type="duplicateValues" dxfId="5040" priority="1895"/>
    <cfRule type="duplicateValues" dxfId="5039" priority="1896"/>
    <cfRule type="duplicateValues" dxfId="5038" priority="1897"/>
    <cfRule type="duplicateValues" dxfId="5037" priority="1898"/>
    <cfRule type="duplicateValues" dxfId="5036" priority="1899"/>
    <cfRule type="duplicateValues" dxfId="5035" priority="1900"/>
    <cfRule type="duplicateValues" dxfId="5034" priority="1901"/>
    <cfRule type="duplicateValues" dxfId="5033" priority="1902"/>
    <cfRule type="duplicateValues" dxfId="5032" priority="1903"/>
    <cfRule type="duplicateValues" dxfId="5031" priority="1904"/>
    <cfRule type="duplicateValues" dxfId="5030" priority="1905"/>
    <cfRule type="duplicateValues" dxfId="5029" priority="1906"/>
  </conditionalFormatting>
  <conditionalFormatting sqref="B374:B384">
    <cfRule type="duplicateValues" dxfId="5028" priority="1729"/>
    <cfRule type="duplicateValues" dxfId="5027" priority="1730"/>
    <cfRule type="duplicateValues" dxfId="5026" priority="1731"/>
    <cfRule type="duplicateValues" dxfId="5025" priority="1732"/>
    <cfRule type="duplicateValues" dxfId="5024" priority="1733"/>
    <cfRule type="duplicateValues" dxfId="5023" priority="1734"/>
    <cfRule type="duplicateValues" dxfId="5022" priority="1735"/>
    <cfRule type="duplicateValues" dxfId="5021" priority="1736"/>
    <cfRule type="duplicateValues" dxfId="5020" priority="1737"/>
    <cfRule type="duplicateValues" dxfId="5019" priority="1738"/>
    <cfRule type="duplicateValues" dxfId="5018" priority="1739"/>
    <cfRule type="duplicateValues" dxfId="5017" priority="1740"/>
    <cfRule type="duplicateValues" dxfId="5016" priority="1741"/>
    <cfRule type="duplicateValues" dxfId="5015" priority="1742"/>
    <cfRule type="duplicateValues" dxfId="5014" priority="1743"/>
    <cfRule type="duplicateValues" dxfId="5013" priority="1744"/>
    <cfRule type="duplicateValues" dxfId="5012" priority="1745"/>
    <cfRule type="duplicateValues" dxfId="5011" priority="1746"/>
    <cfRule type="duplicateValues" dxfId="5010" priority="1747"/>
    <cfRule type="duplicateValues" dxfId="5009" priority="1748"/>
    <cfRule type="duplicateValues" dxfId="5008" priority="1749"/>
    <cfRule type="duplicateValues" dxfId="5007" priority="1750"/>
    <cfRule type="duplicateValues" dxfId="5006" priority="1751"/>
    <cfRule type="duplicateValues" dxfId="5005" priority="1752"/>
    <cfRule type="duplicateValues" dxfId="5004" priority="1753"/>
    <cfRule type="duplicateValues" dxfId="5003" priority="1754"/>
    <cfRule type="duplicateValues" dxfId="5002" priority="1755"/>
    <cfRule type="duplicateValues" dxfId="5001" priority="1756"/>
    <cfRule type="duplicateValues" dxfId="5000" priority="1757"/>
    <cfRule type="duplicateValues" dxfId="4999" priority="1758"/>
    <cfRule type="duplicateValues" dxfId="4998" priority="1759"/>
    <cfRule type="duplicateValues" dxfId="4997" priority="1760"/>
    <cfRule type="duplicateValues" dxfId="4996" priority="1761"/>
    <cfRule type="duplicateValues" dxfId="4995" priority="1762"/>
    <cfRule type="duplicateValues" dxfId="4994" priority="1763"/>
    <cfRule type="duplicateValues" dxfId="4993" priority="1764"/>
    <cfRule type="duplicateValues" dxfId="4992" priority="1765"/>
    <cfRule type="duplicateValues" dxfId="4991" priority="1766"/>
    <cfRule type="duplicateValues" dxfId="4990" priority="1767"/>
    <cfRule type="duplicateValues" dxfId="4989" priority="1768"/>
    <cfRule type="duplicateValues" dxfId="4988" priority="1769"/>
    <cfRule type="duplicateValues" dxfId="4987" priority="1770"/>
    <cfRule type="duplicateValues" dxfId="4986" priority="1771"/>
    <cfRule type="duplicateValues" dxfId="4985" priority="1772"/>
    <cfRule type="duplicateValues" dxfId="4984" priority="1773"/>
    <cfRule type="duplicateValues" dxfId="4983" priority="1774"/>
    <cfRule type="duplicateValues" dxfId="4982" priority="1775"/>
    <cfRule type="duplicateValues" dxfId="4981" priority="1776"/>
    <cfRule type="duplicateValues" dxfId="4980" priority="1777"/>
    <cfRule type="duplicateValues" dxfId="4979" priority="1778"/>
    <cfRule type="duplicateValues" dxfId="4978" priority="1779"/>
    <cfRule type="duplicateValues" dxfId="4977" priority="1780"/>
    <cfRule type="duplicateValues" dxfId="4976" priority="1781"/>
    <cfRule type="duplicateValues" dxfId="4975" priority="1782"/>
    <cfRule type="duplicateValues" dxfId="4974" priority="1783"/>
    <cfRule type="duplicateValues" dxfId="4973" priority="1784"/>
    <cfRule type="duplicateValues" dxfId="4972" priority="1785"/>
    <cfRule type="duplicateValues" dxfId="4971" priority="1786"/>
    <cfRule type="duplicateValues" dxfId="4970" priority="1787"/>
    <cfRule type="duplicateValues" dxfId="4969" priority="1788"/>
    <cfRule type="duplicateValues" dxfId="4968" priority="1789"/>
    <cfRule type="duplicateValues" dxfId="4967" priority="1790"/>
    <cfRule type="duplicateValues" dxfId="4966" priority="1791"/>
    <cfRule type="duplicateValues" dxfId="4965" priority="1792"/>
    <cfRule type="duplicateValues" dxfId="4964" priority="1793"/>
    <cfRule type="duplicateValues" dxfId="4963" priority="1794"/>
    <cfRule type="duplicateValues" dxfId="4962" priority="1795"/>
    <cfRule type="duplicateValues" dxfId="4961" priority="1796"/>
    <cfRule type="duplicateValues" dxfId="4960" priority="1797"/>
    <cfRule type="duplicateValues" dxfId="4959" priority="1798"/>
    <cfRule type="duplicateValues" dxfId="4958" priority="1799"/>
    <cfRule type="duplicateValues" dxfId="4957" priority="1800"/>
    <cfRule type="duplicateValues" dxfId="4956" priority="1801"/>
    <cfRule type="duplicateValues" dxfId="4955" priority="1802"/>
    <cfRule type="duplicateValues" dxfId="4954" priority="1803"/>
    <cfRule type="duplicateValues" dxfId="4953" priority="1804"/>
    <cfRule type="duplicateValues" dxfId="4952" priority="1805"/>
    <cfRule type="duplicateValues" dxfId="4951" priority="1806"/>
    <cfRule type="duplicateValues" dxfId="4950" priority="1807"/>
    <cfRule type="duplicateValues" dxfId="4949" priority="1808"/>
    <cfRule type="duplicateValues" dxfId="4948" priority="1809"/>
    <cfRule type="duplicateValues" dxfId="4947" priority="1810"/>
    <cfRule type="duplicateValues" dxfId="4946" priority="1811"/>
    <cfRule type="duplicateValues" dxfId="4945" priority="1812"/>
    <cfRule type="duplicateValues" dxfId="4944" priority="1813"/>
    <cfRule type="duplicateValues" dxfId="4943" priority="1814"/>
    <cfRule type="duplicateValues" dxfId="4942" priority="1815"/>
    <cfRule type="duplicateValues" dxfId="4941" priority="1816"/>
    <cfRule type="duplicateValues" dxfId="4940" priority="1817"/>
  </conditionalFormatting>
  <conditionalFormatting sqref="B385:B389">
    <cfRule type="duplicateValues" dxfId="4939" priority="1682"/>
    <cfRule type="duplicateValues" dxfId="4938" priority="1683"/>
    <cfRule type="duplicateValues" dxfId="4937" priority="1684"/>
    <cfRule type="duplicateValues" dxfId="4936" priority="1685"/>
    <cfRule type="duplicateValues" dxfId="4935" priority="1686"/>
    <cfRule type="duplicateValues" dxfId="4934" priority="1687"/>
    <cfRule type="duplicateValues" dxfId="4933" priority="1688"/>
    <cfRule type="duplicateValues" dxfId="4932" priority="1689"/>
    <cfRule type="duplicateValues" dxfId="4931" priority="1690"/>
    <cfRule type="duplicateValues" dxfId="4930" priority="1691"/>
    <cfRule type="duplicateValues" dxfId="4929" priority="1692"/>
    <cfRule type="duplicateValues" dxfId="4928" priority="1693"/>
    <cfRule type="duplicateValues" dxfId="4927" priority="1694"/>
    <cfRule type="duplicateValues" dxfId="4926" priority="1695"/>
    <cfRule type="duplicateValues" dxfId="4925" priority="1696"/>
    <cfRule type="duplicateValues" dxfId="4924" priority="1697"/>
    <cfRule type="duplicateValues" dxfId="4923" priority="1698"/>
    <cfRule type="duplicateValues" dxfId="4922" priority="1699"/>
    <cfRule type="duplicateValues" dxfId="4921" priority="1700"/>
    <cfRule type="duplicateValues" dxfId="4920" priority="1701"/>
    <cfRule type="duplicateValues" dxfId="4919" priority="1702"/>
    <cfRule type="duplicateValues" dxfId="4918" priority="1703"/>
    <cfRule type="duplicateValues" dxfId="4917" priority="1704"/>
    <cfRule type="duplicateValues" dxfId="4916" priority="1705"/>
    <cfRule type="duplicateValues" dxfId="4915" priority="1706"/>
    <cfRule type="duplicateValues" dxfId="4914" priority="1707"/>
    <cfRule type="duplicateValues" dxfId="4913" priority="1708"/>
    <cfRule type="duplicateValues" dxfId="4912" priority="1709"/>
    <cfRule type="duplicateValues" dxfId="4911" priority="1710"/>
    <cfRule type="duplicateValues" dxfId="4910" priority="1711"/>
    <cfRule type="duplicateValues" dxfId="4909" priority="1712"/>
    <cfRule type="duplicateValues" dxfId="4908" priority="1713"/>
    <cfRule type="duplicateValues" dxfId="4907" priority="1714"/>
    <cfRule type="duplicateValues" dxfId="4906" priority="1715"/>
    <cfRule type="duplicateValues" dxfId="4905" priority="1716"/>
    <cfRule type="duplicateValues" dxfId="4904" priority="1717"/>
    <cfRule type="duplicateValues" dxfId="4903" priority="1718"/>
    <cfRule type="duplicateValues" dxfId="4902" priority="1719"/>
    <cfRule type="duplicateValues" dxfId="4901" priority="1720"/>
    <cfRule type="duplicateValues" dxfId="4900" priority="1721"/>
    <cfRule type="duplicateValues" dxfId="4899" priority="1722"/>
    <cfRule type="duplicateValues" dxfId="4898" priority="1723"/>
    <cfRule type="duplicateValues" dxfId="4897" priority="1724"/>
    <cfRule type="duplicateValues" dxfId="4896" priority="1725"/>
    <cfRule type="duplicateValues" dxfId="4895" priority="1726"/>
    <cfRule type="duplicateValues" dxfId="4894" priority="1727"/>
    <cfRule type="duplicateValues" dxfId="4893" priority="1728"/>
    <cfRule type="duplicateValues" dxfId="4892" priority="241949"/>
    <cfRule type="duplicateValues" dxfId="4891" priority="241950"/>
    <cfRule type="duplicateValues" dxfId="4890" priority="241951"/>
    <cfRule type="duplicateValues" dxfId="4889" priority="241952"/>
    <cfRule type="duplicateValues" dxfId="4888" priority="241953"/>
    <cfRule type="duplicateValues" dxfId="4887" priority="241954"/>
    <cfRule type="duplicateValues" dxfId="4886" priority="241955"/>
    <cfRule type="duplicateValues" dxfId="4885" priority="241956"/>
    <cfRule type="duplicateValues" dxfId="4884" priority="241957"/>
    <cfRule type="duplicateValues" dxfId="4883" priority="241958"/>
    <cfRule type="duplicateValues" dxfId="4882" priority="241959"/>
    <cfRule type="duplicateValues" dxfId="4881" priority="241960"/>
    <cfRule type="duplicateValues" dxfId="4880" priority="241961"/>
    <cfRule type="duplicateValues" dxfId="4879" priority="241962"/>
    <cfRule type="duplicateValues" dxfId="4878" priority="241963"/>
    <cfRule type="duplicateValues" dxfId="4877" priority="241964"/>
    <cfRule type="duplicateValues" dxfId="4876" priority="241965"/>
    <cfRule type="duplicateValues" dxfId="4875" priority="241966"/>
    <cfRule type="duplicateValues" dxfId="4874" priority="241967"/>
    <cfRule type="duplicateValues" dxfId="4873" priority="241968"/>
    <cfRule type="duplicateValues" dxfId="4872" priority="241969"/>
    <cfRule type="duplicateValues" dxfId="4871" priority="241970"/>
    <cfRule type="duplicateValues" dxfId="4870" priority="241971"/>
    <cfRule type="duplicateValues" dxfId="4869" priority="241972"/>
    <cfRule type="duplicateValues" dxfId="4868" priority="241973"/>
    <cfRule type="duplicateValues" dxfId="4867" priority="241974"/>
    <cfRule type="duplicateValues" dxfId="4866" priority="241975"/>
    <cfRule type="duplicateValues" dxfId="4865" priority="241976"/>
    <cfRule type="duplicateValues" dxfId="4864" priority="241977"/>
    <cfRule type="duplicateValues" dxfId="4863" priority="241978"/>
    <cfRule type="duplicateValues" dxfId="4862" priority="241979"/>
    <cfRule type="duplicateValues" dxfId="4861" priority="241980"/>
    <cfRule type="duplicateValues" dxfId="4860" priority="241981"/>
    <cfRule type="duplicateValues" dxfId="4859" priority="241982"/>
    <cfRule type="duplicateValues" dxfId="4858" priority="241983"/>
    <cfRule type="duplicateValues" dxfId="4857" priority="241984"/>
    <cfRule type="duplicateValues" dxfId="4856" priority="241985"/>
    <cfRule type="duplicateValues" dxfId="4855" priority="241986"/>
    <cfRule type="duplicateValues" dxfId="4854" priority="241987"/>
    <cfRule type="duplicateValues" dxfId="4853" priority="241988"/>
    <cfRule type="duplicateValues" dxfId="4852" priority="241989"/>
    <cfRule type="duplicateValues" dxfId="4851" priority="241990"/>
  </conditionalFormatting>
  <conditionalFormatting sqref="B390">
    <cfRule type="duplicateValues" dxfId="4850" priority="241991"/>
    <cfRule type="duplicateValues" dxfId="4849" priority="241992"/>
    <cfRule type="duplicateValues" dxfId="4848" priority="241993"/>
    <cfRule type="duplicateValues" dxfId="4847" priority="241994"/>
    <cfRule type="duplicateValues" dxfId="4846" priority="241995"/>
    <cfRule type="duplicateValues" dxfId="4845" priority="241996"/>
    <cfRule type="duplicateValues" dxfId="4844" priority="241997"/>
    <cfRule type="duplicateValues" dxfId="4843" priority="241998"/>
    <cfRule type="duplicateValues" dxfId="4842" priority="241999"/>
    <cfRule type="duplicateValues" dxfId="4841" priority="242000"/>
    <cfRule type="duplicateValues" dxfId="4840" priority="242001"/>
    <cfRule type="duplicateValues" dxfId="4839" priority="242002"/>
    <cfRule type="duplicateValues" dxfId="4838" priority="242003"/>
    <cfRule type="duplicateValues" dxfId="4837" priority="242004"/>
    <cfRule type="duplicateValues" dxfId="4836" priority="242005"/>
    <cfRule type="duplicateValues" dxfId="4835" priority="242006"/>
    <cfRule type="duplicateValues" dxfId="4834" priority="242007"/>
    <cfRule type="duplicateValues" dxfId="4833" priority="242008"/>
    <cfRule type="duplicateValues" dxfId="4832" priority="242009"/>
    <cfRule type="duplicateValues" dxfId="4831" priority="242010"/>
    <cfRule type="duplicateValues" dxfId="4830" priority="242011"/>
    <cfRule type="duplicateValues" dxfId="4829" priority="242012"/>
    <cfRule type="duplicateValues" dxfId="4828" priority="242013"/>
    <cfRule type="duplicateValues" dxfId="4827" priority="242014"/>
    <cfRule type="duplicateValues" dxfId="4826" priority="242015"/>
    <cfRule type="duplicateValues" dxfId="4825" priority="242016"/>
    <cfRule type="duplicateValues" dxfId="4824" priority="242017"/>
    <cfRule type="duplicateValues" dxfId="4823" priority="242018"/>
    <cfRule type="duplicateValues" dxfId="4822" priority="242019"/>
    <cfRule type="duplicateValues" dxfId="4821" priority="242020"/>
    <cfRule type="duplicateValues" dxfId="4820" priority="242021"/>
    <cfRule type="duplicateValues" dxfId="4819" priority="242022"/>
    <cfRule type="duplicateValues" dxfId="4818" priority="242023"/>
    <cfRule type="duplicateValues" dxfId="4817" priority="242024"/>
    <cfRule type="duplicateValues" dxfId="4816" priority="242025"/>
    <cfRule type="duplicateValues" dxfId="4815" priority="242026"/>
    <cfRule type="duplicateValues" dxfId="4814" priority="242027"/>
    <cfRule type="duplicateValues" dxfId="4813" priority="242028"/>
    <cfRule type="duplicateValues" dxfId="4812" priority="242029"/>
    <cfRule type="duplicateValues" dxfId="4811" priority="242030"/>
    <cfRule type="duplicateValues" dxfId="4810" priority="242031"/>
    <cfRule type="duplicateValues" dxfId="4809" priority="242032"/>
    <cfRule type="duplicateValues" dxfId="4808" priority="242075"/>
    <cfRule type="duplicateValues" dxfId="4807" priority="242076"/>
    <cfRule type="duplicateValues" dxfId="4806" priority="242077"/>
    <cfRule type="duplicateValues" dxfId="4805" priority="242078"/>
    <cfRule type="duplicateValues" dxfId="4804" priority="242079"/>
    <cfRule type="duplicateValues" dxfId="4803" priority="242080"/>
    <cfRule type="duplicateValues" dxfId="4802" priority="242081"/>
    <cfRule type="duplicateValues" dxfId="4801" priority="242082"/>
    <cfRule type="duplicateValues" dxfId="4800" priority="242083"/>
    <cfRule type="duplicateValues" dxfId="4799" priority="242084"/>
    <cfRule type="duplicateValues" dxfId="4798" priority="242085"/>
    <cfRule type="duplicateValues" dxfId="4797" priority="242086"/>
    <cfRule type="duplicateValues" dxfId="4796" priority="242087"/>
    <cfRule type="duplicateValues" dxfId="4795" priority="242088"/>
    <cfRule type="duplicateValues" dxfId="4794" priority="242089"/>
    <cfRule type="duplicateValues" dxfId="4793" priority="242090"/>
    <cfRule type="duplicateValues" dxfId="4792" priority="242091"/>
    <cfRule type="duplicateValues" dxfId="4791" priority="242092"/>
    <cfRule type="duplicateValues" dxfId="4790" priority="242093"/>
    <cfRule type="duplicateValues" dxfId="4789" priority="242094"/>
    <cfRule type="duplicateValues" dxfId="4788" priority="242095"/>
    <cfRule type="duplicateValues" dxfId="4787" priority="242096"/>
    <cfRule type="duplicateValues" dxfId="4786" priority="242097"/>
    <cfRule type="duplicateValues" dxfId="4785" priority="242098"/>
    <cfRule type="duplicateValues" dxfId="4784" priority="242099"/>
    <cfRule type="duplicateValues" dxfId="4783" priority="242100"/>
    <cfRule type="duplicateValues" dxfId="4782" priority="242101"/>
    <cfRule type="duplicateValues" dxfId="4781" priority="242102"/>
    <cfRule type="duplicateValues" dxfId="4780" priority="242103"/>
    <cfRule type="duplicateValues" dxfId="4779" priority="242104"/>
    <cfRule type="duplicateValues" dxfId="4778" priority="242105"/>
    <cfRule type="duplicateValues" dxfId="4777" priority="242106"/>
    <cfRule type="duplicateValues" dxfId="4776" priority="242107"/>
    <cfRule type="duplicateValues" dxfId="4775" priority="242108"/>
    <cfRule type="duplicateValues" dxfId="4774" priority="242109"/>
    <cfRule type="duplicateValues" dxfId="4773" priority="242110"/>
    <cfRule type="duplicateValues" dxfId="4772" priority="242111"/>
    <cfRule type="duplicateValues" dxfId="4771" priority="242112"/>
    <cfRule type="duplicateValues" dxfId="4770" priority="242113"/>
    <cfRule type="duplicateValues" dxfId="4769" priority="242114"/>
    <cfRule type="duplicateValues" dxfId="4768" priority="242115"/>
    <cfRule type="duplicateValues" dxfId="4767" priority="242116"/>
    <cfRule type="duplicateValues" dxfId="4766" priority="242122"/>
    <cfRule type="duplicateValues" dxfId="4765" priority="242123"/>
    <cfRule type="duplicateValues" dxfId="4764" priority="242124"/>
    <cfRule type="duplicateValues" dxfId="4763" priority="242125"/>
    <cfRule type="duplicateValues" dxfId="4762" priority="242126"/>
  </conditionalFormatting>
  <conditionalFormatting sqref="B391:B396">
    <cfRule type="duplicateValues" dxfId="4761" priority="1551"/>
    <cfRule type="duplicateValues" dxfId="4760" priority="1552"/>
    <cfRule type="duplicateValues" dxfId="4759" priority="1553"/>
    <cfRule type="duplicateValues" dxfId="4758" priority="1554"/>
    <cfRule type="duplicateValues" dxfId="4757" priority="1555"/>
    <cfRule type="duplicateValues" dxfId="4756" priority="1556"/>
    <cfRule type="duplicateValues" dxfId="4755" priority="1557"/>
    <cfRule type="duplicateValues" dxfId="4754" priority="1558"/>
    <cfRule type="duplicateValues" dxfId="4753" priority="1559"/>
    <cfRule type="duplicateValues" dxfId="4752" priority="1560"/>
    <cfRule type="duplicateValues" dxfId="4751" priority="1561"/>
    <cfRule type="duplicateValues" dxfId="4750" priority="1562"/>
    <cfRule type="duplicateValues" dxfId="4749" priority="1563"/>
    <cfRule type="duplicateValues" dxfId="4748" priority="1564"/>
    <cfRule type="duplicateValues" dxfId="4747" priority="1565"/>
    <cfRule type="duplicateValues" dxfId="4746" priority="1566"/>
    <cfRule type="duplicateValues" dxfId="4745" priority="1567"/>
    <cfRule type="duplicateValues" dxfId="4744" priority="1568"/>
    <cfRule type="duplicateValues" dxfId="4743" priority="1569"/>
    <cfRule type="duplicateValues" dxfId="4742" priority="1570"/>
    <cfRule type="duplicateValues" dxfId="4741" priority="1571"/>
    <cfRule type="duplicateValues" dxfId="4740" priority="1572"/>
    <cfRule type="duplicateValues" dxfId="4739" priority="1573"/>
    <cfRule type="duplicateValues" dxfId="4738" priority="1574"/>
    <cfRule type="duplicateValues" dxfId="4737" priority="1575"/>
    <cfRule type="duplicateValues" dxfId="4736" priority="1576"/>
    <cfRule type="duplicateValues" dxfId="4735" priority="1577"/>
    <cfRule type="duplicateValues" dxfId="4734" priority="1578"/>
    <cfRule type="duplicateValues" dxfId="4733" priority="1579"/>
    <cfRule type="duplicateValues" dxfId="4732" priority="1580"/>
    <cfRule type="duplicateValues" dxfId="4731" priority="1581"/>
    <cfRule type="duplicateValues" dxfId="4730" priority="1582"/>
    <cfRule type="duplicateValues" dxfId="4729" priority="1583"/>
    <cfRule type="duplicateValues" dxfId="4728" priority="1584"/>
    <cfRule type="duplicateValues" dxfId="4727" priority="1585"/>
    <cfRule type="duplicateValues" dxfId="4726" priority="1586"/>
    <cfRule type="duplicateValues" dxfId="4725" priority="1587"/>
    <cfRule type="duplicateValues" dxfId="4724" priority="1588"/>
    <cfRule type="duplicateValues" dxfId="4723" priority="1589"/>
    <cfRule type="duplicateValues" dxfId="4722" priority="1590"/>
    <cfRule type="duplicateValues" dxfId="4721" priority="1591"/>
    <cfRule type="duplicateValues" dxfId="4720" priority="1592"/>
    <cfRule type="duplicateValues" dxfId="4719" priority="1593"/>
    <cfRule type="duplicateValues" dxfId="4718" priority="1594"/>
    <cfRule type="duplicateValues" dxfId="4717" priority="1595"/>
    <cfRule type="duplicateValues" dxfId="4716" priority="1596"/>
    <cfRule type="duplicateValues" dxfId="4715" priority="1597"/>
    <cfRule type="duplicateValues" dxfId="4714" priority="1598"/>
    <cfRule type="duplicateValues" dxfId="4713" priority="1599"/>
    <cfRule type="duplicateValues" dxfId="4712" priority="1600"/>
    <cfRule type="duplicateValues" dxfId="4711" priority="1601"/>
    <cfRule type="duplicateValues" dxfId="4710" priority="1602"/>
    <cfRule type="duplicateValues" dxfId="4709" priority="1603"/>
    <cfRule type="duplicateValues" dxfId="4708" priority="1604"/>
    <cfRule type="duplicateValues" dxfId="4707" priority="1605"/>
    <cfRule type="duplicateValues" dxfId="4706" priority="1606"/>
    <cfRule type="duplicateValues" dxfId="4705" priority="1607"/>
    <cfRule type="duplicateValues" dxfId="4704" priority="1608"/>
    <cfRule type="duplicateValues" dxfId="4703" priority="1609"/>
    <cfRule type="duplicateValues" dxfId="4702" priority="1610"/>
    <cfRule type="duplicateValues" dxfId="4701" priority="1611"/>
    <cfRule type="duplicateValues" dxfId="4700" priority="1612"/>
    <cfRule type="duplicateValues" dxfId="4699" priority="1613"/>
    <cfRule type="duplicateValues" dxfId="4698" priority="1614"/>
    <cfRule type="duplicateValues" dxfId="4697" priority="1615"/>
    <cfRule type="duplicateValues" dxfId="4696" priority="1616"/>
    <cfRule type="duplicateValues" dxfId="4695" priority="1617"/>
    <cfRule type="duplicateValues" dxfId="4694" priority="1618"/>
    <cfRule type="duplicateValues" dxfId="4693" priority="1619"/>
    <cfRule type="duplicateValues" dxfId="4692" priority="1620"/>
    <cfRule type="duplicateValues" dxfId="4691" priority="1621"/>
    <cfRule type="duplicateValues" dxfId="4690" priority="1622"/>
    <cfRule type="duplicateValues" dxfId="4689" priority="1623"/>
    <cfRule type="duplicateValues" dxfId="4688" priority="1624"/>
    <cfRule type="duplicateValues" dxfId="4687" priority="1625"/>
    <cfRule type="duplicateValues" dxfId="4686" priority="1626"/>
    <cfRule type="duplicateValues" dxfId="4685" priority="1627"/>
    <cfRule type="duplicateValues" dxfId="4684" priority="1628"/>
    <cfRule type="duplicateValues" dxfId="4683" priority="1629"/>
    <cfRule type="duplicateValues" dxfId="4682" priority="1630"/>
    <cfRule type="duplicateValues" dxfId="4681" priority="1631"/>
    <cfRule type="duplicateValues" dxfId="4680" priority="1632"/>
    <cfRule type="duplicateValues" dxfId="4679" priority="1633"/>
    <cfRule type="duplicateValues" dxfId="4678" priority="1634"/>
    <cfRule type="duplicateValues" dxfId="4677" priority="1635"/>
    <cfRule type="duplicateValues" dxfId="4676" priority="1636"/>
    <cfRule type="duplicateValues" dxfId="4675" priority="1637"/>
    <cfRule type="duplicateValues" dxfId="4674" priority="1638"/>
    <cfRule type="duplicateValues" dxfId="4673" priority="1639"/>
  </conditionalFormatting>
  <conditionalFormatting sqref="B397">
    <cfRule type="duplicateValues" dxfId="4672" priority="1462"/>
    <cfRule type="duplicateValues" dxfId="4671" priority="1463"/>
    <cfRule type="duplicateValues" dxfId="4670" priority="1464"/>
    <cfRule type="duplicateValues" dxfId="4669" priority="1465"/>
    <cfRule type="duplicateValues" dxfId="4668" priority="1466"/>
    <cfRule type="duplicateValues" dxfId="4667" priority="1467"/>
    <cfRule type="duplicateValues" dxfId="4666" priority="1468"/>
    <cfRule type="duplicateValues" dxfId="4665" priority="1469"/>
    <cfRule type="duplicateValues" dxfId="4664" priority="1470"/>
    <cfRule type="duplicateValues" dxfId="4663" priority="1471"/>
    <cfRule type="duplicateValues" dxfId="4662" priority="1472"/>
    <cfRule type="duplicateValues" dxfId="4661" priority="1473"/>
    <cfRule type="duplicateValues" dxfId="4660" priority="1474"/>
    <cfRule type="duplicateValues" dxfId="4659" priority="1475"/>
    <cfRule type="duplicateValues" dxfId="4658" priority="1476"/>
    <cfRule type="duplicateValues" dxfId="4657" priority="1477"/>
    <cfRule type="duplicateValues" dxfId="4656" priority="1478"/>
    <cfRule type="duplicateValues" dxfId="4655" priority="1479"/>
    <cfRule type="duplicateValues" dxfId="4654" priority="1480"/>
    <cfRule type="duplicateValues" dxfId="4653" priority="1481"/>
    <cfRule type="duplicateValues" dxfId="4652" priority="1482"/>
    <cfRule type="duplicateValues" dxfId="4651" priority="1483"/>
    <cfRule type="duplicateValues" dxfId="4650" priority="1484"/>
    <cfRule type="duplicateValues" dxfId="4649" priority="1485"/>
    <cfRule type="duplicateValues" dxfId="4648" priority="1486"/>
    <cfRule type="duplicateValues" dxfId="4647" priority="1487"/>
    <cfRule type="duplicateValues" dxfId="4646" priority="1488"/>
    <cfRule type="duplicateValues" dxfId="4645" priority="1489"/>
    <cfRule type="duplicateValues" dxfId="4644" priority="1490"/>
    <cfRule type="duplicateValues" dxfId="4643" priority="1491"/>
    <cfRule type="duplicateValues" dxfId="4642" priority="1492"/>
    <cfRule type="duplicateValues" dxfId="4641" priority="1493"/>
    <cfRule type="duplicateValues" dxfId="4640" priority="1494"/>
    <cfRule type="duplicateValues" dxfId="4639" priority="1495"/>
    <cfRule type="duplicateValues" dxfId="4638" priority="1496"/>
    <cfRule type="duplicateValues" dxfId="4637" priority="1497"/>
    <cfRule type="duplicateValues" dxfId="4636" priority="1498"/>
    <cfRule type="duplicateValues" dxfId="4635" priority="1499"/>
    <cfRule type="duplicateValues" dxfId="4634" priority="1500"/>
    <cfRule type="duplicateValues" dxfId="4633" priority="1501"/>
    <cfRule type="duplicateValues" dxfId="4632" priority="1502"/>
    <cfRule type="duplicateValues" dxfId="4631" priority="1503"/>
    <cfRule type="duplicateValues" dxfId="4630" priority="1504"/>
    <cfRule type="duplicateValues" dxfId="4629" priority="1505"/>
    <cfRule type="duplicateValues" dxfId="4628" priority="1506"/>
    <cfRule type="duplicateValues" dxfId="4627" priority="1507"/>
    <cfRule type="duplicateValues" dxfId="4626" priority="1508"/>
    <cfRule type="duplicateValues" dxfId="4625" priority="1509"/>
    <cfRule type="duplicateValues" dxfId="4624" priority="1510"/>
    <cfRule type="duplicateValues" dxfId="4623" priority="1511"/>
    <cfRule type="duplicateValues" dxfId="4622" priority="1512"/>
    <cfRule type="duplicateValues" dxfId="4621" priority="1513"/>
    <cfRule type="duplicateValues" dxfId="4620" priority="1514"/>
    <cfRule type="duplicateValues" dxfId="4619" priority="1515"/>
    <cfRule type="duplicateValues" dxfId="4618" priority="1516"/>
    <cfRule type="duplicateValues" dxfId="4617" priority="1517"/>
    <cfRule type="duplicateValues" dxfId="4616" priority="1518"/>
    <cfRule type="duplicateValues" dxfId="4615" priority="1519"/>
    <cfRule type="duplicateValues" dxfId="4614" priority="1520"/>
    <cfRule type="duplicateValues" dxfId="4613" priority="1521"/>
    <cfRule type="duplicateValues" dxfId="4612" priority="1522"/>
    <cfRule type="duplicateValues" dxfId="4611" priority="1523"/>
    <cfRule type="duplicateValues" dxfId="4610" priority="1524"/>
    <cfRule type="duplicateValues" dxfId="4609" priority="1525"/>
    <cfRule type="duplicateValues" dxfId="4608" priority="1526"/>
    <cfRule type="duplicateValues" dxfId="4607" priority="1527"/>
    <cfRule type="duplicateValues" dxfId="4606" priority="1528"/>
    <cfRule type="duplicateValues" dxfId="4605" priority="1529"/>
    <cfRule type="duplicateValues" dxfId="4604" priority="1530"/>
    <cfRule type="duplicateValues" dxfId="4603" priority="1531"/>
    <cfRule type="duplicateValues" dxfId="4602" priority="1532"/>
    <cfRule type="duplicateValues" dxfId="4601" priority="1533"/>
    <cfRule type="duplicateValues" dxfId="4600" priority="1534"/>
    <cfRule type="duplicateValues" dxfId="4599" priority="1535"/>
    <cfRule type="duplicateValues" dxfId="4598" priority="1536"/>
    <cfRule type="duplicateValues" dxfId="4597" priority="1537"/>
    <cfRule type="duplicateValues" dxfId="4596" priority="1538"/>
    <cfRule type="duplicateValues" dxfId="4595" priority="1539"/>
    <cfRule type="duplicateValues" dxfId="4594" priority="1540"/>
    <cfRule type="duplicateValues" dxfId="4593" priority="1541"/>
    <cfRule type="duplicateValues" dxfId="4592" priority="1542"/>
    <cfRule type="duplicateValues" dxfId="4591" priority="1543"/>
    <cfRule type="duplicateValues" dxfId="4590" priority="1544"/>
    <cfRule type="duplicateValues" dxfId="4589" priority="1545"/>
    <cfRule type="duplicateValues" dxfId="4588" priority="1546"/>
    <cfRule type="duplicateValues" dxfId="4587" priority="1547"/>
    <cfRule type="duplicateValues" dxfId="4586" priority="1548"/>
    <cfRule type="duplicateValues" dxfId="4585" priority="1549"/>
    <cfRule type="duplicateValues" dxfId="4584" priority="1550"/>
  </conditionalFormatting>
  <conditionalFormatting sqref="B398:B403">
    <cfRule type="duplicateValues" dxfId="4583" priority="1373"/>
    <cfRule type="duplicateValues" dxfId="4582" priority="1374"/>
    <cfRule type="duplicateValues" dxfId="4581" priority="1375"/>
    <cfRule type="duplicateValues" dxfId="4580" priority="1376"/>
    <cfRule type="duplicateValues" dxfId="4579" priority="1377"/>
    <cfRule type="duplicateValues" dxfId="4578" priority="1378"/>
    <cfRule type="duplicateValues" dxfId="4577" priority="1379"/>
    <cfRule type="duplicateValues" dxfId="4576" priority="1380"/>
    <cfRule type="duplicateValues" dxfId="4575" priority="1381"/>
    <cfRule type="duplicateValues" dxfId="4574" priority="1382"/>
    <cfRule type="duplicateValues" dxfId="4573" priority="1383"/>
    <cfRule type="duplicateValues" dxfId="4572" priority="1384"/>
    <cfRule type="duplicateValues" dxfId="4571" priority="1385"/>
    <cfRule type="duplicateValues" dxfId="4570" priority="1386"/>
    <cfRule type="duplicateValues" dxfId="4569" priority="1387"/>
    <cfRule type="duplicateValues" dxfId="4568" priority="1388"/>
    <cfRule type="duplicateValues" dxfId="4567" priority="1389"/>
    <cfRule type="duplicateValues" dxfId="4566" priority="1390"/>
    <cfRule type="duplicateValues" dxfId="4565" priority="1391"/>
    <cfRule type="duplicateValues" dxfId="4564" priority="1392"/>
    <cfRule type="duplicateValues" dxfId="4563" priority="1393"/>
    <cfRule type="duplicateValues" dxfId="4562" priority="1394"/>
    <cfRule type="duplicateValues" dxfId="4561" priority="1395"/>
    <cfRule type="duplicateValues" dxfId="4560" priority="1396"/>
    <cfRule type="duplicateValues" dxfId="4559" priority="1397"/>
    <cfRule type="duplicateValues" dxfId="4558" priority="1398"/>
    <cfRule type="duplicateValues" dxfId="4557" priority="1399"/>
    <cfRule type="duplicateValues" dxfId="4556" priority="1400"/>
    <cfRule type="duplicateValues" dxfId="4555" priority="1401"/>
    <cfRule type="duplicateValues" dxfId="4554" priority="1402"/>
    <cfRule type="duplicateValues" dxfId="4553" priority="1403"/>
    <cfRule type="duplicateValues" dxfId="4552" priority="1404"/>
    <cfRule type="duplicateValues" dxfId="4551" priority="1405"/>
    <cfRule type="duplicateValues" dxfId="4550" priority="1406"/>
    <cfRule type="duplicateValues" dxfId="4549" priority="1407"/>
    <cfRule type="duplicateValues" dxfId="4548" priority="1408"/>
    <cfRule type="duplicateValues" dxfId="4547" priority="1409"/>
    <cfRule type="duplicateValues" dxfId="4546" priority="1410"/>
    <cfRule type="duplicateValues" dxfId="4545" priority="1411"/>
    <cfRule type="duplicateValues" dxfId="4544" priority="1412"/>
    <cfRule type="duplicateValues" dxfId="4543" priority="1413"/>
    <cfRule type="duplicateValues" dxfId="4542" priority="1414"/>
    <cfRule type="duplicateValues" dxfId="4541" priority="1415"/>
    <cfRule type="duplicateValues" dxfId="4540" priority="1416"/>
    <cfRule type="duplicateValues" dxfId="4539" priority="1417"/>
    <cfRule type="duplicateValues" dxfId="4538" priority="1418"/>
    <cfRule type="duplicateValues" dxfId="4537" priority="1419"/>
    <cfRule type="duplicateValues" dxfId="4536" priority="1420"/>
    <cfRule type="duplicateValues" dxfId="4535" priority="1421"/>
    <cfRule type="duplicateValues" dxfId="4534" priority="1422"/>
    <cfRule type="duplicateValues" dxfId="4533" priority="1423"/>
    <cfRule type="duplicateValues" dxfId="4532" priority="1424"/>
    <cfRule type="duplicateValues" dxfId="4531" priority="1425"/>
    <cfRule type="duplicateValues" dxfId="4530" priority="1426"/>
    <cfRule type="duplicateValues" dxfId="4529" priority="1427"/>
    <cfRule type="duplicateValues" dxfId="4528" priority="1428"/>
    <cfRule type="duplicateValues" dxfId="4527" priority="1429"/>
    <cfRule type="duplicateValues" dxfId="4526" priority="1430"/>
    <cfRule type="duplicateValues" dxfId="4525" priority="1431"/>
    <cfRule type="duplicateValues" dxfId="4524" priority="1432"/>
    <cfRule type="duplicateValues" dxfId="4523" priority="1433"/>
    <cfRule type="duplicateValues" dxfId="4522" priority="1434"/>
    <cfRule type="duplicateValues" dxfId="4521" priority="1435"/>
    <cfRule type="duplicateValues" dxfId="4520" priority="1436"/>
    <cfRule type="duplicateValues" dxfId="4519" priority="1437"/>
    <cfRule type="duplicateValues" dxfId="4518" priority="1438"/>
    <cfRule type="duplicateValues" dxfId="4517" priority="1439"/>
    <cfRule type="duplicateValues" dxfId="4516" priority="1440"/>
    <cfRule type="duplicateValues" dxfId="4515" priority="1441"/>
    <cfRule type="duplicateValues" dxfId="4514" priority="1442"/>
    <cfRule type="duplicateValues" dxfId="4513" priority="1443"/>
    <cfRule type="duplicateValues" dxfId="4512" priority="1444"/>
    <cfRule type="duplicateValues" dxfId="4511" priority="1445"/>
    <cfRule type="duplicateValues" dxfId="4510" priority="1446"/>
    <cfRule type="duplicateValues" dxfId="4509" priority="1447"/>
    <cfRule type="duplicateValues" dxfId="4508" priority="1448"/>
    <cfRule type="duplicateValues" dxfId="4507" priority="1449"/>
    <cfRule type="duplicateValues" dxfId="4506" priority="1450"/>
    <cfRule type="duplicateValues" dxfId="4505" priority="1451"/>
    <cfRule type="duplicateValues" dxfId="4504" priority="1452"/>
    <cfRule type="duplicateValues" dxfId="4503" priority="1453"/>
    <cfRule type="duplicateValues" dxfId="4502" priority="1454"/>
    <cfRule type="duplicateValues" dxfId="4501" priority="1455"/>
    <cfRule type="duplicateValues" dxfId="4500" priority="1456"/>
    <cfRule type="duplicateValues" dxfId="4499" priority="1457"/>
    <cfRule type="duplicateValues" dxfId="4498" priority="1458"/>
    <cfRule type="duplicateValues" dxfId="4497" priority="1459"/>
    <cfRule type="duplicateValues" dxfId="4496" priority="1460"/>
    <cfRule type="duplicateValues" dxfId="4495" priority="1461"/>
  </conditionalFormatting>
  <conditionalFormatting sqref="B404:B410">
    <cfRule type="duplicateValues" dxfId="4494" priority="1284"/>
    <cfRule type="duplicateValues" dxfId="4493" priority="1285"/>
    <cfRule type="duplicateValues" dxfId="4492" priority="1286"/>
    <cfRule type="duplicateValues" dxfId="4491" priority="1287"/>
    <cfRule type="duplicateValues" dxfId="4490" priority="1288"/>
    <cfRule type="duplicateValues" dxfId="4489" priority="1289"/>
    <cfRule type="duplicateValues" dxfId="4488" priority="1290"/>
    <cfRule type="duplicateValues" dxfId="4487" priority="1291"/>
    <cfRule type="duplicateValues" dxfId="4486" priority="1292"/>
    <cfRule type="duplicateValues" dxfId="4485" priority="1293"/>
    <cfRule type="duplicateValues" dxfId="4484" priority="1294"/>
    <cfRule type="duplicateValues" dxfId="4483" priority="1295"/>
    <cfRule type="duplicateValues" dxfId="4482" priority="1296"/>
    <cfRule type="duplicateValues" dxfId="4481" priority="1297"/>
    <cfRule type="duplicateValues" dxfId="4480" priority="1298"/>
    <cfRule type="duplicateValues" dxfId="4479" priority="1299"/>
    <cfRule type="duplicateValues" dxfId="4478" priority="1300"/>
    <cfRule type="duplicateValues" dxfId="4477" priority="1301"/>
    <cfRule type="duplicateValues" dxfId="4476" priority="1302"/>
    <cfRule type="duplicateValues" dxfId="4475" priority="1303"/>
    <cfRule type="duplicateValues" dxfId="4474" priority="1304"/>
    <cfRule type="duplicateValues" dxfId="4473" priority="1305"/>
    <cfRule type="duplicateValues" dxfId="4472" priority="1306"/>
    <cfRule type="duplicateValues" dxfId="4471" priority="1307"/>
    <cfRule type="duplicateValues" dxfId="4470" priority="1308"/>
    <cfRule type="duplicateValues" dxfId="4469" priority="1309"/>
    <cfRule type="duplicateValues" dxfId="4468" priority="1310"/>
    <cfRule type="duplicateValues" dxfId="4467" priority="1311"/>
    <cfRule type="duplicateValues" dxfId="4466" priority="1312"/>
    <cfRule type="duplicateValues" dxfId="4465" priority="1313"/>
    <cfRule type="duplicateValues" dxfId="4464" priority="1314"/>
    <cfRule type="duplicateValues" dxfId="4463" priority="1315"/>
    <cfRule type="duplicateValues" dxfId="4462" priority="1316"/>
    <cfRule type="duplicateValues" dxfId="4461" priority="1317"/>
    <cfRule type="duplicateValues" dxfId="4460" priority="1318"/>
    <cfRule type="duplicateValues" dxfId="4459" priority="1319"/>
    <cfRule type="duplicateValues" dxfId="4458" priority="1320"/>
    <cfRule type="duplicateValues" dxfId="4457" priority="1321"/>
    <cfRule type="duplicateValues" dxfId="4456" priority="1322"/>
    <cfRule type="duplicateValues" dxfId="4455" priority="1323"/>
    <cfRule type="duplicateValues" dxfId="4454" priority="1324"/>
    <cfRule type="duplicateValues" dxfId="4453" priority="1325"/>
    <cfRule type="duplicateValues" dxfId="4452" priority="1326"/>
    <cfRule type="duplicateValues" dxfId="4451" priority="1327"/>
    <cfRule type="duplicateValues" dxfId="4450" priority="1328"/>
    <cfRule type="duplicateValues" dxfId="4449" priority="1329"/>
    <cfRule type="duplicateValues" dxfId="4448" priority="1330"/>
    <cfRule type="duplicateValues" dxfId="4447" priority="1331"/>
    <cfRule type="duplicateValues" dxfId="4446" priority="1332"/>
    <cfRule type="duplicateValues" dxfId="4445" priority="1333"/>
    <cfRule type="duplicateValues" dxfId="4444" priority="1334"/>
    <cfRule type="duplicateValues" dxfId="4443" priority="1335"/>
    <cfRule type="duplicateValues" dxfId="4442" priority="1336"/>
    <cfRule type="duplicateValues" dxfId="4441" priority="1337"/>
    <cfRule type="duplicateValues" dxfId="4440" priority="1338"/>
    <cfRule type="duplicateValues" dxfId="4439" priority="1339"/>
    <cfRule type="duplicateValues" dxfId="4438" priority="1340"/>
    <cfRule type="duplicateValues" dxfId="4437" priority="1341"/>
    <cfRule type="duplicateValues" dxfId="4436" priority="1342"/>
    <cfRule type="duplicateValues" dxfId="4435" priority="1343"/>
    <cfRule type="duplicateValues" dxfId="4434" priority="1344"/>
    <cfRule type="duplicateValues" dxfId="4433" priority="1345"/>
    <cfRule type="duplicateValues" dxfId="4432" priority="1346"/>
    <cfRule type="duplicateValues" dxfId="4431" priority="1347"/>
    <cfRule type="duplicateValues" dxfId="4430" priority="1348"/>
    <cfRule type="duplicateValues" dxfId="4429" priority="1349"/>
    <cfRule type="duplicateValues" dxfId="4428" priority="1350"/>
    <cfRule type="duplicateValues" dxfId="4427" priority="1351"/>
    <cfRule type="duplicateValues" dxfId="4426" priority="1352"/>
    <cfRule type="duplicateValues" dxfId="4425" priority="1353"/>
    <cfRule type="duplicateValues" dxfId="4424" priority="1354"/>
    <cfRule type="duplicateValues" dxfId="4423" priority="1355"/>
    <cfRule type="duplicateValues" dxfId="4422" priority="1356"/>
    <cfRule type="duplicateValues" dxfId="4421" priority="1357"/>
    <cfRule type="duplicateValues" dxfId="4420" priority="1358"/>
    <cfRule type="duplicateValues" dxfId="4419" priority="1359"/>
    <cfRule type="duplicateValues" dxfId="4418" priority="1360"/>
    <cfRule type="duplicateValues" dxfId="4417" priority="1361"/>
    <cfRule type="duplicateValues" dxfId="4416" priority="1362"/>
    <cfRule type="duplicateValues" dxfId="4415" priority="1363"/>
    <cfRule type="duplicateValues" dxfId="4414" priority="1364"/>
    <cfRule type="duplicateValues" dxfId="4413" priority="1365"/>
    <cfRule type="duplicateValues" dxfId="4412" priority="1366"/>
    <cfRule type="duplicateValues" dxfId="4411" priority="1367"/>
    <cfRule type="duplicateValues" dxfId="4410" priority="1368"/>
    <cfRule type="duplicateValues" dxfId="4409" priority="1369"/>
    <cfRule type="duplicateValues" dxfId="4408" priority="1370"/>
    <cfRule type="duplicateValues" dxfId="4407" priority="1371"/>
    <cfRule type="duplicateValues" dxfId="4406" priority="1372"/>
  </conditionalFormatting>
  <conditionalFormatting sqref="B411">
    <cfRule type="duplicateValues" dxfId="4405" priority="1195"/>
    <cfRule type="duplicateValues" dxfId="4404" priority="1196"/>
    <cfRule type="duplicateValues" dxfId="4403" priority="1197"/>
    <cfRule type="duplicateValues" dxfId="4402" priority="1198"/>
    <cfRule type="duplicateValues" dxfId="4401" priority="1199"/>
    <cfRule type="duplicateValues" dxfId="4400" priority="1200"/>
    <cfRule type="duplicateValues" dxfId="4399" priority="1201"/>
    <cfRule type="duplicateValues" dxfId="4398" priority="1202"/>
    <cfRule type="duplicateValues" dxfId="4397" priority="1203"/>
    <cfRule type="duplicateValues" dxfId="4396" priority="1204"/>
    <cfRule type="duplicateValues" dxfId="4395" priority="1205"/>
    <cfRule type="duplicateValues" dxfId="4394" priority="1206"/>
    <cfRule type="duplicateValues" dxfId="4393" priority="1207"/>
    <cfRule type="duplicateValues" dxfId="4392" priority="1208"/>
    <cfRule type="duplicateValues" dxfId="4391" priority="1209"/>
    <cfRule type="duplicateValues" dxfId="4390" priority="1210"/>
    <cfRule type="duplicateValues" dxfId="4389" priority="1211"/>
    <cfRule type="duplicateValues" dxfId="4388" priority="1212"/>
    <cfRule type="duplicateValues" dxfId="4387" priority="1213"/>
    <cfRule type="duplicateValues" dxfId="4386" priority="1214"/>
    <cfRule type="duplicateValues" dxfId="4385" priority="1215"/>
    <cfRule type="duplicateValues" dxfId="4384" priority="1216"/>
    <cfRule type="duplicateValues" dxfId="4383" priority="1217"/>
    <cfRule type="duplicateValues" dxfId="4382" priority="1218"/>
    <cfRule type="duplicateValues" dxfId="4381" priority="1219"/>
    <cfRule type="duplicateValues" dxfId="4380" priority="1220"/>
    <cfRule type="duplicateValues" dxfId="4379" priority="1221"/>
    <cfRule type="duplicateValues" dxfId="4378" priority="1222"/>
    <cfRule type="duplicateValues" dxfId="4377" priority="1223"/>
    <cfRule type="duplicateValues" dxfId="4376" priority="1224"/>
    <cfRule type="duplicateValues" dxfId="4375" priority="1225"/>
    <cfRule type="duplicateValues" dxfId="4374" priority="1226"/>
    <cfRule type="duplicateValues" dxfId="4373" priority="1227"/>
    <cfRule type="duplicateValues" dxfId="4372" priority="1228"/>
    <cfRule type="duplicateValues" dxfId="4371" priority="1229"/>
    <cfRule type="duplicateValues" dxfId="4370" priority="1230"/>
    <cfRule type="duplicateValues" dxfId="4369" priority="1231"/>
    <cfRule type="duplicateValues" dxfId="4368" priority="1232"/>
    <cfRule type="duplicateValues" dxfId="4367" priority="1233"/>
    <cfRule type="duplicateValues" dxfId="4366" priority="1234"/>
    <cfRule type="duplicateValues" dxfId="4365" priority="1235"/>
    <cfRule type="duplicateValues" dxfId="4364" priority="1236"/>
    <cfRule type="duplicateValues" dxfId="4363" priority="1237"/>
    <cfRule type="duplicateValues" dxfId="4362" priority="1238"/>
    <cfRule type="duplicateValues" dxfId="4361" priority="1239"/>
    <cfRule type="duplicateValues" dxfId="4360" priority="1240"/>
    <cfRule type="duplicateValues" dxfId="4359" priority="1241"/>
    <cfRule type="duplicateValues" dxfId="4358" priority="1242"/>
    <cfRule type="duplicateValues" dxfId="4357" priority="1243"/>
    <cfRule type="duplicateValues" dxfId="4356" priority="1244"/>
    <cfRule type="duplicateValues" dxfId="4355" priority="1245"/>
    <cfRule type="duplicateValues" dxfId="4354" priority="1246"/>
    <cfRule type="duplicateValues" dxfId="4353" priority="1247"/>
    <cfRule type="duplicateValues" dxfId="4352" priority="1248"/>
    <cfRule type="duplicateValues" dxfId="4351" priority="1249"/>
    <cfRule type="duplicateValues" dxfId="4350" priority="1250"/>
    <cfRule type="duplicateValues" dxfId="4349" priority="1251"/>
    <cfRule type="duplicateValues" dxfId="4348" priority="1252"/>
    <cfRule type="duplicateValues" dxfId="4347" priority="1253"/>
    <cfRule type="duplicateValues" dxfId="4346" priority="1254"/>
    <cfRule type="duplicateValues" dxfId="4345" priority="1255"/>
    <cfRule type="duplicateValues" dxfId="4344" priority="1256"/>
    <cfRule type="duplicateValues" dxfId="4343" priority="1257"/>
    <cfRule type="duplicateValues" dxfId="4342" priority="1258"/>
    <cfRule type="duplicateValues" dxfId="4341" priority="1259"/>
    <cfRule type="duplicateValues" dxfId="4340" priority="1260"/>
    <cfRule type="duplicateValues" dxfId="4339" priority="1261"/>
    <cfRule type="duplicateValues" dxfId="4338" priority="1262"/>
    <cfRule type="duplicateValues" dxfId="4337" priority="1263"/>
    <cfRule type="duplicateValues" dxfId="4336" priority="1264"/>
    <cfRule type="duplicateValues" dxfId="4335" priority="1265"/>
    <cfRule type="duplicateValues" dxfId="4334" priority="1266"/>
    <cfRule type="duplicateValues" dxfId="4333" priority="1267"/>
    <cfRule type="duplicateValues" dxfId="4332" priority="1268"/>
    <cfRule type="duplicateValues" dxfId="4331" priority="1269"/>
    <cfRule type="duplicateValues" dxfId="4330" priority="1270"/>
    <cfRule type="duplicateValues" dxfId="4329" priority="1271"/>
    <cfRule type="duplicateValues" dxfId="4328" priority="1272"/>
    <cfRule type="duplicateValues" dxfId="4327" priority="1273"/>
    <cfRule type="duplicateValues" dxfId="4326" priority="1274"/>
    <cfRule type="duplicateValues" dxfId="4325" priority="1275"/>
    <cfRule type="duplicateValues" dxfId="4324" priority="1276"/>
    <cfRule type="duplicateValues" dxfId="4323" priority="1277"/>
    <cfRule type="duplicateValues" dxfId="4322" priority="1278"/>
    <cfRule type="duplicateValues" dxfId="4321" priority="1279"/>
    <cfRule type="duplicateValues" dxfId="4320" priority="1280"/>
    <cfRule type="duplicateValues" dxfId="4319" priority="1281"/>
    <cfRule type="duplicateValues" dxfId="4318" priority="1282"/>
    <cfRule type="duplicateValues" dxfId="4317" priority="1283"/>
  </conditionalFormatting>
  <conditionalFormatting sqref="B412:B418">
    <cfRule type="duplicateValues" dxfId="4316" priority="1106"/>
    <cfRule type="duplicateValues" dxfId="4315" priority="1107"/>
    <cfRule type="duplicateValues" dxfId="4314" priority="1108"/>
    <cfRule type="duplicateValues" dxfId="4313" priority="1109"/>
    <cfRule type="duplicateValues" dxfId="4312" priority="1110"/>
    <cfRule type="duplicateValues" dxfId="4311" priority="1111"/>
    <cfRule type="duplicateValues" dxfId="4310" priority="1112"/>
    <cfRule type="duplicateValues" dxfId="4309" priority="1113"/>
    <cfRule type="duplicateValues" dxfId="4308" priority="1114"/>
    <cfRule type="duplicateValues" dxfId="4307" priority="1115"/>
    <cfRule type="duplicateValues" dxfId="4306" priority="1116"/>
    <cfRule type="duplicateValues" dxfId="4305" priority="1117"/>
    <cfRule type="duplicateValues" dxfId="4304" priority="1118"/>
    <cfRule type="duplicateValues" dxfId="4303" priority="1119"/>
    <cfRule type="duplicateValues" dxfId="4302" priority="1120"/>
    <cfRule type="duplicateValues" dxfId="4301" priority="1121"/>
    <cfRule type="duplicateValues" dxfId="4300" priority="1122"/>
    <cfRule type="duplicateValues" dxfId="4299" priority="1123"/>
    <cfRule type="duplicateValues" dxfId="4298" priority="1124"/>
    <cfRule type="duplicateValues" dxfId="4297" priority="1125"/>
    <cfRule type="duplicateValues" dxfId="4296" priority="1126"/>
    <cfRule type="duplicateValues" dxfId="4295" priority="1127"/>
    <cfRule type="duplicateValues" dxfId="4294" priority="1128"/>
    <cfRule type="duplicateValues" dxfId="4293" priority="1129"/>
    <cfRule type="duplicateValues" dxfId="4292" priority="1130"/>
    <cfRule type="duplicateValues" dxfId="4291" priority="1131"/>
    <cfRule type="duplicateValues" dxfId="4290" priority="1132"/>
    <cfRule type="duplicateValues" dxfId="4289" priority="1133"/>
    <cfRule type="duplicateValues" dxfId="4288" priority="1134"/>
    <cfRule type="duplicateValues" dxfId="4287" priority="1135"/>
    <cfRule type="duplicateValues" dxfId="4286" priority="1136"/>
    <cfRule type="duplicateValues" dxfId="4285" priority="1137"/>
    <cfRule type="duplicateValues" dxfId="4284" priority="1138"/>
    <cfRule type="duplicateValues" dxfId="4283" priority="1139"/>
    <cfRule type="duplicateValues" dxfId="4282" priority="1140"/>
    <cfRule type="duplicateValues" dxfId="4281" priority="1141"/>
    <cfRule type="duplicateValues" dxfId="4280" priority="1142"/>
    <cfRule type="duplicateValues" dxfId="4279" priority="1143"/>
    <cfRule type="duplicateValues" dxfId="4278" priority="1144"/>
    <cfRule type="duplicateValues" dxfId="4277" priority="1145"/>
    <cfRule type="duplicateValues" dxfId="4276" priority="1146"/>
    <cfRule type="duplicateValues" dxfId="4275" priority="1147"/>
    <cfRule type="duplicateValues" dxfId="4274" priority="1148"/>
    <cfRule type="duplicateValues" dxfId="4273" priority="1149"/>
    <cfRule type="duplicateValues" dxfId="4272" priority="1150"/>
    <cfRule type="duplicateValues" dxfId="4271" priority="1151"/>
    <cfRule type="duplicateValues" dxfId="4270" priority="1152"/>
    <cfRule type="duplicateValues" dxfId="4269" priority="1153"/>
    <cfRule type="duplicateValues" dxfId="4268" priority="1154"/>
    <cfRule type="duplicateValues" dxfId="4267" priority="1155"/>
    <cfRule type="duplicateValues" dxfId="4266" priority="1156"/>
    <cfRule type="duplicateValues" dxfId="4265" priority="1157"/>
    <cfRule type="duplicateValues" dxfId="4264" priority="1158"/>
    <cfRule type="duplicateValues" dxfId="4263" priority="1159"/>
    <cfRule type="duplicateValues" dxfId="4262" priority="1160"/>
    <cfRule type="duplicateValues" dxfId="4261" priority="1161"/>
    <cfRule type="duplicateValues" dxfId="4260" priority="1162"/>
    <cfRule type="duplicateValues" dxfId="4259" priority="1163"/>
    <cfRule type="duplicateValues" dxfId="4258" priority="1164"/>
    <cfRule type="duplicateValues" dxfId="4257" priority="1165"/>
    <cfRule type="duplicateValues" dxfId="4256" priority="1166"/>
    <cfRule type="duplicateValues" dxfId="4255" priority="1167"/>
    <cfRule type="duplicateValues" dxfId="4254" priority="1168"/>
    <cfRule type="duplicateValues" dxfId="4253" priority="1169"/>
    <cfRule type="duplicateValues" dxfId="4252" priority="1170"/>
    <cfRule type="duplicateValues" dxfId="4251" priority="1171"/>
    <cfRule type="duplicateValues" dxfId="4250" priority="1172"/>
    <cfRule type="duplicateValues" dxfId="4249" priority="1173"/>
    <cfRule type="duplicateValues" dxfId="4248" priority="1174"/>
    <cfRule type="duplicateValues" dxfId="4247" priority="1175"/>
    <cfRule type="duplicateValues" dxfId="4246" priority="1176"/>
    <cfRule type="duplicateValues" dxfId="4245" priority="1177"/>
    <cfRule type="duplicateValues" dxfId="4244" priority="1178"/>
    <cfRule type="duplicateValues" dxfId="4243" priority="1179"/>
    <cfRule type="duplicateValues" dxfId="4242" priority="1180"/>
    <cfRule type="duplicateValues" dxfId="4241" priority="1181"/>
    <cfRule type="duplicateValues" dxfId="4240" priority="1182"/>
    <cfRule type="duplicateValues" dxfId="4239" priority="1183"/>
    <cfRule type="duplicateValues" dxfId="4238" priority="1184"/>
    <cfRule type="duplicateValues" dxfId="4237" priority="1185"/>
    <cfRule type="duplicateValues" dxfId="4236" priority="1186"/>
    <cfRule type="duplicateValues" dxfId="4235" priority="1187"/>
    <cfRule type="duplicateValues" dxfId="4234" priority="1188"/>
    <cfRule type="duplicateValues" dxfId="4233" priority="1189"/>
    <cfRule type="duplicateValues" dxfId="4232" priority="1190"/>
    <cfRule type="duplicateValues" dxfId="4231" priority="1191"/>
    <cfRule type="duplicateValues" dxfId="4230" priority="1192"/>
    <cfRule type="duplicateValues" dxfId="4229" priority="1193"/>
    <cfRule type="duplicateValues" dxfId="4228" priority="1194"/>
  </conditionalFormatting>
  <conditionalFormatting sqref="B419">
    <cfRule type="duplicateValues" dxfId="4227" priority="1017"/>
    <cfRule type="duplicateValues" dxfId="4226" priority="1018"/>
    <cfRule type="duplicateValues" dxfId="4225" priority="1019"/>
    <cfRule type="duplicateValues" dxfId="4224" priority="1020"/>
    <cfRule type="duplicateValues" dxfId="4223" priority="1021"/>
    <cfRule type="duplicateValues" dxfId="4222" priority="1022"/>
    <cfRule type="duplicateValues" dxfId="4221" priority="1023"/>
    <cfRule type="duplicateValues" dxfId="4220" priority="1024"/>
    <cfRule type="duplicateValues" dxfId="4219" priority="1025"/>
    <cfRule type="duplicateValues" dxfId="4218" priority="1026"/>
    <cfRule type="duplicateValues" dxfId="4217" priority="1027"/>
    <cfRule type="duplicateValues" dxfId="4216" priority="1028"/>
    <cfRule type="duplicateValues" dxfId="4215" priority="1029"/>
    <cfRule type="duplicateValues" dxfId="4214" priority="1030"/>
    <cfRule type="duplicateValues" dxfId="4213" priority="1031"/>
    <cfRule type="duplicateValues" dxfId="4212" priority="1032"/>
    <cfRule type="duplicateValues" dxfId="4211" priority="1033"/>
    <cfRule type="duplicateValues" dxfId="4210" priority="1034"/>
    <cfRule type="duplicateValues" dxfId="4209" priority="1035"/>
    <cfRule type="duplicateValues" dxfId="4208" priority="1036"/>
    <cfRule type="duplicateValues" dxfId="4207" priority="1037"/>
    <cfRule type="duplicateValues" dxfId="4206" priority="1038"/>
    <cfRule type="duplicateValues" dxfId="4205" priority="1039"/>
    <cfRule type="duplicateValues" dxfId="4204" priority="1040"/>
    <cfRule type="duplicateValues" dxfId="4203" priority="1041"/>
    <cfRule type="duplicateValues" dxfId="4202" priority="1042"/>
    <cfRule type="duplicateValues" dxfId="4201" priority="1043"/>
    <cfRule type="duplicateValues" dxfId="4200" priority="1044"/>
    <cfRule type="duplicateValues" dxfId="4199" priority="1045"/>
    <cfRule type="duplicateValues" dxfId="4198" priority="1046"/>
    <cfRule type="duplicateValues" dxfId="4197" priority="1047"/>
    <cfRule type="duplicateValues" dxfId="4196" priority="1048"/>
    <cfRule type="duplicateValues" dxfId="4195" priority="1049"/>
    <cfRule type="duplicateValues" dxfId="4194" priority="1050"/>
    <cfRule type="duplicateValues" dxfId="4193" priority="1051"/>
    <cfRule type="duplicateValues" dxfId="4192" priority="1052"/>
    <cfRule type="duplicateValues" dxfId="4191" priority="1053"/>
    <cfRule type="duplicateValues" dxfId="4190" priority="1054"/>
    <cfRule type="duplicateValues" dxfId="4189" priority="1055"/>
    <cfRule type="duplicateValues" dxfId="4188" priority="1056"/>
    <cfRule type="duplicateValues" dxfId="4187" priority="1057"/>
    <cfRule type="duplicateValues" dxfId="4186" priority="1058"/>
    <cfRule type="duplicateValues" dxfId="4185" priority="1059"/>
    <cfRule type="duplicateValues" dxfId="4184" priority="1060"/>
    <cfRule type="duplicateValues" dxfId="4183" priority="1061"/>
    <cfRule type="duplicateValues" dxfId="4182" priority="1062"/>
    <cfRule type="duplicateValues" dxfId="4181" priority="1063"/>
    <cfRule type="duplicateValues" dxfId="4180" priority="1064"/>
    <cfRule type="duplicateValues" dxfId="4179" priority="1065"/>
    <cfRule type="duplicateValues" dxfId="4178" priority="1066"/>
    <cfRule type="duplicateValues" dxfId="4177" priority="1067"/>
    <cfRule type="duplicateValues" dxfId="4176" priority="1068"/>
    <cfRule type="duplicateValues" dxfId="4175" priority="1069"/>
    <cfRule type="duplicateValues" dxfId="4174" priority="1070"/>
    <cfRule type="duplicateValues" dxfId="4173" priority="1071"/>
    <cfRule type="duplicateValues" dxfId="4172" priority="1072"/>
    <cfRule type="duplicateValues" dxfId="4171" priority="1073"/>
    <cfRule type="duplicateValues" dxfId="4170" priority="1074"/>
    <cfRule type="duplicateValues" dxfId="4169" priority="1075"/>
    <cfRule type="duplicateValues" dxfId="4168" priority="1076"/>
    <cfRule type="duplicateValues" dxfId="4167" priority="1077"/>
    <cfRule type="duplicateValues" dxfId="4166" priority="1078"/>
    <cfRule type="duplicateValues" dxfId="4165" priority="1079"/>
    <cfRule type="duplicateValues" dxfId="4164" priority="1080"/>
    <cfRule type="duplicateValues" dxfId="4163" priority="1081"/>
    <cfRule type="duplicateValues" dxfId="4162" priority="1082"/>
    <cfRule type="duplicateValues" dxfId="4161" priority="1083"/>
    <cfRule type="duplicateValues" dxfId="4160" priority="1084"/>
    <cfRule type="duplicateValues" dxfId="4159" priority="1085"/>
    <cfRule type="duplicateValues" dxfId="4158" priority="1086"/>
    <cfRule type="duplicateValues" dxfId="4157" priority="1087"/>
    <cfRule type="duplicateValues" dxfId="4156" priority="1088"/>
    <cfRule type="duplicateValues" dxfId="4155" priority="1089"/>
    <cfRule type="duplicateValues" dxfId="4154" priority="1090"/>
    <cfRule type="duplicateValues" dxfId="4153" priority="1091"/>
    <cfRule type="duplicateValues" dxfId="4152" priority="1092"/>
    <cfRule type="duplicateValues" dxfId="4151" priority="1093"/>
    <cfRule type="duplicateValues" dxfId="4150" priority="1094"/>
    <cfRule type="duplicateValues" dxfId="4149" priority="1095"/>
    <cfRule type="duplicateValues" dxfId="4148" priority="1096"/>
    <cfRule type="duplicateValues" dxfId="4147" priority="1097"/>
    <cfRule type="duplicateValues" dxfId="4146" priority="1098"/>
    <cfRule type="duplicateValues" dxfId="4145" priority="1099"/>
    <cfRule type="duplicateValues" dxfId="4144" priority="1100"/>
    <cfRule type="duplicateValues" dxfId="4143" priority="1101"/>
    <cfRule type="duplicateValues" dxfId="4142" priority="1102"/>
    <cfRule type="duplicateValues" dxfId="4141" priority="1103"/>
    <cfRule type="duplicateValues" dxfId="4140" priority="1104"/>
    <cfRule type="duplicateValues" dxfId="4139" priority="1105"/>
  </conditionalFormatting>
  <conditionalFormatting sqref="B420">
    <cfRule type="duplicateValues" dxfId="4138" priority="928"/>
    <cfRule type="duplicateValues" dxfId="4137" priority="929"/>
    <cfRule type="duplicateValues" dxfId="4136" priority="930"/>
    <cfRule type="duplicateValues" dxfId="4135" priority="931"/>
    <cfRule type="duplicateValues" dxfId="4134" priority="932"/>
    <cfRule type="duplicateValues" dxfId="4133" priority="933"/>
    <cfRule type="duplicateValues" dxfId="4132" priority="934"/>
    <cfRule type="duplicateValues" dxfId="4131" priority="935"/>
    <cfRule type="duplicateValues" dxfId="4130" priority="936"/>
    <cfRule type="duplicateValues" dxfId="4129" priority="937"/>
    <cfRule type="duplicateValues" dxfId="4128" priority="938"/>
    <cfRule type="duplicateValues" dxfId="4127" priority="939"/>
    <cfRule type="duplicateValues" dxfId="4126" priority="940"/>
    <cfRule type="duplicateValues" dxfId="4125" priority="941"/>
    <cfRule type="duplicateValues" dxfId="4124" priority="942"/>
    <cfRule type="duplicateValues" dxfId="4123" priority="943"/>
    <cfRule type="duplicateValues" dxfId="4122" priority="944"/>
    <cfRule type="duplicateValues" dxfId="4121" priority="945"/>
    <cfRule type="duplicateValues" dxfId="4120" priority="946"/>
    <cfRule type="duplicateValues" dxfId="4119" priority="947"/>
    <cfRule type="duplicateValues" dxfId="4118" priority="948"/>
    <cfRule type="duplicateValues" dxfId="4117" priority="949"/>
    <cfRule type="duplicateValues" dxfId="4116" priority="950"/>
    <cfRule type="duplicateValues" dxfId="4115" priority="951"/>
    <cfRule type="duplicateValues" dxfId="4114" priority="952"/>
    <cfRule type="duplicateValues" dxfId="4113" priority="953"/>
    <cfRule type="duplicateValues" dxfId="4112" priority="954"/>
    <cfRule type="duplicateValues" dxfId="4111" priority="955"/>
    <cfRule type="duplicateValues" dxfId="4110" priority="956"/>
    <cfRule type="duplicateValues" dxfId="4109" priority="957"/>
    <cfRule type="duplicateValues" dxfId="4108" priority="958"/>
    <cfRule type="duplicateValues" dxfId="4107" priority="959"/>
    <cfRule type="duplicateValues" dxfId="4106" priority="960"/>
    <cfRule type="duplicateValues" dxfId="4105" priority="961"/>
    <cfRule type="duplicateValues" dxfId="4104" priority="962"/>
    <cfRule type="duplicateValues" dxfId="4103" priority="963"/>
    <cfRule type="duplicateValues" dxfId="4102" priority="964"/>
    <cfRule type="duplicateValues" dxfId="4101" priority="965"/>
    <cfRule type="duplicateValues" dxfId="4100" priority="966"/>
    <cfRule type="duplicateValues" dxfId="4099" priority="967"/>
    <cfRule type="duplicateValues" dxfId="4098" priority="968"/>
    <cfRule type="duplicateValues" dxfId="4097" priority="969"/>
    <cfRule type="duplicateValues" dxfId="4096" priority="970"/>
    <cfRule type="duplicateValues" dxfId="4095" priority="971"/>
    <cfRule type="duplicateValues" dxfId="4094" priority="972"/>
    <cfRule type="duplicateValues" dxfId="4093" priority="973"/>
    <cfRule type="duplicateValues" dxfId="4092" priority="974"/>
    <cfRule type="duplicateValues" dxfId="4091" priority="975"/>
    <cfRule type="duplicateValues" dxfId="4090" priority="976"/>
    <cfRule type="duplicateValues" dxfId="4089" priority="977"/>
    <cfRule type="duplicateValues" dxfId="4088" priority="978"/>
    <cfRule type="duplicateValues" dxfId="4087" priority="979"/>
    <cfRule type="duplicateValues" dxfId="4086" priority="980"/>
    <cfRule type="duplicateValues" dxfId="4085" priority="981"/>
    <cfRule type="duplicateValues" dxfId="4084" priority="982"/>
    <cfRule type="duplicateValues" dxfId="4083" priority="983"/>
    <cfRule type="duplicateValues" dxfId="4082" priority="984"/>
    <cfRule type="duplicateValues" dxfId="4081" priority="985"/>
    <cfRule type="duplicateValues" dxfId="4080" priority="986"/>
    <cfRule type="duplicateValues" dxfId="4079" priority="987"/>
    <cfRule type="duplicateValues" dxfId="4078" priority="988"/>
    <cfRule type="duplicateValues" dxfId="4077" priority="989"/>
    <cfRule type="duplicateValues" dxfId="4076" priority="990"/>
    <cfRule type="duplicateValues" dxfId="4075" priority="991"/>
    <cfRule type="duplicateValues" dxfId="4074" priority="992"/>
    <cfRule type="duplicateValues" dxfId="4073" priority="993"/>
    <cfRule type="duplicateValues" dxfId="4072" priority="994"/>
    <cfRule type="duplicateValues" dxfId="4071" priority="995"/>
    <cfRule type="duplicateValues" dxfId="4070" priority="996"/>
    <cfRule type="duplicateValues" dxfId="4069" priority="997"/>
    <cfRule type="duplicateValues" dxfId="4068" priority="998"/>
    <cfRule type="duplicateValues" dxfId="4067" priority="999"/>
    <cfRule type="duplicateValues" dxfId="4066" priority="1000"/>
    <cfRule type="duplicateValues" dxfId="4065" priority="1001"/>
    <cfRule type="duplicateValues" dxfId="4064" priority="1002"/>
    <cfRule type="duplicateValues" dxfId="4063" priority="1003"/>
    <cfRule type="duplicateValues" dxfId="4062" priority="1004"/>
    <cfRule type="duplicateValues" dxfId="4061" priority="1005"/>
    <cfRule type="duplicateValues" dxfId="4060" priority="1006"/>
    <cfRule type="duplicateValues" dxfId="4059" priority="1007"/>
    <cfRule type="duplicateValues" dxfId="4058" priority="1008"/>
    <cfRule type="duplicateValues" dxfId="4057" priority="1009"/>
    <cfRule type="duplicateValues" dxfId="4056" priority="1010"/>
    <cfRule type="duplicateValues" dxfId="4055" priority="1011"/>
    <cfRule type="duplicateValues" dxfId="4054" priority="1012"/>
    <cfRule type="duplicateValues" dxfId="4053" priority="1013"/>
    <cfRule type="duplicateValues" dxfId="4052" priority="1014"/>
    <cfRule type="duplicateValues" dxfId="4051" priority="1015"/>
    <cfRule type="duplicateValues" dxfId="4050" priority="1016"/>
  </conditionalFormatting>
  <conditionalFormatting sqref="B421:B427">
    <cfRule type="duplicateValues" dxfId="4049" priority="839"/>
    <cfRule type="duplicateValues" dxfId="4048" priority="840"/>
    <cfRule type="duplicateValues" dxfId="4047" priority="841"/>
    <cfRule type="duplicateValues" dxfId="4046" priority="842"/>
    <cfRule type="duplicateValues" dxfId="4045" priority="843"/>
    <cfRule type="duplicateValues" dxfId="4044" priority="844"/>
    <cfRule type="duplicateValues" dxfId="4043" priority="845"/>
    <cfRule type="duplicateValues" dxfId="4042" priority="846"/>
    <cfRule type="duplicateValues" dxfId="4041" priority="847"/>
    <cfRule type="duplicateValues" dxfId="4040" priority="848"/>
    <cfRule type="duplicateValues" dxfId="4039" priority="849"/>
    <cfRule type="duplicateValues" dxfId="4038" priority="850"/>
    <cfRule type="duplicateValues" dxfId="4037" priority="851"/>
    <cfRule type="duplicateValues" dxfId="4036" priority="852"/>
    <cfRule type="duplicateValues" dxfId="4035" priority="853"/>
    <cfRule type="duplicateValues" dxfId="4034" priority="854"/>
    <cfRule type="duplicateValues" dxfId="4033" priority="855"/>
    <cfRule type="duplicateValues" dxfId="4032" priority="856"/>
    <cfRule type="duplicateValues" dxfId="4031" priority="857"/>
    <cfRule type="duplicateValues" dxfId="4030" priority="858"/>
    <cfRule type="duplicateValues" dxfId="4029" priority="859"/>
    <cfRule type="duplicateValues" dxfId="4028" priority="860"/>
    <cfRule type="duplicateValues" dxfId="4027" priority="861"/>
    <cfRule type="duplicateValues" dxfId="4026" priority="862"/>
    <cfRule type="duplicateValues" dxfId="4025" priority="863"/>
    <cfRule type="duplicateValues" dxfId="4024" priority="864"/>
    <cfRule type="duplicateValues" dxfId="4023" priority="865"/>
    <cfRule type="duplicateValues" dxfId="4022" priority="866"/>
    <cfRule type="duplicateValues" dxfId="4021" priority="867"/>
    <cfRule type="duplicateValues" dxfId="4020" priority="868"/>
    <cfRule type="duplicateValues" dxfId="4019" priority="869"/>
    <cfRule type="duplicateValues" dxfId="4018" priority="870"/>
    <cfRule type="duplicateValues" dxfId="4017" priority="871"/>
    <cfRule type="duplicateValues" dxfId="4016" priority="872"/>
    <cfRule type="duplicateValues" dxfId="4015" priority="873"/>
    <cfRule type="duplicateValues" dxfId="4014" priority="874"/>
    <cfRule type="duplicateValues" dxfId="4013" priority="875"/>
    <cfRule type="duplicateValues" dxfId="4012" priority="876"/>
    <cfRule type="duplicateValues" dxfId="4011" priority="877"/>
    <cfRule type="duplicateValues" dxfId="4010" priority="878"/>
    <cfRule type="duplicateValues" dxfId="4009" priority="879"/>
    <cfRule type="duplicateValues" dxfId="4008" priority="880"/>
    <cfRule type="duplicateValues" dxfId="4007" priority="881"/>
    <cfRule type="duplicateValues" dxfId="4006" priority="882"/>
    <cfRule type="duplicateValues" dxfId="4005" priority="883"/>
    <cfRule type="duplicateValues" dxfId="4004" priority="884"/>
    <cfRule type="duplicateValues" dxfId="4003" priority="885"/>
    <cfRule type="duplicateValues" dxfId="4002" priority="886"/>
    <cfRule type="duplicateValues" dxfId="4001" priority="887"/>
    <cfRule type="duplicateValues" dxfId="4000" priority="888"/>
    <cfRule type="duplicateValues" dxfId="3999" priority="889"/>
    <cfRule type="duplicateValues" dxfId="3998" priority="890"/>
    <cfRule type="duplicateValues" dxfId="3997" priority="891"/>
    <cfRule type="duplicateValues" dxfId="3996" priority="892"/>
    <cfRule type="duplicateValues" dxfId="3995" priority="893"/>
    <cfRule type="duplicateValues" dxfId="3994" priority="894"/>
    <cfRule type="duplicateValues" dxfId="3993" priority="895"/>
    <cfRule type="duplicateValues" dxfId="3992" priority="896"/>
    <cfRule type="duplicateValues" dxfId="3991" priority="897"/>
    <cfRule type="duplicateValues" dxfId="3990" priority="898"/>
    <cfRule type="duplicateValues" dxfId="3989" priority="899"/>
    <cfRule type="duplicateValues" dxfId="3988" priority="900"/>
    <cfRule type="duplicateValues" dxfId="3987" priority="901"/>
    <cfRule type="duplicateValues" dxfId="3986" priority="902"/>
    <cfRule type="duplicateValues" dxfId="3985" priority="903"/>
    <cfRule type="duplicateValues" dxfId="3984" priority="904"/>
    <cfRule type="duplicateValues" dxfId="3983" priority="905"/>
    <cfRule type="duplicateValues" dxfId="3982" priority="906"/>
    <cfRule type="duplicateValues" dxfId="3981" priority="907"/>
    <cfRule type="duplicateValues" dxfId="3980" priority="908"/>
    <cfRule type="duplicateValues" dxfId="3979" priority="909"/>
    <cfRule type="duplicateValues" dxfId="3978" priority="910"/>
    <cfRule type="duplicateValues" dxfId="3977" priority="911"/>
    <cfRule type="duplicateValues" dxfId="3976" priority="912"/>
    <cfRule type="duplicateValues" dxfId="3975" priority="913"/>
    <cfRule type="duplicateValues" dxfId="3974" priority="914"/>
    <cfRule type="duplicateValues" dxfId="3973" priority="915"/>
    <cfRule type="duplicateValues" dxfId="3972" priority="916"/>
    <cfRule type="duplicateValues" dxfId="3971" priority="917"/>
    <cfRule type="duplicateValues" dxfId="3970" priority="918"/>
    <cfRule type="duplicateValues" dxfId="3969" priority="919"/>
    <cfRule type="duplicateValues" dxfId="3968" priority="920"/>
    <cfRule type="duplicateValues" dxfId="3967" priority="921"/>
    <cfRule type="duplicateValues" dxfId="3966" priority="922"/>
    <cfRule type="duplicateValues" dxfId="3965" priority="923"/>
    <cfRule type="duplicateValues" dxfId="3964" priority="924"/>
    <cfRule type="duplicateValues" dxfId="3963" priority="925"/>
    <cfRule type="duplicateValues" dxfId="3962" priority="926"/>
    <cfRule type="duplicateValues" dxfId="3961" priority="927"/>
  </conditionalFormatting>
  <conditionalFormatting sqref="B428:B431">
    <cfRule type="duplicateValues" dxfId="3960" priority="750"/>
    <cfRule type="duplicateValues" dxfId="3959" priority="751"/>
    <cfRule type="duplicateValues" dxfId="3958" priority="752"/>
    <cfRule type="duplicateValues" dxfId="3957" priority="753"/>
    <cfRule type="duplicateValues" dxfId="3956" priority="754"/>
    <cfRule type="duplicateValues" dxfId="3955" priority="755"/>
    <cfRule type="duplicateValues" dxfId="3954" priority="756"/>
    <cfRule type="duplicateValues" dxfId="3953" priority="757"/>
    <cfRule type="duplicateValues" dxfId="3952" priority="758"/>
    <cfRule type="duplicateValues" dxfId="3951" priority="759"/>
    <cfRule type="duplicateValues" dxfId="3950" priority="760"/>
    <cfRule type="duplicateValues" dxfId="3949" priority="761"/>
    <cfRule type="duplicateValues" dxfId="3948" priority="762"/>
    <cfRule type="duplicateValues" dxfId="3947" priority="763"/>
    <cfRule type="duplicateValues" dxfId="3946" priority="764"/>
    <cfRule type="duplicateValues" dxfId="3945" priority="765"/>
    <cfRule type="duplicateValues" dxfId="3944" priority="766"/>
    <cfRule type="duplicateValues" dxfId="3943" priority="767"/>
    <cfRule type="duplicateValues" dxfId="3942" priority="768"/>
    <cfRule type="duplicateValues" dxfId="3941" priority="769"/>
    <cfRule type="duplicateValues" dxfId="3940" priority="770"/>
    <cfRule type="duplicateValues" dxfId="3939" priority="771"/>
    <cfRule type="duplicateValues" dxfId="3938" priority="772"/>
    <cfRule type="duplicateValues" dxfId="3937" priority="773"/>
    <cfRule type="duplicateValues" dxfId="3936" priority="774"/>
    <cfRule type="duplicateValues" dxfId="3935" priority="775"/>
    <cfRule type="duplicateValues" dxfId="3934" priority="776"/>
    <cfRule type="duplicateValues" dxfId="3933" priority="777"/>
    <cfRule type="duplicateValues" dxfId="3932" priority="778"/>
    <cfRule type="duplicateValues" dxfId="3931" priority="779"/>
    <cfRule type="duplicateValues" dxfId="3930" priority="780"/>
    <cfRule type="duplicateValues" dxfId="3929" priority="781"/>
    <cfRule type="duplicateValues" dxfId="3928" priority="782"/>
    <cfRule type="duplicateValues" dxfId="3927" priority="783"/>
    <cfRule type="duplicateValues" dxfId="3926" priority="784"/>
    <cfRule type="duplicateValues" dxfId="3925" priority="785"/>
    <cfRule type="duplicateValues" dxfId="3924" priority="786"/>
    <cfRule type="duplicateValues" dxfId="3923" priority="787"/>
    <cfRule type="duplicateValues" dxfId="3922" priority="788"/>
    <cfRule type="duplicateValues" dxfId="3921" priority="789"/>
    <cfRule type="duplicateValues" dxfId="3920" priority="790"/>
    <cfRule type="duplicateValues" dxfId="3919" priority="791"/>
    <cfRule type="duplicateValues" dxfId="3918" priority="792"/>
    <cfRule type="duplicateValues" dxfId="3917" priority="793"/>
    <cfRule type="duplicateValues" dxfId="3916" priority="794"/>
    <cfRule type="duplicateValues" dxfId="3915" priority="795"/>
    <cfRule type="duplicateValues" dxfId="3914" priority="796"/>
    <cfRule type="duplicateValues" dxfId="3913" priority="797"/>
    <cfRule type="duplicateValues" dxfId="3912" priority="798"/>
    <cfRule type="duplicateValues" dxfId="3911" priority="799"/>
    <cfRule type="duplicateValues" dxfId="3910" priority="800"/>
    <cfRule type="duplicateValues" dxfId="3909" priority="801"/>
    <cfRule type="duplicateValues" dxfId="3908" priority="802"/>
    <cfRule type="duplicateValues" dxfId="3907" priority="803"/>
    <cfRule type="duplicateValues" dxfId="3906" priority="804"/>
    <cfRule type="duplicateValues" dxfId="3905" priority="805"/>
    <cfRule type="duplicateValues" dxfId="3904" priority="806"/>
    <cfRule type="duplicateValues" dxfId="3903" priority="807"/>
    <cfRule type="duplicateValues" dxfId="3902" priority="808"/>
    <cfRule type="duplicateValues" dxfId="3901" priority="809"/>
    <cfRule type="duplicateValues" dxfId="3900" priority="810"/>
    <cfRule type="duplicateValues" dxfId="3899" priority="811"/>
    <cfRule type="duplicateValues" dxfId="3898" priority="812"/>
    <cfRule type="duplicateValues" dxfId="3897" priority="813"/>
    <cfRule type="duplicateValues" dxfId="3896" priority="814"/>
    <cfRule type="duplicateValues" dxfId="3895" priority="815"/>
    <cfRule type="duplicateValues" dxfId="3894" priority="816"/>
    <cfRule type="duplicateValues" dxfId="3893" priority="817"/>
    <cfRule type="duplicateValues" dxfId="3892" priority="818"/>
    <cfRule type="duplicateValues" dxfId="3891" priority="819"/>
    <cfRule type="duplicateValues" dxfId="3890" priority="820"/>
    <cfRule type="duplicateValues" dxfId="3889" priority="821"/>
    <cfRule type="duplicateValues" dxfId="3888" priority="822"/>
    <cfRule type="duplicateValues" dxfId="3887" priority="823"/>
    <cfRule type="duplicateValues" dxfId="3886" priority="824"/>
    <cfRule type="duplicateValues" dxfId="3885" priority="825"/>
    <cfRule type="duplicateValues" dxfId="3884" priority="826"/>
    <cfRule type="duplicateValues" dxfId="3883" priority="827"/>
    <cfRule type="duplicateValues" dxfId="3882" priority="828"/>
    <cfRule type="duplicateValues" dxfId="3881" priority="829"/>
    <cfRule type="duplicateValues" dxfId="3880" priority="830"/>
    <cfRule type="duplicateValues" dxfId="3879" priority="831"/>
    <cfRule type="duplicateValues" dxfId="3878" priority="832"/>
    <cfRule type="duplicateValues" dxfId="3877" priority="833"/>
    <cfRule type="duplicateValues" dxfId="3876" priority="834"/>
    <cfRule type="duplicateValues" dxfId="3875" priority="835"/>
    <cfRule type="duplicateValues" dxfId="3874" priority="836"/>
    <cfRule type="duplicateValues" dxfId="3873" priority="837"/>
    <cfRule type="duplicateValues" dxfId="3872" priority="838"/>
  </conditionalFormatting>
  <conditionalFormatting sqref="B432">
    <cfRule type="duplicateValues" dxfId="3871" priority="661"/>
    <cfRule type="duplicateValues" dxfId="3870" priority="662"/>
    <cfRule type="duplicateValues" dxfId="3869" priority="663"/>
    <cfRule type="duplicateValues" dxfId="3868" priority="664"/>
    <cfRule type="duplicateValues" dxfId="3867" priority="665"/>
    <cfRule type="duplicateValues" dxfId="3866" priority="666"/>
    <cfRule type="duplicateValues" dxfId="3865" priority="667"/>
    <cfRule type="duplicateValues" dxfId="3864" priority="668"/>
    <cfRule type="duplicateValues" dxfId="3863" priority="669"/>
    <cfRule type="duplicateValues" dxfId="3862" priority="670"/>
    <cfRule type="duplicateValues" dxfId="3861" priority="671"/>
    <cfRule type="duplicateValues" dxfId="3860" priority="672"/>
    <cfRule type="duplicateValues" dxfId="3859" priority="673"/>
    <cfRule type="duplicateValues" dxfId="3858" priority="674"/>
    <cfRule type="duplicateValues" dxfId="3857" priority="675"/>
    <cfRule type="duplicateValues" dxfId="3856" priority="676"/>
    <cfRule type="duplicateValues" dxfId="3855" priority="677"/>
    <cfRule type="duplicateValues" dxfId="3854" priority="678"/>
    <cfRule type="duplicateValues" dxfId="3853" priority="679"/>
    <cfRule type="duplicateValues" dxfId="3852" priority="680"/>
    <cfRule type="duplicateValues" dxfId="3851" priority="681"/>
    <cfRule type="duplicateValues" dxfId="3850" priority="682"/>
    <cfRule type="duplicateValues" dxfId="3849" priority="683"/>
    <cfRule type="duplicateValues" dxfId="3848" priority="684"/>
    <cfRule type="duplicateValues" dxfId="3847" priority="685"/>
    <cfRule type="duplicateValues" dxfId="3846" priority="686"/>
    <cfRule type="duplicateValues" dxfId="3845" priority="687"/>
    <cfRule type="duplicateValues" dxfId="3844" priority="688"/>
    <cfRule type="duplicateValues" dxfId="3843" priority="689"/>
    <cfRule type="duplicateValues" dxfId="3842" priority="690"/>
    <cfRule type="duplicateValues" dxfId="3841" priority="691"/>
    <cfRule type="duplicateValues" dxfId="3840" priority="692"/>
    <cfRule type="duplicateValues" dxfId="3839" priority="693"/>
    <cfRule type="duplicateValues" dxfId="3838" priority="694"/>
    <cfRule type="duplicateValues" dxfId="3837" priority="695"/>
    <cfRule type="duplicateValues" dxfId="3836" priority="696"/>
    <cfRule type="duplicateValues" dxfId="3835" priority="697"/>
    <cfRule type="duplicateValues" dxfId="3834" priority="698"/>
    <cfRule type="duplicateValues" dxfId="3833" priority="699"/>
    <cfRule type="duplicateValues" dxfId="3832" priority="700"/>
    <cfRule type="duplicateValues" dxfId="3831" priority="701"/>
    <cfRule type="duplicateValues" dxfId="3830" priority="702"/>
    <cfRule type="duplicateValues" dxfId="3829" priority="703"/>
    <cfRule type="duplicateValues" dxfId="3828" priority="704"/>
    <cfRule type="duplicateValues" dxfId="3827" priority="705"/>
    <cfRule type="duplicateValues" dxfId="3826" priority="706"/>
    <cfRule type="duplicateValues" dxfId="3825" priority="707"/>
    <cfRule type="duplicateValues" dxfId="3824" priority="708"/>
    <cfRule type="duplicateValues" dxfId="3823" priority="709"/>
    <cfRule type="duplicateValues" dxfId="3822" priority="710"/>
    <cfRule type="duplicateValues" dxfId="3821" priority="711"/>
    <cfRule type="duplicateValues" dxfId="3820" priority="712"/>
    <cfRule type="duplicateValues" dxfId="3819" priority="713"/>
    <cfRule type="duplicateValues" dxfId="3818" priority="714"/>
    <cfRule type="duplicateValues" dxfId="3817" priority="715"/>
    <cfRule type="duplicateValues" dxfId="3816" priority="716"/>
    <cfRule type="duplicateValues" dxfId="3815" priority="717"/>
    <cfRule type="duplicateValues" dxfId="3814" priority="718"/>
    <cfRule type="duplicateValues" dxfId="3813" priority="719"/>
    <cfRule type="duplicateValues" dxfId="3812" priority="720"/>
    <cfRule type="duplicateValues" dxfId="3811" priority="721"/>
    <cfRule type="duplicateValues" dxfId="3810" priority="722"/>
    <cfRule type="duplicateValues" dxfId="3809" priority="723"/>
    <cfRule type="duplicateValues" dxfId="3808" priority="724"/>
    <cfRule type="duplicateValues" dxfId="3807" priority="725"/>
    <cfRule type="duplicateValues" dxfId="3806" priority="726"/>
    <cfRule type="duplicateValues" dxfId="3805" priority="727"/>
    <cfRule type="duplicateValues" dxfId="3804" priority="728"/>
    <cfRule type="duplicateValues" dxfId="3803" priority="729"/>
    <cfRule type="duplicateValues" dxfId="3802" priority="730"/>
    <cfRule type="duplicateValues" dxfId="3801" priority="731"/>
    <cfRule type="duplicateValues" dxfId="3800" priority="732"/>
    <cfRule type="duplicateValues" dxfId="3799" priority="733"/>
    <cfRule type="duplicateValues" dxfId="3798" priority="734"/>
    <cfRule type="duplicateValues" dxfId="3797" priority="735"/>
    <cfRule type="duplicateValues" dxfId="3796" priority="736"/>
    <cfRule type="duplicateValues" dxfId="3795" priority="737"/>
    <cfRule type="duplicateValues" dxfId="3794" priority="738"/>
    <cfRule type="duplicateValues" dxfId="3793" priority="739"/>
    <cfRule type="duplicateValues" dxfId="3792" priority="740"/>
    <cfRule type="duplicateValues" dxfId="3791" priority="741"/>
    <cfRule type="duplicateValues" dxfId="3790" priority="742"/>
    <cfRule type="duplicateValues" dxfId="3789" priority="743"/>
    <cfRule type="duplicateValues" dxfId="3788" priority="744"/>
    <cfRule type="duplicateValues" dxfId="3787" priority="745"/>
    <cfRule type="duplicateValues" dxfId="3786" priority="746"/>
    <cfRule type="duplicateValues" dxfId="3785" priority="747"/>
    <cfRule type="duplicateValues" dxfId="3784" priority="748"/>
    <cfRule type="duplicateValues" dxfId="3783" priority="749"/>
  </conditionalFormatting>
  <conditionalFormatting sqref="B433">
    <cfRule type="duplicateValues" dxfId="3782" priority="572"/>
    <cfRule type="duplicateValues" dxfId="3781" priority="573"/>
    <cfRule type="duplicateValues" dxfId="3780" priority="574"/>
    <cfRule type="duplicateValues" dxfId="3779" priority="575"/>
    <cfRule type="duplicateValues" dxfId="3778" priority="576"/>
    <cfRule type="duplicateValues" dxfId="3777" priority="577"/>
    <cfRule type="duplicateValues" dxfId="3776" priority="578"/>
    <cfRule type="duplicateValues" dxfId="3775" priority="579"/>
    <cfRule type="duplicateValues" dxfId="3774" priority="580"/>
    <cfRule type="duplicateValues" dxfId="3773" priority="581"/>
    <cfRule type="duplicateValues" dxfId="3772" priority="582"/>
    <cfRule type="duplicateValues" dxfId="3771" priority="583"/>
    <cfRule type="duplicateValues" dxfId="3770" priority="584"/>
    <cfRule type="duplicateValues" dxfId="3769" priority="585"/>
    <cfRule type="duplicateValues" dxfId="3768" priority="586"/>
    <cfRule type="duplicateValues" dxfId="3767" priority="587"/>
    <cfRule type="duplicateValues" dxfId="3766" priority="588"/>
    <cfRule type="duplicateValues" dxfId="3765" priority="589"/>
    <cfRule type="duplicateValues" dxfId="3764" priority="590"/>
    <cfRule type="duplicateValues" dxfId="3763" priority="591"/>
    <cfRule type="duplicateValues" dxfId="3762" priority="592"/>
    <cfRule type="duplicateValues" dxfId="3761" priority="593"/>
    <cfRule type="duplicateValues" dxfId="3760" priority="594"/>
    <cfRule type="duplicateValues" dxfId="3759" priority="595"/>
    <cfRule type="duplicateValues" dxfId="3758" priority="596"/>
    <cfRule type="duplicateValues" dxfId="3757" priority="597"/>
    <cfRule type="duplicateValues" dxfId="3756" priority="598"/>
    <cfRule type="duplicateValues" dxfId="3755" priority="599"/>
    <cfRule type="duplicateValues" dxfId="3754" priority="600"/>
    <cfRule type="duplicateValues" dxfId="3753" priority="601"/>
    <cfRule type="duplicateValues" dxfId="3752" priority="602"/>
    <cfRule type="duplicateValues" dxfId="3751" priority="603"/>
    <cfRule type="duplicateValues" dxfId="3750" priority="604"/>
    <cfRule type="duplicateValues" dxfId="3749" priority="605"/>
    <cfRule type="duplicateValues" dxfId="3748" priority="606"/>
    <cfRule type="duplicateValues" dxfId="3747" priority="607"/>
    <cfRule type="duplicateValues" dxfId="3746" priority="608"/>
    <cfRule type="duplicateValues" dxfId="3745" priority="609"/>
    <cfRule type="duplicateValues" dxfId="3744" priority="610"/>
    <cfRule type="duplicateValues" dxfId="3743" priority="611"/>
    <cfRule type="duplicateValues" dxfId="3742" priority="612"/>
    <cfRule type="duplicateValues" dxfId="3741" priority="613"/>
    <cfRule type="duplicateValues" dxfId="3740" priority="614"/>
    <cfRule type="duplicateValues" dxfId="3739" priority="615"/>
    <cfRule type="duplicateValues" dxfId="3738" priority="616"/>
    <cfRule type="duplicateValues" dxfId="3737" priority="617"/>
    <cfRule type="duplicateValues" dxfId="3736" priority="618"/>
    <cfRule type="duplicateValues" dxfId="3735" priority="619"/>
    <cfRule type="duplicateValues" dxfId="3734" priority="620"/>
    <cfRule type="duplicateValues" dxfId="3733" priority="621"/>
    <cfRule type="duplicateValues" dxfId="3732" priority="622"/>
    <cfRule type="duplicateValues" dxfId="3731" priority="623"/>
    <cfRule type="duplicateValues" dxfId="3730" priority="624"/>
    <cfRule type="duplicateValues" dxfId="3729" priority="625"/>
    <cfRule type="duplicateValues" dxfId="3728" priority="626"/>
    <cfRule type="duplicateValues" dxfId="3727" priority="627"/>
    <cfRule type="duplicateValues" dxfId="3726" priority="628"/>
    <cfRule type="duplicateValues" dxfId="3725" priority="629"/>
    <cfRule type="duplicateValues" dxfId="3724" priority="630"/>
    <cfRule type="duplicateValues" dxfId="3723" priority="631"/>
    <cfRule type="duplicateValues" dxfId="3722" priority="632"/>
    <cfRule type="duplicateValues" dxfId="3721" priority="633"/>
    <cfRule type="duplicateValues" dxfId="3720" priority="634"/>
    <cfRule type="duplicateValues" dxfId="3719" priority="635"/>
    <cfRule type="duplicateValues" dxfId="3718" priority="636"/>
    <cfRule type="duplicateValues" dxfId="3717" priority="637"/>
    <cfRule type="duplicateValues" dxfId="3716" priority="638"/>
    <cfRule type="duplicateValues" dxfId="3715" priority="639"/>
    <cfRule type="duplicateValues" dxfId="3714" priority="640"/>
    <cfRule type="duplicateValues" dxfId="3713" priority="641"/>
    <cfRule type="duplicateValues" dxfId="3712" priority="642"/>
    <cfRule type="duplicateValues" dxfId="3711" priority="643"/>
    <cfRule type="duplicateValues" dxfId="3710" priority="644"/>
    <cfRule type="duplicateValues" dxfId="3709" priority="645"/>
    <cfRule type="duplicateValues" dxfId="3708" priority="646"/>
    <cfRule type="duplicateValues" dxfId="3707" priority="647"/>
    <cfRule type="duplicateValues" dxfId="3706" priority="648"/>
    <cfRule type="duplicateValues" dxfId="3705" priority="649"/>
    <cfRule type="duplicateValues" dxfId="3704" priority="650"/>
    <cfRule type="duplicateValues" dxfId="3703" priority="651"/>
    <cfRule type="duplicateValues" dxfId="3702" priority="652"/>
    <cfRule type="duplicateValues" dxfId="3701" priority="653"/>
    <cfRule type="duplicateValues" dxfId="3700" priority="654"/>
    <cfRule type="duplicateValues" dxfId="3699" priority="655"/>
    <cfRule type="duplicateValues" dxfId="3698" priority="656"/>
    <cfRule type="duplicateValues" dxfId="3697" priority="657"/>
    <cfRule type="duplicateValues" dxfId="3696" priority="658"/>
    <cfRule type="duplicateValues" dxfId="3695" priority="659"/>
    <cfRule type="duplicateValues" dxfId="3694" priority="660"/>
  </conditionalFormatting>
  <conditionalFormatting sqref="B434">
    <cfRule type="duplicateValues" dxfId="3693" priority="483"/>
    <cfRule type="duplicateValues" dxfId="3692" priority="484"/>
    <cfRule type="duplicateValues" dxfId="3691" priority="485"/>
    <cfRule type="duplicateValues" dxfId="3690" priority="486"/>
    <cfRule type="duplicateValues" dxfId="3689" priority="487"/>
    <cfRule type="duplicateValues" dxfId="3688" priority="488"/>
    <cfRule type="duplicateValues" dxfId="3687" priority="489"/>
    <cfRule type="duplicateValues" dxfId="3686" priority="490"/>
    <cfRule type="duplicateValues" dxfId="3685" priority="491"/>
    <cfRule type="duplicateValues" dxfId="3684" priority="492"/>
    <cfRule type="duplicateValues" dxfId="3683" priority="493"/>
    <cfRule type="duplicateValues" dxfId="3682" priority="494"/>
    <cfRule type="duplicateValues" dxfId="3681" priority="495"/>
    <cfRule type="duplicateValues" dxfId="3680" priority="496"/>
    <cfRule type="duplicateValues" dxfId="3679" priority="497"/>
    <cfRule type="duplicateValues" dxfId="3678" priority="498"/>
    <cfRule type="duplicateValues" dxfId="3677" priority="499"/>
    <cfRule type="duplicateValues" dxfId="3676" priority="500"/>
    <cfRule type="duplicateValues" dxfId="3675" priority="501"/>
    <cfRule type="duplicateValues" dxfId="3674" priority="502"/>
    <cfRule type="duplicateValues" dxfId="3673" priority="503"/>
    <cfRule type="duplicateValues" dxfId="3672" priority="504"/>
    <cfRule type="duplicateValues" dxfId="3671" priority="505"/>
    <cfRule type="duplicateValues" dxfId="3670" priority="506"/>
    <cfRule type="duplicateValues" dxfId="3669" priority="507"/>
    <cfRule type="duplicateValues" dxfId="3668" priority="508"/>
    <cfRule type="duplicateValues" dxfId="3667" priority="509"/>
    <cfRule type="duplicateValues" dxfId="3666" priority="510"/>
    <cfRule type="duplicateValues" dxfId="3665" priority="511"/>
    <cfRule type="duplicateValues" dxfId="3664" priority="512"/>
    <cfRule type="duplicateValues" dxfId="3663" priority="513"/>
    <cfRule type="duplicateValues" dxfId="3662" priority="514"/>
    <cfRule type="duplicateValues" dxfId="3661" priority="515"/>
    <cfRule type="duplicateValues" dxfId="3660" priority="516"/>
    <cfRule type="duplicateValues" dxfId="3659" priority="517"/>
    <cfRule type="duplicateValues" dxfId="3658" priority="518"/>
    <cfRule type="duplicateValues" dxfId="3657" priority="519"/>
    <cfRule type="duplicateValues" dxfId="3656" priority="520"/>
    <cfRule type="duplicateValues" dxfId="3655" priority="521"/>
    <cfRule type="duplicateValues" dxfId="3654" priority="522"/>
    <cfRule type="duplicateValues" dxfId="3653" priority="523"/>
    <cfRule type="duplicateValues" dxfId="3652" priority="524"/>
    <cfRule type="duplicateValues" dxfId="3651" priority="525"/>
    <cfRule type="duplicateValues" dxfId="3650" priority="526"/>
    <cfRule type="duplicateValues" dxfId="3649" priority="527"/>
    <cfRule type="duplicateValues" dxfId="3648" priority="528"/>
    <cfRule type="duplicateValues" dxfId="3647" priority="529"/>
    <cfRule type="duplicateValues" dxfId="3646" priority="530"/>
    <cfRule type="duplicateValues" dxfId="3645" priority="531"/>
    <cfRule type="duplicateValues" dxfId="3644" priority="532"/>
    <cfRule type="duplicateValues" dxfId="3643" priority="533"/>
    <cfRule type="duplicateValues" dxfId="3642" priority="534"/>
    <cfRule type="duplicateValues" dxfId="3641" priority="535"/>
    <cfRule type="duplicateValues" dxfId="3640" priority="536"/>
    <cfRule type="duplicateValues" dxfId="3639" priority="537"/>
    <cfRule type="duplicateValues" dxfId="3638" priority="538"/>
    <cfRule type="duplicateValues" dxfId="3637" priority="539"/>
    <cfRule type="duplicateValues" dxfId="3636" priority="540"/>
    <cfRule type="duplicateValues" dxfId="3635" priority="541"/>
    <cfRule type="duplicateValues" dxfId="3634" priority="542"/>
    <cfRule type="duplicateValues" dxfId="3633" priority="543"/>
    <cfRule type="duplicateValues" dxfId="3632" priority="544"/>
    <cfRule type="duplicateValues" dxfId="3631" priority="545"/>
    <cfRule type="duplicateValues" dxfId="3630" priority="546"/>
    <cfRule type="duplicateValues" dxfId="3629" priority="547"/>
    <cfRule type="duplicateValues" dxfId="3628" priority="548"/>
    <cfRule type="duplicateValues" dxfId="3627" priority="549"/>
    <cfRule type="duplicateValues" dxfId="3626" priority="550"/>
    <cfRule type="duplicateValues" dxfId="3625" priority="551"/>
    <cfRule type="duplicateValues" dxfId="3624" priority="552"/>
    <cfRule type="duplicateValues" dxfId="3623" priority="553"/>
    <cfRule type="duplicateValues" dxfId="3622" priority="554"/>
    <cfRule type="duplicateValues" dxfId="3621" priority="555"/>
    <cfRule type="duplicateValues" dxfId="3620" priority="556"/>
    <cfRule type="duplicateValues" dxfId="3619" priority="557"/>
    <cfRule type="duplicateValues" dxfId="3618" priority="558"/>
    <cfRule type="duplicateValues" dxfId="3617" priority="559"/>
    <cfRule type="duplicateValues" dxfId="3616" priority="560"/>
    <cfRule type="duplicateValues" dxfId="3615" priority="561"/>
    <cfRule type="duplicateValues" dxfId="3614" priority="562"/>
    <cfRule type="duplicateValues" dxfId="3613" priority="563"/>
    <cfRule type="duplicateValues" dxfId="3612" priority="564"/>
    <cfRule type="duplicateValues" dxfId="3611" priority="565"/>
    <cfRule type="duplicateValues" dxfId="3610" priority="566"/>
    <cfRule type="duplicateValues" dxfId="3609" priority="567"/>
    <cfRule type="duplicateValues" dxfId="3608" priority="568"/>
    <cfRule type="duplicateValues" dxfId="3607" priority="569"/>
    <cfRule type="duplicateValues" dxfId="3606" priority="570"/>
    <cfRule type="duplicateValues" dxfId="3605" priority="571"/>
  </conditionalFormatting>
  <conditionalFormatting sqref="B435">
    <cfRule type="duplicateValues" dxfId="3604" priority="394"/>
    <cfRule type="duplicateValues" dxfId="3603" priority="395"/>
    <cfRule type="duplicateValues" dxfId="3602" priority="396"/>
    <cfRule type="duplicateValues" dxfId="3601" priority="397"/>
    <cfRule type="duplicateValues" dxfId="3600" priority="398"/>
    <cfRule type="duplicateValues" dxfId="3599" priority="399"/>
    <cfRule type="duplicateValues" dxfId="3598" priority="400"/>
    <cfRule type="duplicateValues" dxfId="3597" priority="401"/>
    <cfRule type="duplicateValues" dxfId="3596" priority="402"/>
    <cfRule type="duplicateValues" dxfId="3595" priority="403"/>
    <cfRule type="duplicateValues" dxfId="3594" priority="404"/>
    <cfRule type="duplicateValues" dxfId="3593" priority="405"/>
    <cfRule type="duplicateValues" dxfId="3592" priority="406"/>
    <cfRule type="duplicateValues" dxfId="3591" priority="407"/>
    <cfRule type="duplicateValues" dxfId="3590" priority="408"/>
    <cfRule type="duplicateValues" dxfId="3589" priority="409"/>
    <cfRule type="duplicateValues" dxfId="3588" priority="410"/>
    <cfRule type="duplicateValues" dxfId="3587" priority="411"/>
    <cfRule type="duplicateValues" dxfId="3586" priority="412"/>
    <cfRule type="duplicateValues" dxfId="3585" priority="413"/>
    <cfRule type="duplicateValues" dxfId="3584" priority="414"/>
    <cfRule type="duplicateValues" dxfId="3583" priority="415"/>
    <cfRule type="duplicateValues" dxfId="3582" priority="416"/>
    <cfRule type="duplicateValues" dxfId="3581" priority="417"/>
    <cfRule type="duplicateValues" dxfId="3580" priority="418"/>
    <cfRule type="duplicateValues" dxfId="3579" priority="419"/>
    <cfRule type="duplicateValues" dxfId="3578" priority="420"/>
    <cfRule type="duplicateValues" dxfId="3577" priority="421"/>
    <cfRule type="duplicateValues" dxfId="3576" priority="422"/>
    <cfRule type="duplicateValues" dxfId="3575" priority="423"/>
    <cfRule type="duplicateValues" dxfId="3574" priority="424"/>
    <cfRule type="duplicateValues" dxfId="3573" priority="425"/>
    <cfRule type="duplicateValues" dxfId="3572" priority="426"/>
    <cfRule type="duplicateValues" dxfId="3571" priority="427"/>
    <cfRule type="duplicateValues" dxfId="3570" priority="428"/>
    <cfRule type="duplicateValues" dxfId="3569" priority="429"/>
    <cfRule type="duplicateValues" dxfId="3568" priority="430"/>
    <cfRule type="duplicateValues" dxfId="3567" priority="431"/>
    <cfRule type="duplicateValues" dxfId="3566" priority="432"/>
    <cfRule type="duplicateValues" dxfId="3565" priority="433"/>
    <cfRule type="duplicateValues" dxfId="3564" priority="434"/>
    <cfRule type="duplicateValues" dxfId="3563" priority="435"/>
    <cfRule type="duplicateValues" dxfId="3562" priority="436"/>
    <cfRule type="duplicateValues" dxfId="3561" priority="437"/>
    <cfRule type="duplicateValues" dxfId="3560" priority="438"/>
    <cfRule type="duplicateValues" dxfId="3559" priority="439"/>
    <cfRule type="duplicateValues" dxfId="3558" priority="440"/>
    <cfRule type="duplicateValues" dxfId="3557" priority="441"/>
    <cfRule type="duplicateValues" dxfId="3556" priority="442"/>
    <cfRule type="duplicateValues" dxfId="3555" priority="443"/>
    <cfRule type="duplicateValues" dxfId="3554" priority="444"/>
    <cfRule type="duplicateValues" dxfId="3553" priority="445"/>
    <cfRule type="duplicateValues" dxfId="3552" priority="446"/>
    <cfRule type="duplicateValues" dxfId="3551" priority="447"/>
    <cfRule type="duplicateValues" dxfId="3550" priority="448"/>
    <cfRule type="duplicateValues" dxfId="3549" priority="449"/>
    <cfRule type="duplicateValues" dxfId="3548" priority="450"/>
    <cfRule type="duplicateValues" dxfId="3547" priority="451"/>
    <cfRule type="duplicateValues" dxfId="3546" priority="452"/>
    <cfRule type="duplicateValues" dxfId="3545" priority="453"/>
    <cfRule type="duplicateValues" dxfId="3544" priority="454"/>
    <cfRule type="duplicateValues" dxfId="3543" priority="455"/>
    <cfRule type="duplicateValues" dxfId="3542" priority="456"/>
    <cfRule type="duplicateValues" dxfId="3541" priority="457"/>
    <cfRule type="duplicateValues" dxfId="3540" priority="458"/>
    <cfRule type="duplicateValues" dxfId="3539" priority="459"/>
    <cfRule type="duplicateValues" dxfId="3538" priority="460"/>
    <cfRule type="duplicateValues" dxfId="3537" priority="461"/>
    <cfRule type="duplicateValues" dxfId="3536" priority="462"/>
    <cfRule type="duplicateValues" dxfId="3535" priority="463"/>
    <cfRule type="duplicateValues" dxfId="3534" priority="464"/>
    <cfRule type="duplicateValues" dxfId="3533" priority="465"/>
    <cfRule type="duplicateValues" dxfId="3532" priority="466"/>
    <cfRule type="duplicateValues" dxfId="3531" priority="467"/>
    <cfRule type="duplicateValues" dxfId="3530" priority="468"/>
    <cfRule type="duplicateValues" dxfId="3529" priority="469"/>
    <cfRule type="duplicateValues" dxfId="3528" priority="470"/>
    <cfRule type="duplicateValues" dxfId="3527" priority="471"/>
    <cfRule type="duplicateValues" dxfId="3526" priority="472"/>
    <cfRule type="duplicateValues" dxfId="3525" priority="473"/>
    <cfRule type="duplicateValues" dxfId="3524" priority="474"/>
    <cfRule type="duplicateValues" dxfId="3523" priority="475"/>
    <cfRule type="duplicateValues" dxfId="3522" priority="476"/>
    <cfRule type="duplicateValues" dxfId="3521" priority="477"/>
    <cfRule type="duplicateValues" dxfId="3520" priority="478"/>
    <cfRule type="duplicateValues" dxfId="3519" priority="479"/>
    <cfRule type="duplicateValues" dxfId="3518" priority="480"/>
    <cfRule type="duplicateValues" dxfId="3517" priority="481"/>
    <cfRule type="duplicateValues" dxfId="3516" priority="482"/>
  </conditionalFormatting>
  <conditionalFormatting sqref="B436:B437">
    <cfRule type="duplicateValues" dxfId="3515" priority="305"/>
    <cfRule type="duplicateValues" dxfId="3514" priority="306"/>
    <cfRule type="duplicateValues" dxfId="3513" priority="307"/>
    <cfRule type="duplicateValues" dxfId="3512" priority="308"/>
    <cfRule type="duplicateValues" dxfId="3511" priority="309"/>
    <cfRule type="duplicateValues" dxfId="3510" priority="310"/>
    <cfRule type="duplicateValues" dxfId="3509" priority="311"/>
    <cfRule type="duplicateValues" dxfId="3508" priority="312"/>
    <cfRule type="duplicateValues" dxfId="3507" priority="313"/>
    <cfRule type="duplicateValues" dxfId="3506" priority="314"/>
    <cfRule type="duplicateValues" dxfId="3505" priority="315"/>
    <cfRule type="duplicateValues" dxfId="3504" priority="316"/>
    <cfRule type="duplicateValues" dxfId="3503" priority="317"/>
    <cfRule type="duplicateValues" dxfId="3502" priority="318"/>
    <cfRule type="duplicateValues" dxfId="3501" priority="319"/>
    <cfRule type="duplicateValues" dxfId="3500" priority="320"/>
    <cfRule type="duplicateValues" dxfId="3499" priority="321"/>
    <cfRule type="duplicateValues" dxfId="3498" priority="322"/>
    <cfRule type="duplicateValues" dxfId="3497" priority="323"/>
    <cfRule type="duplicateValues" dxfId="3496" priority="324"/>
    <cfRule type="duplicateValues" dxfId="3495" priority="325"/>
    <cfRule type="duplicateValues" dxfId="3494" priority="326"/>
    <cfRule type="duplicateValues" dxfId="3493" priority="327"/>
    <cfRule type="duplicateValues" dxfId="3492" priority="328"/>
    <cfRule type="duplicateValues" dxfId="3491" priority="329"/>
    <cfRule type="duplicateValues" dxfId="3490" priority="330"/>
    <cfRule type="duplicateValues" dxfId="3489" priority="331"/>
    <cfRule type="duplicateValues" dxfId="3488" priority="332"/>
    <cfRule type="duplicateValues" dxfId="3487" priority="333"/>
    <cfRule type="duplicateValues" dxfId="3486" priority="334"/>
    <cfRule type="duplicateValues" dxfId="3485" priority="335"/>
    <cfRule type="duplicateValues" dxfId="3484" priority="336"/>
    <cfRule type="duplicateValues" dxfId="3483" priority="337"/>
    <cfRule type="duplicateValues" dxfId="3482" priority="338"/>
    <cfRule type="duplicateValues" dxfId="3481" priority="339"/>
    <cfRule type="duplicateValues" dxfId="3480" priority="340"/>
    <cfRule type="duplicateValues" dxfId="3479" priority="341"/>
    <cfRule type="duplicateValues" dxfId="3478" priority="342"/>
    <cfRule type="duplicateValues" dxfId="3477" priority="343"/>
    <cfRule type="duplicateValues" dxfId="3476" priority="344"/>
    <cfRule type="duplicateValues" dxfId="3475" priority="345"/>
    <cfRule type="duplicateValues" dxfId="3474" priority="346"/>
    <cfRule type="duplicateValues" dxfId="3473" priority="347"/>
    <cfRule type="duplicateValues" dxfId="3472" priority="348"/>
    <cfRule type="duplicateValues" dxfId="3471" priority="349"/>
    <cfRule type="duplicateValues" dxfId="3470" priority="350"/>
    <cfRule type="duplicateValues" dxfId="3469" priority="351"/>
    <cfRule type="duplicateValues" dxfId="3468" priority="352"/>
    <cfRule type="duplicateValues" dxfId="3467" priority="353"/>
    <cfRule type="duplicateValues" dxfId="3466" priority="354"/>
    <cfRule type="duplicateValues" dxfId="3465" priority="355"/>
    <cfRule type="duplicateValues" dxfId="3464" priority="356"/>
    <cfRule type="duplicateValues" dxfId="3463" priority="357"/>
    <cfRule type="duplicateValues" dxfId="3462" priority="358"/>
    <cfRule type="duplicateValues" dxfId="3461" priority="359"/>
    <cfRule type="duplicateValues" dxfId="3460" priority="360"/>
    <cfRule type="duplicateValues" dxfId="3459" priority="361"/>
    <cfRule type="duplicateValues" dxfId="3458" priority="362"/>
    <cfRule type="duplicateValues" dxfId="3457" priority="363"/>
    <cfRule type="duplicateValues" dxfId="3456" priority="364"/>
    <cfRule type="duplicateValues" dxfId="3455" priority="365"/>
    <cfRule type="duplicateValues" dxfId="3454" priority="366"/>
    <cfRule type="duplicateValues" dxfId="3453" priority="367"/>
    <cfRule type="duplicateValues" dxfId="3452" priority="368"/>
    <cfRule type="duplicateValues" dxfId="3451" priority="369"/>
    <cfRule type="duplicateValues" dxfId="3450" priority="370"/>
    <cfRule type="duplicateValues" dxfId="3449" priority="371"/>
    <cfRule type="duplicateValues" dxfId="3448" priority="372"/>
    <cfRule type="duplicateValues" dxfId="3447" priority="373"/>
    <cfRule type="duplicateValues" dxfId="3446" priority="374"/>
    <cfRule type="duplicateValues" dxfId="3445" priority="375"/>
    <cfRule type="duplicateValues" dxfId="3444" priority="376"/>
    <cfRule type="duplicateValues" dxfId="3443" priority="377"/>
    <cfRule type="duplicateValues" dxfId="3442" priority="378"/>
    <cfRule type="duplicateValues" dxfId="3441" priority="379"/>
    <cfRule type="duplicateValues" dxfId="3440" priority="380"/>
    <cfRule type="duplicateValues" dxfId="3439" priority="381"/>
    <cfRule type="duplicateValues" dxfId="3438" priority="382"/>
    <cfRule type="duplicateValues" dxfId="3437" priority="383"/>
    <cfRule type="duplicateValues" dxfId="3436" priority="384"/>
    <cfRule type="duplicateValues" dxfId="3435" priority="385"/>
    <cfRule type="duplicateValues" dxfId="3434" priority="386"/>
    <cfRule type="duplicateValues" dxfId="3433" priority="387"/>
    <cfRule type="duplicateValues" dxfId="3432" priority="388"/>
    <cfRule type="duplicateValues" dxfId="3431" priority="389"/>
    <cfRule type="duplicateValues" dxfId="3430" priority="390"/>
    <cfRule type="duplicateValues" dxfId="3429" priority="391"/>
    <cfRule type="duplicateValues" dxfId="3428" priority="392"/>
    <cfRule type="duplicateValues" dxfId="3427" priority="393"/>
  </conditionalFormatting>
  <conditionalFormatting sqref="B438:B439">
    <cfRule type="duplicateValues" dxfId="3426" priority="216"/>
    <cfRule type="duplicateValues" dxfId="3425" priority="217"/>
    <cfRule type="duplicateValues" dxfId="3424" priority="218"/>
    <cfRule type="duplicateValues" dxfId="3423" priority="219"/>
    <cfRule type="duplicateValues" dxfId="3422" priority="220"/>
    <cfRule type="duplicateValues" dxfId="3421" priority="221"/>
    <cfRule type="duplicateValues" dxfId="3420" priority="222"/>
    <cfRule type="duplicateValues" dxfId="3419" priority="223"/>
    <cfRule type="duplicateValues" dxfId="3418" priority="224"/>
    <cfRule type="duplicateValues" dxfId="3417" priority="225"/>
    <cfRule type="duplicateValues" dxfId="3416" priority="226"/>
    <cfRule type="duplicateValues" dxfId="3415" priority="227"/>
    <cfRule type="duplicateValues" dxfId="3414" priority="228"/>
    <cfRule type="duplicateValues" dxfId="3413" priority="229"/>
    <cfRule type="duplicateValues" dxfId="3412" priority="230"/>
    <cfRule type="duplicateValues" dxfId="3411" priority="231"/>
    <cfRule type="duplicateValues" dxfId="3410" priority="232"/>
    <cfRule type="duplicateValues" dxfId="3409" priority="233"/>
    <cfRule type="duplicateValues" dxfId="3408" priority="234"/>
    <cfRule type="duplicateValues" dxfId="3407" priority="235"/>
    <cfRule type="duplicateValues" dxfId="3406" priority="236"/>
    <cfRule type="duplicateValues" dxfId="3405" priority="237"/>
    <cfRule type="duplicateValues" dxfId="3404" priority="238"/>
    <cfRule type="duplicateValues" dxfId="3403" priority="239"/>
    <cfRule type="duplicateValues" dxfId="3402" priority="240"/>
    <cfRule type="duplicateValues" dxfId="3401" priority="241"/>
    <cfRule type="duplicateValues" dxfId="3400" priority="242"/>
    <cfRule type="duplicateValues" dxfId="3399" priority="243"/>
    <cfRule type="duplicateValues" dxfId="3398" priority="244"/>
    <cfRule type="duplicateValues" dxfId="3397" priority="245"/>
    <cfRule type="duplicateValues" dxfId="3396" priority="246"/>
    <cfRule type="duplicateValues" dxfId="3395" priority="247"/>
    <cfRule type="duplicateValues" dxfId="3394" priority="248"/>
    <cfRule type="duplicateValues" dxfId="3393" priority="249"/>
    <cfRule type="duplicateValues" dxfId="3392" priority="250"/>
    <cfRule type="duplicateValues" dxfId="3391" priority="251"/>
    <cfRule type="duplicateValues" dxfId="3390" priority="252"/>
    <cfRule type="duplicateValues" dxfId="3389" priority="253"/>
    <cfRule type="duplicateValues" dxfId="3388" priority="254"/>
    <cfRule type="duplicateValues" dxfId="3387" priority="255"/>
    <cfRule type="duplicateValues" dxfId="3386" priority="256"/>
    <cfRule type="duplicateValues" dxfId="3385" priority="257"/>
    <cfRule type="duplicateValues" dxfId="3384" priority="258"/>
    <cfRule type="duplicateValues" dxfId="3383" priority="259"/>
    <cfRule type="duplicateValues" dxfId="3382" priority="260"/>
    <cfRule type="duplicateValues" dxfId="3381" priority="261"/>
    <cfRule type="duplicateValues" dxfId="3380" priority="262"/>
    <cfRule type="duplicateValues" dxfId="3379" priority="263"/>
    <cfRule type="duplicateValues" dxfId="3378" priority="264"/>
    <cfRule type="duplicateValues" dxfId="3377" priority="265"/>
    <cfRule type="duplicateValues" dxfId="3376" priority="266"/>
    <cfRule type="duplicateValues" dxfId="3375" priority="267"/>
    <cfRule type="duplicateValues" dxfId="3374" priority="268"/>
    <cfRule type="duplicateValues" dxfId="3373" priority="269"/>
    <cfRule type="duplicateValues" dxfId="3372" priority="270"/>
    <cfRule type="duplicateValues" dxfId="3371" priority="271"/>
    <cfRule type="duplicateValues" dxfId="3370" priority="272"/>
    <cfRule type="duplicateValues" dxfId="3369" priority="273"/>
    <cfRule type="duplicateValues" dxfId="3368" priority="274"/>
    <cfRule type="duplicateValues" dxfId="3367" priority="275"/>
    <cfRule type="duplicateValues" dxfId="3366" priority="276"/>
    <cfRule type="duplicateValues" dxfId="3365" priority="277"/>
    <cfRule type="duplicateValues" dxfId="3364" priority="278"/>
    <cfRule type="duplicateValues" dxfId="3363" priority="279"/>
    <cfRule type="duplicateValues" dxfId="3362" priority="280"/>
    <cfRule type="duplicateValues" dxfId="3361" priority="281"/>
    <cfRule type="duplicateValues" dxfId="3360" priority="282"/>
    <cfRule type="duplicateValues" dxfId="3359" priority="283"/>
    <cfRule type="duplicateValues" dxfId="3358" priority="284"/>
    <cfRule type="duplicateValues" dxfId="3357" priority="285"/>
    <cfRule type="duplicateValues" dxfId="3356" priority="286"/>
    <cfRule type="duplicateValues" dxfId="3355" priority="287"/>
    <cfRule type="duplicateValues" dxfId="3354" priority="288"/>
    <cfRule type="duplicateValues" dxfId="3353" priority="289"/>
    <cfRule type="duplicateValues" dxfId="3352" priority="290"/>
    <cfRule type="duplicateValues" dxfId="3351" priority="291"/>
    <cfRule type="duplicateValues" dxfId="3350" priority="292"/>
    <cfRule type="duplicateValues" dxfId="3349" priority="293"/>
    <cfRule type="duplicateValues" dxfId="3348" priority="294"/>
    <cfRule type="duplicateValues" dxfId="3347" priority="295"/>
    <cfRule type="duplicateValues" dxfId="3346" priority="296"/>
    <cfRule type="duplicateValues" dxfId="3345" priority="297"/>
    <cfRule type="duplicateValues" dxfId="3344" priority="298"/>
    <cfRule type="duplicateValues" dxfId="3343" priority="299"/>
    <cfRule type="duplicateValues" dxfId="3342" priority="300"/>
    <cfRule type="duplicateValues" dxfId="3341" priority="301"/>
    <cfRule type="duplicateValues" dxfId="3340" priority="302"/>
    <cfRule type="duplicateValues" dxfId="3339" priority="303"/>
    <cfRule type="duplicateValues" dxfId="3338" priority="304"/>
  </conditionalFormatting>
  <conditionalFormatting sqref="B440:B444">
    <cfRule type="duplicateValues" dxfId="3337" priority="241054"/>
    <cfRule type="duplicateValues" dxfId="3336" priority="241055"/>
    <cfRule type="duplicateValues" dxfId="3335" priority="241056"/>
    <cfRule type="duplicateValues" dxfId="3334" priority="241057"/>
    <cfRule type="duplicateValues" dxfId="3333" priority="241058"/>
    <cfRule type="duplicateValues" dxfId="3332" priority="241361"/>
    <cfRule type="duplicateValues" dxfId="3331" priority="241362"/>
    <cfRule type="duplicateValues" dxfId="3330" priority="241363"/>
    <cfRule type="duplicateValues" dxfId="3329" priority="241364"/>
    <cfRule type="duplicateValues" dxfId="3328" priority="241365"/>
    <cfRule type="duplicateValues" dxfId="3327" priority="241366"/>
    <cfRule type="duplicateValues" dxfId="3326" priority="241367"/>
    <cfRule type="duplicateValues" dxfId="3325" priority="241368"/>
    <cfRule type="duplicateValues" dxfId="3324" priority="241369"/>
    <cfRule type="duplicateValues" dxfId="3323" priority="241370"/>
    <cfRule type="duplicateValues" dxfId="3322" priority="241371"/>
    <cfRule type="duplicateValues" dxfId="3321" priority="241372"/>
    <cfRule type="duplicateValues" dxfId="3320" priority="241373"/>
    <cfRule type="duplicateValues" dxfId="3319" priority="241374"/>
    <cfRule type="duplicateValues" dxfId="3318" priority="241375"/>
    <cfRule type="duplicateValues" dxfId="3317" priority="241376"/>
    <cfRule type="duplicateValues" dxfId="3316" priority="241377"/>
    <cfRule type="duplicateValues" dxfId="3315" priority="241378"/>
    <cfRule type="duplicateValues" dxfId="3314" priority="241379"/>
    <cfRule type="duplicateValues" dxfId="3313" priority="241380"/>
    <cfRule type="duplicateValues" dxfId="3312" priority="241381"/>
    <cfRule type="duplicateValues" dxfId="3311" priority="241382"/>
    <cfRule type="duplicateValues" dxfId="3310" priority="241383"/>
    <cfRule type="duplicateValues" dxfId="3309" priority="241384"/>
    <cfRule type="duplicateValues" dxfId="3308" priority="241385"/>
    <cfRule type="duplicateValues" dxfId="3307" priority="241386"/>
    <cfRule type="duplicateValues" dxfId="3306" priority="241387"/>
    <cfRule type="duplicateValues" dxfId="3305" priority="241388"/>
    <cfRule type="duplicateValues" dxfId="3304" priority="241389"/>
    <cfRule type="duplicateValues" dxfId="3303" priority="241390"/>
    <cfRule type="duplicateValues" dxfId="3302" priority="241391"/>
    <cfRule type="duplicateValues" dxfId="3301" priority="241392"/>
    <cfRule type="duplicateValues" dxfId="3300" priority="241393"/>
    <cfRule type="duplicateValues" dxfId="3299" priority="241394"/>
    <cfRule type="duplicateValues" dxfId="3298" priority="241395"/>
    <cfRule type="duplicateValues" dxfId="3297" priority="241396"/>
    <cfRule type="duplicateValues" dxfId="3296" priority="241397"/>
    <cfRule type="duplicateValues" dxfId="3295" priority="241398"/>
    <cfRule type="duplicateValues" dxfId="3294" priority="241399"/>
    <cfRule type="duplicateValues" dxfId="3293" priority="241400"/>
    <cfRule type="duplicateValues" dxfId="3292" priority="241401"/>
    <cfRule type="duplicateValues" dxfId="3291" priority="241402"/>
    <cfRule type="duplicateValues" dxfId="3290" priority="241705"/>
    <cfRule type="duplicateValues" dxfId="3289" priority="241706"/>
    <cfRule type="duplicateValues" dxfId="3288" priority="241707"/>
    <cfRule type="duplicateValues" dxfId="3287" priority="241708"/>
    <cfRule type="duplicateValues" dxfId="3286" priority="241709"/>
    <cfRule type="duplicateValues" dxfId="3285" priority="241710"/>
    <cfRule type="duplicateValues" dxfId="3284" priority="241711"/>
    <cfRule type="duplicateValues" dxfId="3283" priority="241712"/>
    <cfRule type="duplicateValues" dxfId="3282" priority="241713"/>
    <cfRule type="duplicateValues" dxfId="3281" priority="241714"/>
    <cfRule type="duplicateValues" dxfId="3280" priority="241715"/>
    <cfRule type="duplicateValues" dxfId="3279" priority="241716"/>
    <cfRule type="duplicateValues" dxfId="3278" priority="241717"/>
    <cfRule type="duplicateValues" dxfId="3277" priority="241718"/>
    <cfRule type="duplicateValues" dxfId="3276" priority="241719"/>
    <cfRule type="duplicateValues" dxfId="3275" priority="241720"/>
    <cfRule type="duplicateValues" dxfId="3274" priority="241721"/>
    <cfRule type="duplicateValues" dxfId="3273" priority="241722"/>
    <cfRule type="duplicateValues" dxfId="3272" priority="241723"/>
    <cfRule type="duplicateValues" dxfId="3271" priority="241724"/>
    <cfRule type="duplicateValues" dxfId="3270" priority="241725"/>
    <cfRule type="duplicateValues" dxfId="3269" priority="241726"/>
    <cfRule type="duplicateValues" dxfId="3268" priority="241727"/>
    <cfRule type="duplicateValues" dxfId="3267" priority="241728"/>
    <cfRule type="duplicateValues" dxfId="3266" priority="241729"/>
    <cfRule type="duplicateValues" dxfId="3265" priority="241730"/>
    <cfRule type="duplicateValues" dxfId="3264" priority="241731"/>
    <cfRule type="duplicateValues" dxfId="3263" priority="241732"/>
    <cfRule type="duplicateValues" dxfId="3262" priority="241733"/>
    <cfRule type="duplicateValues" dxfId="3261" priority="241734"/>
    <cfRule type="duplicateValues" dxfId="3260" priority="241735"/>
    <cfRule type="duplicateValues" dxfId="3259" priority="241736"/>
    <cfRule type="duplicateValues" dxfId="3258" priority="241737"/>
    <cfRule type="duplicateValues" dxfId="3257" priority="241738"/>
    <cfRule type="duplicateValues" dxfId="3256" priority="241739"/>
    <cfRule type="duplicateValues" dxfId="3255" priority="241740"/>
    <cfRule type="duplicateValues" dxfId="3254" priority="241741"/>
    <cfRule type="duplicateValues" dxfId="3253" priority="241742"/>
    <cfRule type="duplicateValues" dxfId="3252" priority="241743"/>
    <cfRule type="duplicateValues" dxfId="3251" priority="241744"/>
    <cfRule type="duplicateValues" dxfId="3250" priority="241745"/>
    <cfRule type="duplicateValues" dxfId="3249" priority="241746"/>
  </conditionalFormatting>
  <conditionalFormatting sqref="B445:B446">
    <cfRule type="duplicateValues" dxfId="3248" priority="241747"/>
    <cfRule type="duplicateValues" dxfId="3247" priority="241748"/>
    <cfRule type="duplicateValues" dxfId="3246" priority="241749"/>
    <cfRule type="duplicateValues" dxfId="3245" priority="241750"/>
    <cfRule type="duplicateValues" dxfId="3244" priority="241751"/>
    <cfRule type="duplicateValues" dxfId="3243" priority="241752"/>
    <cfRule type="duplicateValues" dxfId="3242" priority="241753"/>
    <cfRule type="duplicateValues" dxfId="3241" priority="241754"/>
    <cfRule type="duplicateValues" dxfId="3240" priority="241755"/>
    <cfRule type="duplicateValues" dxfId="3239" priority="241756"/>
    <cfRule type="duplicateValues" dxfId="3238" priority="241757"/>
    <cfRule type="duplicateValues" dxfId="3237" priority="241758"/>
    <cfRule type="duplicateValues" dxfId="3236" priority="241759"/>
    <cfRule type="duplicateValues" dxfId="3235" priority="241760"/>
    <cfRule type="duplicateValues" dxfId="3234" priority="241761"/>
    <cfRule type="duplicateValues" dxfId="3233" priority="241762"/>
    <cfRule type="duplicateValues" dxfId="3232" priority="241763"/>
    <cfRule type="duplicateValues" dxfId="3231" priority="241764"/>
    <cfRule type="duplicateValues" dxfId="3230" priority="241765"/>
    <cfRule type="duplicateValues" dxfId="3229" priority="241766"/>
    <cfRule type="duplicateValues" dxfId="3228" priority="241767"/>
    <cfRule type="duplicateValues" dxfId="3227" priority="241768"/>
    <cfRule type="duplicateValues" dxfId="3226" priority="241769"/>
    <cfRule type="duplicateValues" dxfId="3225" priority="241770"/>
    <cfRule type="duplicateValues" dxfId="3224" priority="241771"/>
    <cfRule type="duplicateValues" dxfId="3223" priority="241772"/>
    <cfRule type="duplicateValues" dxfId="3222" priority="241773"/>
    <cfRule type="duplicateValues" dxfId="3221" priority="241774"/>
    <cfRule type="duplicateValues" dxfId="3220" priority="241775"/>
    <cfRule type="duplicateValues" dxfId="3219" priority="241776"/>
    <cfRule type="duplicateValues" dxfId="3218" priority="241777"/>
    <cfRule type="duplicateValues" dxfId="3217" priority="241778"/>
    <cfRule type="duplicateValues" dxfId="3216" priority="241779"/>
    <cfRule type="duplicateValues" dxfId="3215" priority="241780"/>
    <cfRule type="duplicateValues" dxfId="3214" priority="241781"/>
    <cfRule type="duplicateValues" dxfId="3213" priority="241782"/>
    <cfRule type="duplicateValues" dxfId="3212" priority="241783"/>
    <cfRule type="duplicateValues" dxfId="3211" priority="241784"/>
    <cfRule type="duplicateValues" dxfId="3210" priority="241785"/>
    <cfRule type="duplicateValues" dxfId="3209" priority="241786"/>
    <cfRule type="duplicateValues" dxfId="3208" priority="241787"/>
    <cfRule type="duplicateValues" dxfId="3207" priority="241788"/>
    <cfRule type="duplicateValues" dxfId="3206" priority="241831"/>
    <cfRule type="duplicateValues" dxfId="3205" priority="241832"/>
    <cfRule type="duplicateValues" dxfId="3204" priority="241833"/>
    <cfRule type="duplicateValues" dxfId="3203" priority="241834"/>
    <cfRule type="duplicateValues" dxfId="3202" priority="241835"/>
    <cfRule type="duplicateValues" dxfId="3201" priority="241836"/>
    <cfRule type="duplicateValues" dxfId="3200" priority="241837"/>
    <cfRule type="duplicateValues" dxfId="3199" priority="241838"/>
    <cfRule type="duplicateValues" dxfId="3198" priority="241839"/>
    <cfRule type="duplicateValues" dxfId="3197" priority="241840"/>
    <cfRule type="duplicateValues" dxfId="3196" priority="241841"/>
    <cfRule type="duplicateValues" dxfId="3195" priority="241842"/>
    <cfRule type="duplicateValues" dxfId="3194" priority="241843"/>
    <cfRule type="duplicateValues" dxfId="3193" priority="241844"/>
    <cfRule type="duplicateValues" dxfId="3192" priority="241845"/>
    <cfRule type="duplicateValues" dxfId="3191" priority="241846"/>
    <cfRule type="duplicateValues" dxfId="3190" priority="241847"/>
    <cfRule type="duplicateValues" dxfId="3189" priority="241848"/>
    <cfRule type="duplicateValues" dxfId="3188" priority="241849"/>
    <cfRule type="duplicateValues" dxfId="3187" priority="241850"/>
    <cfRule type="duplicateValues" dxfId="3186" priority="241851"/>
    <cfRule type="duplicateValues" dxfId="3185" priority="241852"/>
    <cfRule type="duplicateValues" dxfId="3184" priority="241853"/>
    <cfRule type="duplicateValues" dxfId="3183" priority="241854"/>
    <cfRule type="duplicateValues" dxfId="3182" priority="241855"/>
    <cfRule type="duplicateValues" dxfId="3181" priority="241856"/>
    <cfRule type="duplicateValues" dxfId="3180" priority="241857"/>
    <cfRule type="duplicateValues" dxfId="3179" priority="241858"/>
    <cfRule type="duplicateValues" dxfId="3178" priority="241859"/>
    <cfRule type="duplicateValues" dxfId="3177" priority="241860"/>
    <cfRule type="duplicateValues" dxfId="3176" priority="241861"/>
    <cfRule type="duplicateValues" dxfId="3175" priority="241862"/>
    <cfRule type="duplicateValues" dxfId="3174" priority="241863"/>
    <cfRule type="duplicateValues" dxfId="3173" priority="241864"/>
    <cfRule type="duplicateValues" dxfId="3172" priority="241865"/>
    <cfRule type="duplicateValues" dxfId="3171" priority="241866"/>
    <cfRule type="duplicateValues" dxfId="3170" priority="241867"/>
    <cfRule type="duplicateValues" dxfId="3169" priority="241868"/>
    <cfRule type="duplicateValues" dxfId="3168" priority="241869"/>
    <cfRule type="duplicateValues" dxfId="3167" priority="241870"/>
    <cfRule type="duplicateValues" dxfId="3166" priority="241871"/>
    <cfRule type="duplicateValues" dxfId="3165" priority="241872"/>
    <cfRule type="duplicateValues" dxfId="3164" priority="241878"/>
    <cfRule type="duplicateValues" dxfId="3163" priority="241879"/>
    <cfRule type="duplicateValues" dxfId="3162" priority="241880"/>
    <cfRule type="duplicateValues" dxfId="3161" priority="241881"/>
    <cfRule type="duplicateValues" dxfId="3160" priority="241882"/>
  </conditionalFormatting>
  <conditionalFormatting sqref="B447">
    <cfRule type="duplicateValues" dxfId="3159" priority="241403"/>
    <cfRule type="duplicateValues" dxfId="3158" priority="241404"/>
    <cfRule type="duplicateValues" dxfId="3157" priority="241405"/>
    <cfRule type="duplicateValues" dxfId="3156" priority="241406"/>
    <cfRule type="duplicateValues" dxfId="3155" priority="241407"/>
    <cfRule type="duplicateValues" dxfId="3154" priority="241408"/>
    <cfRule type="duplicateValues" dxfId="3153" priority="241409"/>
    <cfRule type="duplicateValues" dxfId="3152" priority="241410"/>
    <cfRule type="duplicateValues" dxfId="3151" priority="241411"/>
    <cfRule type="duplicateValues" dxfId="3150" priority="241412"/>
    <cfRule type="duplicateValues" dxfId="3149" priority="241413"/>
    <cfRule type="duplicateValues" dxfId="3148" priority="241414"/>
    <cfRule type="duplicateValues" dxfId="3147" priority="241415"/>
    <cfRule type="duplicateValues" dxfId="3146" priority="241416"/>
    <cfRule type="duplicateValues" dxfId="3145" priority="241417"/>
    <cfRule type="duplicateValues" dxfId="3144" priority="241418"/>
    <cfRule type="duplicateValues" dxfId="3143" priority="241419"/>
    <cfRule type="duplicateValues" dxfId="3142" priority="241420"/>
    <cfRule type="duplicateValues" dxfId="3141" priority="241421"/>
    <cfRule type="duplicateValues" dxfId="3140" priority="241422"/>
    <cfRule type="duplicateValues" dxfId="3139" priority="241423"/>
    <cfRule type="duplicateValues" dxfId="3138" priority="241424"/>
    <cfRule type="duplicateValues" dxfId="3137" priority="241425"/>
    <cfRule type="duplicateValues" dxfId="3136" priority="241426"/>
    <cfRule type="duplicateValues" dxfId="3135" priority="241427"/>
    <cfRule type="duplicateValues" dxfId="3134" priority="241428"/>
    <cfRule type="duplicateValues" dxfId="3133" priority="241429"/>
    <cfRule type="duplicateValues" dxfId="3132" priority="241430"/>
    <cfRule type="duplicateValues" dxfId="3131" priority="241431"/>
    <cfRule type="duplicateValues" dxfId="3130" priority="241432"/>
    <cfRule type="duplicateValues" dxfId="3129" priority="241433"/>
    <cfRule type="duplicateValues" dxfId="3128" priority="241434"/>
    <cfRule type="duplicateValues" dxfId="3127" priority="241435"/>
    <cfRule type="duplicateValues" dxfId="3126" priority="241436"/>
    <cfRule type="duplicateValues" dxfId="3125" priority="241437"/>
    <cfRule type="duplicateValues" dxfId="3124" priority="241438"/>
    <cfRule type="duplicateValues" dxfId="3123" priority="241439"/>
    <cfRule type="duplicateValues" dxfId="3122" priority="241440"/>
    <cfRule type="duplicateValues" dxfId="3121" priority="241441"/>
    <cfRule type="duplicateValues" dxfId="3120" priority="241442"/>
    <cfRule type="duplicateValues" dxfId="3119" priority="241443"/>
    <cfRule type="duplicateValues" dxfId="3118" priority="241444"/>
    <cfRule type="duplicateValues" dxfId="3117" priority="241487"/>
    <cfRule type="duplicateValues" dxfId="3116" priority="241488"/>
    <cfRule type="duplicateValues" dxfId="3115" priority="241489"/>
    <cfRule type="duplicateValues" dxfId="3114" priority="241490"/>
    <cfRule type="duplicateValues" dxfId="3113" priority="241491"/>
    <cfRule type="duplicateValues" dxfId="3112" priority="241492"/>
    <cfRule type="duplicateValues" dxfId="3111" priority="241493"/>
    <cfRule type="duplicateValues" dxfId="3110" priority="241494"/>
    <cfRule type="duplicateValues" dxfId="3109" priority="241495"/>
    <cfRule type="duplicateValues" dxfId="3108" priority="241496"/>
    <cfRule type="duplicateValues" dxfId="3107" priority="241497"/>
    <cfRule type="duplicateValues" dxfId="3106" priority="241498"/>
    <cfRule type="duplicateValues" dxfId="3105" priority="241499"/>
    <cfRule type="duplicateValues" dxfId="3104" priority="241500"/>
    <cfRule type="duplicateValues" dxfId="3103" priority="241501"/>
    <cfRule type="duplicateValues" dxfId="3102" priority="241502"/>
    <cfRule type="duplicateValues" dxfId="3101" priority="241503"/>
    <cfRule type="duplicateValues" dxfId="3100" priority="241504"/>
    <cfRule type="duplicateValues" dxfId="3099" priority="241505"/>
    <cfRule type="duplicateValues" dxfId="3098" priority="241506"/>
    <cfRule type="duplicateValues" dxfId="3097" priority="241507"/>
    <cfRule type="duplicateValues" dxfId="3096" priority="241508"/>
    <cfRule type="duplicateValues" dxfId="3095" priority="241509"/>
    <cfRule type="duplicateValues" dxfId="3094" priority="241510"/>
    <cfRule type="duplicateValues" dxfId="3093" priority="241511"/>
    <cfRule type="duplicateValues" dxfId="3092" priority="241512"/>
    <cfRule type="duplicateValues" dxfId="3091" priority="241513"/>
    <cfRule type="duplicateValues" dxfId="3090" priority="241514"/>
    <cfRule type="duplicateValues" dxfId="3089" priority="241515"/>
    <cfRule type="duplicateValues" dxfId="3088" priority="241516"/>
    <cfRule type="duplicateValues" dxfId="3087" priority="241517"/>
    <cfRule type="duplicateValues" dxfId="3086" priority="241518"/>
    <cfRule type="duplicateValues" dxfId="3085" priority="241519"/>
    <cfRule type="duplicateValues" dxfId="3084" priority="241520"/>
    <cfRule type="duplicateValues" dxfId="3083" priority="241521"/>
    <cfRule type="duplicateValues" dxfId="3082" priority="241522"/>
    <cfRule type="duplicateValues" dxfId="3081" priority="241523"/>
    <cfRule type="duplicateValues" dxfId="3080" priority="241524"/>
    <cfRule type="duplicateValues" dxfId="3079" priority="241525"/>
    <cfRule type="duplicateValues" dxfId="3078" priority="241526"/>
    <cfRule type="duplicateValues" dxfId="3077" priority="241527"/>
    <cfRule type="duplicateValues" dxfId="3076" priority="241528"/>
    <cfRule type="duplicateValues" dxfId="3075" priority="241534"/>
    <cfRule type="duplicateValues" dxfId="3074" priority="241535"/>
    <cfRule type="duplicateValues" dxfId="3073" priority="241536"/>
    <cfRule type="duplicateValues" dxfId="3072" priority="241537"/>
    <cfRule type="duplicateValues" dxfId="3071" priority="241538"/>
  </conditionalFormatting>
  <conditionalFormatting sqref="B448:B452">
    <cfRule type="duplicateValues" dxfId="3070" priority="241059"/>
    <cfRule type="duplicateValues" dxfId="3069" priority="241060"/>
    <cfRule type="duplicateValues" dxfId="3068" priority="241061"/>
    <cfRule type="duplicateValues" dxfId="3067" priority="241062"/>
    <cfRule type="duplicateValues" dxfId="3066" priority="241063"/>
    <cfRule type="duplicateValues" dxfId="3065" priority="241064"/>
    <cfRule type="duplicateValues" dxfId="3064" priority="241065"/>
    <cfRule type="duplicateValues" dxfId="3063" priority="241066"/>
    <cfRule type="duplicateValues" dxfId="3062" priority="241067"/>
    <cfRule type="duplicateValues" dxfId="3061" priority="241068"/>
    <cfRule type="duplicateValues" dxfId="3060" priority="241069"/>
    <cfRule type="duplicateValues" dxfId="3059" priority="241070"/>
    <cfRule type="duplicateValues" dxfId="3058" priority="241071"/>
    <cfRule type="duplicateValues" dxfId="3057" priority="241072"/>
    <cfRule type="duplicateValues" dxfId="3056" priority="241073"/>
    <cfRule type="duplicateValues" dxfId="3055" priority="241074"/>
    <cfRule type="duplicateValues" dxfId="3054" priority="241075"/>
    <cfRule type="duplicateValues" dxfId="3053" priority="241076"/>
    <cfRule type="duplicateValues" dxfId="3052" priority="241077"/>
    <cfRule type="duplicateValues" dxfId="3051" priority="241078"/>
    <cfRule type="duplicateValues" dxfId="3050" priority="241079"/>
    <cfRule type="duplicateValues" dxfId="3049" priority="241080"/>
    <cfRule type="duplicateValues" dxfId="3048" priority="241081"/>
    <cfRule type="duplicateValues" dxfId="3047" priority="241082"/>
    <cfRule type="duplicateValues" dxfId="3046" priority="241083"/>
    <cfRule type="duplicateValues" dxfId="3045" priority="241084"/>
    <cfRule type="duplicateValues" dxfId="3044" priority="241085"/>
    <cfRule type="duplicateValues" dxfId="3043" priority="241086"/>
    <cfRule type="duplicateValues" dxfId="3042" priority="241087"/>
    <cfRule type="duplicateValues" dxfId="3041" priority="241088"/>
    <cfRule type="duplicateValues" dxfId="3040" priority="241089"/>
    <cfRule type="duplicateValues" dxfId="3039" priority="241090"/>
    <cfRule type="duplicateValues" dxfId="3038" priority="241091"/>
    <cfRule type="duplicateValues" dxfId="3037" priority="241092"/>
    <cfRule type="duplicateValues" dxfId="3036" priority="241093"/>
    <cfRule type="duplicateValues" dxfId="3035" priority="241094"/>
    <cfRule type="duplicateValues" dxfId="3034" priority="241095"/>
    <cfRule type="duplicateValues" dxfId="3033" priority="241096"/>
    <cfRule type="duplicateValues" dxfId="3032" priority="241097"/>
    <cfRule type="duplicateValues" dxfId="3031" priority="241098"/>
    <cfRule type="duplicateValues" dxfId="3030" priority="241099"/>
    <cfRule type="duplicateValues" dxfId="3029" priority="241100"/>
    <cfRule type="duplicateValues" dxfId="3028" priority="241143"/>
    <cfRule type="duplicateValues" dxfId="3027" priority="241144"/>
    <cfRule type="duplicateValues" dxfId="3026" priority="241145"/>
    <cfRule type="duplicateValues" dxfId="3025" priority="241146"/>
    <cfRule type="duplicateValues" dxfId="3024" priority="241147"/>
    <cfRule type="duplicateValues" dxfId="3023" priority="241148"/>
    <cfRule type="duplicateValues" dxfId="3022" priority="241149"/>
    <cfRule type="duplicateValues" dxfId="3021" priority="241150"/>
    <cfRule type="duplicateValues" dxfId="3020" priority="241151"/>
    <cfRule type="duplicateValues" dxfId="3019" priority="241152"/>
    <cfRule type="duplicateValues" dxfId="3018" priority="241153"/>
    <cfRule type="duplicateValues" dxfId="3017" priority="241154"/>
    <cfRule type="duplicateValues" dxfId="3016" priority="241155"/>
    <cfRule type="duplicateValues" dxfId="3015" priority="241156"/>
    <cfRule type="duplicateValues" dxfId="3014" priority="241157"/>
    <cfRule type="duplicateValues" dxfId="3013" priority="241158"/>
    <cfRule type="duplicateValues" dxfId="3012" priority="241159"/>
    <cfRule type="duplicateValues" dxfId="3011" priority="241160"/>
    <cfRule type="duplicateValues" dxfId="3010" priority="241161"/>
    <cfRule type="duplicateValues" dxfId="3009" priority="241162"/>
    <cfRule type="duplicateValues" dxfId="3008" priority="241163"/>
    <cfRule type="duplicateValues" dxfId="3007" priority="241164"/>
    <cfRule type="duplicateValues" dxfId="3006" priority="241165"/>
    <cfRule type="duplicateValues" dxfId="3005" priority="241166"/>
    <cfRule type="duplicateValues" dxfId="3004" priority="241167"/>
    <cfRule type="duplicateValues" dxfId="3003" priority="241168"/>
    <cfRule type="duplicateValues" dxfId="3002" priority="241169"/>
    <cfRule type="duplicateValues" dxfId="3001" priority="241170"/>
    <cfRule type="duplicateValues" dxfId="3000" priority="241171"/>
    <cfRule type="duplicateValues" dxfId="2999" priority="241172"/>
    <cfRule type="duplicateValues" dxfId="2998" priority="241173"/>
    <cfRule type="duplicateValues" dxfId="2997" priority="241174"/>
    <cfRule type="duplicateValues" dxfId="2996" priority="241175"/>
    <cfRule type="duplicateValues" dxfId="2995" priority="241176"/>
    <cfRule type="duplicateValues" dxfId="2994" priority="241177"/>
    <cfRule type="duplicateValues" dxfId="2993" priority="241178"/>
    <cfRule type="duplicateValues" dxfId="2992" priority="241179"/>
    <cfRule type="duplicateValues" dxfId="2991" priority="241180"/>
    <cfRule type="duplicateValues" dxfId="2990" priority="241181"/>
    <cfRule type="duplicateValues" dxfId="2989" priority="241182"/>
    <cfRule type="duplicateValues" dxfId="2988" priority="241183"/>
    <cfRule type="duplicateValues" dxfId="2987" priority="241184"/>
    <cfRule type="duplicateValues" dxfId="2986" priority="241190"/>
    <cfRule type="duplicateValues" dxfId="2985" priority="241191"/>
    <cfRule type="duplicateValues" dxfId="2984" priority="241192"/>
    <cfRule type="duplicateValues" dxfId="2983" priority="241193"/>
    <cfRule type="duplicateValues" dxfId="2982" priority="241194"/>
  </conditionalFormatting>
  <conditionalFormatting sqref="B453:B455">
    <cfRule type="duplicateValues" dxfId="2981" priority="240715"/>
    <cfRule type="duplicateValues" dxfId="2980" priority="240716"/>
    <cfRule type="duplicateValues" dxfId="2979" priority="240717"/>
    <cfRule type="duplicateValues" dxfId="2978" priority="240718"/>
    <cfRule type="duplicateValues" dxfId="2977" priority="240719"/>
    <cfRule type="duplicateValues" dxfId="2976" priority="240720"/>
    <cfRule type="duplicateValues" dxfId="2975" priority="240721"/>
    <cfRule type="duplicateValues" dxfId="2974" priority="240722"/>
    <cfRule type="duplicateValues" dxfId="2973" priority="240723"/>
    <cfRule type="duplicateValues" dxfId="2972" priority="240724"/>
    <cfRule type="duplicateValues" dxfId="2971" priority="240725"/>
    <cfRule type="duplicateValues" dxfId="2970" priority="240726"/>
    <cfRule type="duplicateValues" dxfId="2969" priority="240727"/>
    <cfRule type="duplicateValues" dxfId="2968" priority="240728"/>
    <cfRule type="duplicateValues" dxfId="2967" priority="240729"/>
    <cfRule type="duplicateValues" dxfId="2966" priority="240730"/>
    <cfRule type="duplicateValues" dxfId="2965" priority="240731"/>
    <cfRule type="duplicateValues" dxfId="2964" priority="240732"/>
    <cfRule type="duplicateValues" dxfId="2963" priority="240733"/>
    <cfRule type="duplicateValues" dxfId="2962" priority="240734"/>
    <cfRule type="duplicateValues" dxfId="2961" priority="240735"/>
    <cfRule type="duplicateValues" dxfId="2960" priority="240736"/>
    <cfRule type="duplicateValues" dxfId="2959" priority="240737"/>
    <cfRule type="duplicateValues" dxfId="2958" priority="240738"/>
    <cfRule type="duplicateValues" dxfId="2957" priority="240739"/>
    <cfRule type="duplicateValues" dxfId="2956" priority="240740"/>
    <cfRule type="duplicateValues" dxfId="2955" priority="240741"/>
    <cfRule type="duplicateValues" dxfId="2954" priority="240742"/>
    <cfRule type="duplicateValues" dxfId="2953" priority="240743"/>
    <cfRule type="duplicateValues" dxfId="2952" priority="240744"/>
    <cfRule type="duplicateValues" dxfId="2951" priority="240745"/>
    <cfRule type="duplicateValues" dxfId="2950" priority="240746"/>
    <cfRule type="duplicateValues" dxfId="2949" priority="240747"/>
    <cfRule type="duplicateValues" dxfId="2948" priority="240748"/>
    <cfRule type="duplicateValues" dxfId="2947" priority="240749"/>
    <cfRule type="duplicateValues" dxfId="2946" priority="240750"/>
    <cfRule type="duplicateValues" dxfId="2945" priority="240751"/>
    <cfRule type="duplicateValues" dxfId="2944" priority="240752"/>
    <cfRule type="duplicateValues" dxfId="2943" priority="240753"/>
    <cfRule type="duplicateValues" dxfId="2942" priority="240754"/>
    <cfRule type="duplicateValues" dxfId="2941" priority="240755"/>
    <cfRule type="duplicateValues" dxfId="2940" priority="240756"/>
    <cfRule type="duplicateValues" dxfId="2939" priority="240799"/>
    <cfRule type="duplicateValues" dxfId="2938" priority="240800"/>
    <cfRule type="duplicateValues" dxfId="2937" priority="240801"/>
    <cfRule type="duplicateValues" dxfId="2936" priority="240802"/>
    <cfRule type="duplicateValues" dxfId="2935" priority="240803"/>
    <cfRule type="duplicateValues" dxfId="2934" priority="240804"/>
    <cfRule type="duplicateValues" dxfId="2933" priority="240805"/>
    <cfRule type="duplicateValues" dxfId="2932" priority="240806"/>
    <cfRule type="duplicateValues" dxfId="2931" priority="240807"/>
    <cfRule type="duplicateValues" dxfId="2930" priority="240808"/>
    <cfRule type="duplicateValues" dxfId="2929" priority="240809"/>
    <cfRule type="duplicateValues" dxfId="2928" priority="240810"/>
    <cfRule type="duplicateValues" dxfId="2927" priority="240811"/>
    <cfRule type="duplicateValues" dxfId="2926" priority="240812"/>
    <cfRule type="duplicateValues" dxfId="2925" priority="240813"/>
    <cfRule type="duplicateValues" dxfId="2924" priority="240814"/>
    <cfRule type="duplicateValues" dxfId="2923" priority="240815"/>
    <cfRule type="duplicateValues" dxfId="2922" priority="240816"/>
    <cfRule type="duplicateValues" dxfId="2921" priority="240817"/>
    <cfRule type="duplicateValues" dxfId="2920" priority="240818"/>
    <cfRule type="duplicateValues" dxfId="2919" priority="240819"/>
    <cfRule type="duplicateValues" dxfId="2918" priority="240820"/>
    <cfRule type="duplicateValues" dxfId="2917" priority="240821"/>
    <cfRule type="duplicateValues" dxfId="2916" priority="240822"/>
    <cfRule type="duplicateValues" dxfId="2915" priority="240823"/>
    <cfRule type="duplicateValues" dxfId="2914" priority="240824"/>
    <cfRule type="duplicateValues" dxfId="2913" priority="240825"/>
    <cfRule type="duplicateValues" dxfId="2912" priority="240826"/>
    <cfRule type="duplicateValues" dxfId="2911" priority="240827"/>
    <cfRule type="duplicateValues" dxfId="2910" priority="240828"/>
    <cfRule type="duplicateValues" dxfId="2909" priority="240829"/>
    <cfRule type="duplicateValues" dxfId="2908" priority="240830"/>
    <cfRule type="duplicateValues" dxfId="2907" priority="240831"/>
    <cfRule type="duplicateValues" dxfId="2906" priority="240832"/>
    <cfRule type="duplicateValues" dxfId="2905" priority="240833"/>
    <cfRule type="duplicateValues" dxfId="2904" priority="240834"/>
    <cfRule type="duplicateValues" dxfId="2903" priority="240835"/>
    <cfRule type="duplicateValues" dxfId="2902" priority="240836"/>
    <cfRule type="duplicateValues" dxfId="2901" priority="240837"/>
    <cfRule type="duplicateValues" dxfId="2900" priority="240838"/>
    <cfRule type="duplicateValues" dxfId="2899" priority="240839"/>
    <cfRule type="duplicateValues" dxfId="2898" priority="240840"/>
    <cfRule type="duplicateValues" dxfId="2897" priority="240846"/>
    <cfRule type="duplicateValues" dxfId="2896" priority="240847"/>
    <cfRule type="duplicateValues" dxfId="2895" priority="240848"/>
    <cfRule type="duplicateValues" dxfId="2894" priority="240849"/>
    <cfRule type="duplicateValues" dxfId="2893" priority="240850"/>
  </conditionalFormatting>
  <conditionalFormatting sqref="B456:B460">
    <cfRule type="duplicateValues" dxfId="2892" priority="240371"/>
    <cfRule type="duplicateValues" dxfId="2891" priority="240372"/>
    <cfRule type="duplicateValues" dxfId="2890" priority="240373"/>
    <cfRule type="duplicateValues" dxfId="2889" priority="240374"/>
    <cfRule type="duplicateValues" dxfId="2888" priority="240375"/>
    <cfRule type="duplicateValues" dxfId="2887" priority="240376"/>
    <cfRule type="duplicateValues" dxfId="2886" priority="240377"/>
    <cfRule type="duplicateValues" dxfId="2885" priority="240378"/>
    <cfRule type="duplicateValues" dxfId="2884" priority="240379"/>
    <cfRule type="duplicateValues" dxfId="2883" priority="240380"/>
    <cfRule type="duplicateValues" dxfId="2882" priority="240381"/>
    <cfRule type="duplicateValues" dxfId="2881" priority="240382"/>
    <cfRule type="duplicateValues" dxfId="2880" priority="240383"/>
    <cfRule type="duplicateValues" dxfId="2879" priority="240384"/>
    <cfRule type="duplicateValues" dxfId="2878" priority="240385"/>
    <cfRule type="duplicateValues" dxfId="2877" priority="240386"/>
    <cfRule type="duplicateValues" dxfId="2876" priority="240387"/>
    <cfRule type="duplicateValues" dxfId="2875" priority="240388"/>
    <cfRule type="duplicateValues" dxfId="2874" priority="240389"/>
    <cfRule type="duplicateValues" dxfId="2873" priority="240390"/>
    <cfRule type="duplicateValues" dxfId="2872" priority="240391"/>
    <cfRule type="duplicateValues" dxfId="2871" priority="240392"/>
    <cfRule type="duplicateValues" dxfId="2870" priority="240393"/>
    <cfRule type="duplicateValues" dxfId="2869" priority="240394"/>
    <cfRule type="duplicateValues" dxfId="2868" priority="240395"/>
    <cfRule type="duplicateValues" dxfId="2867" priority="240396"/>
    <cfRule type="duplicateValues" dxfId="2866" priority="240397"/>
    <cfRule type="duplicateValues" dxfId="2865" priority="240398"/>
    <cfRule type="duplicateValues" dxfId="2864" priority="240399"/>
    <cfRule type="duplicateValues" dxfId="2863" priority="240400"/>
    <cfRule type="duplicateValues" dxfId="2862" priority="240401"/>
    <cfRule type="duplicateValues" dxfId="2861" priority="240402"/>
    <cfRule type="duplicateValues" dxfId="2860" priority="240403"/>
    <cfRule type="duplicateValues" dxfId="2859" priority="240404"/>
    <cfRule type="duplicateValues" dxfId="2858" priority="240405"/>
    <cfRule type="duplicateValues" dxfId="2857" priority="240406"/>
    <cfRule type="duplicateValues" dxfId="2856" priority="240407"/>
    <cfRule type="duplicateValues" dxfId="2855" priority="240408"/>
    <cfRule type="duplicateValues" dxfId="2854" priority="240409"/>
    <cfRule type="duplicateValues" dxfId="2853" priority="240410"/>
    <cfRule type="duplicateValues" dxfId="2852" priority="240411"/>
    <cfRule type="duplicateValues" dxfId="2851" priority="240412"/>
    <cfRule type="duplicateValues" dxfId="2850" priority="240455"/>
    <cfRule type="duplicateValues" dxfId="2849" priority="240456"/>
    <cfRule type="duplicateValues" dxfId="2848" priority="240457"/>
    <cfRule type="duplicateValues" dxfId="2847" priority="240458"/>
    <cfRule type="duplicateValues" dxfId="2846" priority="240459"/>
    <cfRule type="duplicateValues" dxfId="2845" priority="240460"/>
    <cfRule type="duplicateValues" dxfId="2844" priority="240461"/>
    <cfRule type="duplicateValues" dxfId="2843" priority="240462"/>
    <cfRule type="duplicateValues" dxfId="2842" priority="240463"/>
    <cfRule type="duplicateValues" dxfId="2841" priority="240464"/>
    <cfRule type="duplicateValues" dxfId="2840" priority="240465"/>
    <cfRule type="duplicateValues" dxfId="2839" priority="240466"/>
    <cfRule type="duplicateValues" dxfId="2838" priority="240467"/>
    <cfRule type="duplicateValues" dxfId="2837" priority="240468"/>
    <cfRule type="duplicateValues" dxfId="2836" priority="240469"/>
    <cfRule type="duplicateValues" dxfId="2835" priority="240470"/>
    <cfRule type="duplicateValues" dxfId="2834" priority="240471"/>
    <cfRule type="duplicateValues" dxfId="2833" priority="240472"/>
    <cfRule type="duplicateValues" dxfId="2832" priority="240473"/>
    <cfRule type="duplicateValues" dxfId="2831" priority="240474"/>
    <cfRule type="duplicateValues" dxfId="2830" priority="240475"/>
    <cfRule type="duplicateValues" dxfId="2829" priority="240476"/>
    <cfRule type="duplicateValues" dxfId="2828" priority="240477"/>
    <cfRule type="duplicateValues" dxfId="2827" priority="240478"/>
    <cfRule type="duplicateValues" dxfId="2826" priority="240479"/>
    <cfRule type="duplicateValues" dxfId="2825" priority="240480"/>
    <cfRule type="duplicateValues" dxfId="2824" priority="240481"/>
    <cfRule type="duplicateValues" dxfId="2823" priority="240482"/>
    <cfRule type="duplicateValues" dxfId="2822" priority="240483"/>
    <cfRule type="duplicateValues" dxfId="2821" priority="240484"/>
    <cfRule type="duplicateValues" dxfId="2820" priority="240485"/>
    <cfRule type="duplicateValues" dxfId="2819" priority="240486"/>
    <cfRule type="duplicateValues" dxfId="2818" priority="240487"/>
    <cfRule type="duplicateValues" dxfId="2817" priority="240488"/>
    <cfRule type="duplicateValues" dxfId="2816" priority="240489"/>
    <cfRule type="duplicateValues" dxfId="2815" priority="240490"/>
    <cfRule type="duplicateValues" dxfId="2814" priority="240491"/>
    <cfRule type="duplicateValues" dxfId="2813" priority="240492"/>
    <cfRule type="duplicateValues" dxfId="2812" priority="240493"/>
    <cfRule type="duplicateValues" dxfId="2811" priority="240494"/>
    <cfRule type="duplicateValues" dxfId="2810" priority="240495"/>
    <cfRule type="duplicateValues" dxfId="2809" priority="240496"/>
    <cfRule type="duplicateValues" dxfId="2808" priority="240502"/>
    <cfRule type="duplicateValues" dxfId="2807" priority="240503"/>
    <cfRule type="duplicateValues" dxfId="2806" priority="240504"/>
    <cfRule type="duplicateValues" dxfId="2805" priority="240505"/>
    <cfRule type="duplicateValues" dxfId="2804" priority="240506"/>
  </conditionalFormatting>
  <conditionalFormatting sqref="B680:B696">
    <cfRule type="duplicateValues" dxfId="2803" priority="239339"/>
    <cfRule type="duplicateValues" dxfId="2802" priority="239340"/>
    <cfRule type="duplicateValues" dxfId="2801" priority="239341"/>
    <cfRule type="duplicateValues" dxfId="2800" priority="239342"/>
    <cfRule type="duplicateValues" dxfId="2799" priority="239343"/>
    <cfRule type="duplicateValues" dxfId="2798" priority="239344"/>
    <cfRule type="duplicateValues" dxfId="2797" priority="239345"/>
    <cfRule type="duplicateValues" dxfId="2796" priority="239346"/>
    <cfRule type="duplicateValues" dxfId="2795" priority="239347"/>
    <cfRule type="duplicateValues" dxfId="2794" priority="239348"/>
    <cfRule type="duplicateValues" dxfId="2793" priority="239349"/>
    <cfRule type="duplicateValues" dxfId="2792" priority="239350"/>
    <cfRule type="duplicateValues" dxfId="2791" priority="239351"/>
    <cfRule type="duplicateValues" dxfId="2790" priority="239352"/>
    <cfRule type="duplicateValues" dxfId="2789" priority="239353"/>
    <cfRule type="duplicateValues" dxfId="2788" priority="239354"/>
    <cfRule type="duplicateValues" dxfId="2787" priority="239355"/>
    <cfRule type="duplicateValues" dxfId="2786" priority="239356"/>
    <cfRule type="duplicateValues" dxfId="2785" priority="239357"/>
    <cfRule type="duplicateValues" dxfId="2784" priority="239358"/>
    <cfRule type="duplicateValues" dxfId="2783" priority="239359"/>
    <cfRule type="duplicateValues" dxfId="2782" priority="239360"/>
    <cfRule type="duplicateValues" dxfId="2781" priority="239361"/>
    <cfRule type="duplicateValues" dxfId="2780" priority="239362"/>
    <cfRule type="duplicateValues" dxfId="2779" priority="239363"/>
    <cfRule type="duplicateValues" dxfId="2778" priority="239364"/>
    <cfRule type="duplicateValues" dxfId="2777" priority="239365"/>
    <cfRule type="duplicateValues" dxfId="2776" priority="239366"/>
    <cfRule type="duplicateValues" dxfId="2775" priority="239367"/>
    <cfRule type="duplicateValues" dxfId="2774" priority="239368"/>
    <cfRule type="duplicateValues" dxfId="2773" priority="239369"/>
    <cfRule type="duplicateValues" dxfId="2772" priority="239370"/>
    <cfRule type="duplicateValues" dxfId="2771" priority="239371"/>
    <cfRule type="duplicateValues" dxfId="2770" priority="239372"/>
    <cfRule type="duplicateValues" dxfId="2769" priority="239373"/>
    <cfRule type="duplicateValues" dxfId="2768" priority="239374"/>
    <cfRule type="duplicateValues" dxfId="2767" priority="239375"/>
    <cfRule type="duplicateValues" dxfId="2766" priority="239376"/>
    <cfRule type="duplicateValues" dxfId="2765" priority="239377"/>
    <cfRule type="duplicateValues" dxfId="2764" priority="239378"/>
    <cfRule type="duplicateValues" dxfId="2763" priority="239379"/>
    <cfRule type="duplicateValues" dxfId="2762" priority="239380"/>
    <cfRule type="duplicateValues" dxfId="2761" priority="239423"/>
    <cfRule type="duplicateValues" dxfId="2760" priority="239424"/>
    <cfRule type="duplicateValues" dxfId="2759" priority="239425"/>
    <cfRule type="duplicateValues" dxfId="2758" priority="239426"/>
    <cfRule type="duplicateValues" dxfId="2757" priority="239427"/>
    <cfRule type="duplicateValues" dxfId="2756" priority="239428"/>
    <cfRule type="duplicateValues" dxfId="2755" priority="239429"/>
    <cfRule type="duplicateValues" dxfId="2754" priority="239430"/>
    <cfRule type="duplicateValues" dxfId="2753" priority="239431"/>
    <cfRule type="duplicateValues" dxfId="2752" priority="239432"/>
    <cfRule type="duplicateValues" dxfId="2751" priority="239433"/>
    <cfRule type="duplicateValues" dxfId="2750" priority="239434"/>
    <cfRule type="duplicateValues" dxfId="2749" priority="239435"/>
    <cfRule type="duplicateValues" dxfId="2748" priority="239436"/>
    <cfRule type="duplicateValues" dxfId="2747" priority="239437"/>
    <cfRule type="duplicateValues" dxfId="2746" priority="239438"/>
    <cfRule type="duplicateValues" dxfId="2745" priority="239439"/>
    <cfRule type="duplicateValues" dxfId="2744" priority="239440"/>
    <cfRule type="duplicateValues" dxfId="2743" priority="239441"/>
    <cfRule type="duplicateValues" dxfId="2742" priority="239442"/>
    <cfRule type="duplicateValues" dxfId="2741" priority="239443"/>
    <cfRule type="duplicateValues" dxfId="2740" priority="239444"/>
    <cfRule type="duplicateValues" dxfId="2739" priority="239445"/>
    <cfRule type="duplicateValues" dxfId="2738" priority="239446"/>
    <cfRule type="duplicateValues" dxfId="2737" priority="239447"/>
    <cfRule type="duplicateValues" dxfId="2736" priority="239448"/>
    <cfRule type="duplicateValues" dxfId="2735" priority="239449"/>
    <cfRule type="duplicateValues" dxfId="2734" priority="239450"/>
    <cfRule type="duplicateValues" dxfId="2733" priority="239451"/>
    <cfRule type="duplicateValues" dxfId="2732" priority="239452"/>
    <cfRule type="duplicateValues" dxfId="2731" priority="239453"/>
    <cfRule type="duplicateValues" dxfId="2730" priority="239454"/>
    <cfRule type="duplicateValues" dxfId="2729" priority="239455"/>
    <cfRule type="duplicateValues" dxfId="2728" priority="239456"/>
    <cfRule type="duplicateValues" dxfId="2727" priority="239457"/>
    <cfRule type="duplicateValues" dxfId="2726" priority="239458"/>
    <cfRule type="duplicateValues" dxfId="2725" priority="239459"/>
    <cfRule type="duplicateValues" dxfId="2724" priority="239460"/>
    <cfRule type="duplicateValues" dxfId="2723" priority="239461"/>
    <cfRule type="duplicateValues" dxfId="2722" priority="239462"/>
    <cfRule type="duplicateValues" dxfId="2721" priority="239463"/>
    <cfRule type="duplicateValues" dxfId="2720" priority="239464"/>
    <cfRule type="duplicateValues" dxfId="2719" priority="239470"/>
    <cfRule type="duplicateValues" dxfId="2718" priority="239471"/>
    <cfRule type="duplicateValues" dxfId="2717" priority="239472"/>
    <cfRule type="duplicateValues" dxfId="2716" priority="239473"/>
    <cfRule type="duplicateValues" dxfId="2715" priority="239474"/>
  </conditionalFormatting>
  <conditionalFormatting sqref="B697:B738">
    <cfRule type="duplicateValues" dxfId="2714" priority="238995"/>
    <cfRule type="duplicateValues" dxfId="2713" priority="238996"/>
    <cfRule type="duplicateValues" dxfId="2712" priority="238997"/>
    <cfRule type="duplicateValues" dxfId="2711" priority="238998"/>
    <cfRule type="duplicateValues" dxfId="2710" priority="238999"/>
    <cfRule type="duplicateValues" dxfId="2709" priority="239000"/>
    <cfRule type="duplicateValues" dxfId="2708" priority="239001"/>
    <cfRule type="duplicateValues" dxfId="2707" priority="239002"/>
    <cfRule type="duplicateValues" dxfId="2706" priority="239003"/>
    <cfRule type="duplicateValues" dxfId="2705" priority="239004"/>
    <cfRule type="duplicateValues" dxfId="2704" priority="239005"/>
    <cfRule type="duplicateValues" dxfId="2703" priority="239006"/>
    <cfRule type="duplicateValues" dxfId="2702" priority="239007"/>
    <cfRule type="duplicateValues" dxfId="2701" priority="239008"/>
    <cfRule type="duplicateValues" dxfId="2700" priority="239009"/>
    <cfRule type="duplicateValues" dxfId="2699" priority="239010"/>
    <cfRule type="duplicateValues" dxfId="2698" priority="239011"/>
    <cfRule type="duplicateValues" dxfId="2697" priority="239012"/>
    <cfRule type="duplicateValues" dxfId="2696" priority="239013"/>
    <cfRule type="duplicateValues" dxfId="2695" priority="239014"/>
    <cfRule type="duplicateValues" dxfId="2694" priority="239015"/>
    <cfRule type="duplicateValues" dxfId="2693" priority="239016"/>
    <cfRule type="duplicateValues" dxfId="2692" priority="239017"/>
    <cfRule type="duplicateValues" dxfId="2691" priority="239018"/>
    <cfRule type="duplicateValues" dxfId="2690" priority="239019"/>
    <cfRule type="duplicateValues" dxfId="2689" priority="239020"/>
    <cfRule type="duplicateValues" dxfId="2688" priority="239021"/>
    <cfRule type="duplicateValues" dxfId="2687" priority="239022"/>
    <cfRule type="duplicateValues" dxfId="2686" priority="239023"/>
    <cfRule type="duplicateValues" dxfId="2685" priority="239024"/>
    <cfRule type="duplicateValues" dxfId="2684" priority="239025"/>
    <cfRule type="duplicateValues" dxfId="2683" priority="239026"/>
    <cfRule type="duplicateValues" dxfId="2682" priority="239027"/>
    <cfRule type="duplicateValues" dxfId="2681" priority="239028"/>
    <cfRule type="duplicateValues" dxfId="2680" priority="239029"/>
    <cfRule type="duplicateValues" dxfId="2679" priority="239030"/>
    <cfRule type="duplicateValues" dxfId="2678" priority="239031"/>
    <cfRule type="duplicateValues" dxfId="2677" priority="239032"/>
    <cfRule type="duplicateValues" dxfId="2676" priority="239033"/>
    <cfRule type="duplicateValues" dxfId="2675" priority="239034"/>
    <cfRule type="duplicateValues" dxfId="2674" priority="239035"/>
    <cfRule type="duplicateValues" dxfId="2673" priority="239036"/>
    <cfRule type="duplicateValues" dxfId="2672" priority="239079"/>
    <cfRule type="duplicateValues" dxfId="2671" priority="239080"/>
    <cfRule type="duplicateValues" dxfId="2670" priority="239081"/>
    <cfRule type="duplicateValues" dxfId="2669" priority="239082"/>
    <cfRule type="duplicateValues" dxfId="2668" priority="239083"/>
    <cfRule type="duplicateValues" dxfId="2667" priority="239084"/>
    <cfRule type="duplicateValues" dxfId="2666" priority="239085"/>
    <cfRule type="duplicateValues" dxfId="2665" priority="239086"/>
    <cfRule type="duplicateValues" dxfId="2664" priority="239087"/>
    <cfRule type="duplicateValues" dxfId="2663" priority="239088"/>
    <cfRule type="duplicateValues" dxfId="2662" priority="239089"/>
    <cfRule type="duplicateValues" dxfId="2661" priority="239090"/>
    <cfRule type="duplicateValues" dxfId="2660" priority="239091"/>
    <cfRule type="duplicateValues" dxfId="2659" priority="239092"/>
    <cfRule type="duplicateValues" dxfId="2658" priority="239093"/>
    <cfRule type="duplicateValues" dxfId="2657" priority="239094"/>
    <cfRule type="duplicateValues" dxfId="2656" priority="239095"/>
    <cfRule type="duplicateValues" dxfId="2655" priority="239096"/>
    <cfRule type="duplicateValues" dxfId="2654" priority="239097"/>
    <cfRule type="duplicateValues" dxfId="2653" priority="239098"/>
    <cfRule type="duplicateValues" dxfId="2652" priority="239099"/>
    <cfRule type="duplicateValues" dxfId="2651" priority="239100"/>
    <cfRule type="duplicateValues" dxfId="2650" priority="239101"/>
    <cfRule type="duplicateValues" dxfId="2649" priority="239102"/>
    <cfRule type="duplicateValues" dxfId="2648" priority="239103"/>
    <cfRule type="duplicateValues" dxfId="2647" priority="239104"/>
    <cfRule type="duplicateValues" dxfId="2646" priority="239105"/>
    <cfRule type="duplicateValues" dxfId="2645" priority="239106"/>
    <cfRule type="duplicateValues" dxfId="2644" priority="239107"/>
    <cfRule type="duplicateValues" dxfId="2643" priority="239108"/>
    <cfRule type="duplicateValues" dxfId="2642" priority="239109"/>
    <cfRule type="duplicateValues" dxfId="2641" priority="239110"/>
    <cfRule type="duplicateValues" dxfId="2640" priority="239111"/>
    <cfRule type="duplicateValues" dxfId="2639" priority="239112"/>
    <cfRule type="duplicateValues" dxfId="2638" priority="239113"/>
    <cfRule type="duplicateValues" dxfId="2637" priority="239114"/>
    <cfRule type="duplicateValues" dxfId="2636" priority="239115"/>
    <cfRule type="duplicateValues" dxfId="2635" priority="239116"/>
    <cfRule type="duplicateValues" dxfId="2634" priority="239117"/>
    <cfRule type="duplicateValues" dxfId="2633" priority="239118"/>
    <cfRule type="duplicateValues" dxfId="2632" priority="239119"/>
    <cfRule type="duplicateValues" dxfId="2631" priority="239120"/>
    <cfRule type="duplicateValues" dxfId="2630" priority="239126"/>
    <cfRule type="duplicateValues" dxfId="2629" priority="239127"/>
    <cfRule type="duplicateValues" dxfId="2628" priority="239128"/>
    <cfRule type="duplicateValues" dxfId="2627" priority="239129"/>
    <cfRule type="duplicateValues" dxfId="2626" priority="239130"/>
  </conditionalFormatting>
  <conditionalFormatting sqref="B739:B740">
    <cfRule type="duplicateValues" dxfId="2625" priority="238651"/>
    <cfRule type="duplicateValues" dxfId="2624" priority="238652"/>
    <cfRule type="duplicateValues" dxfId="2623" priority="238653"/>
    <cfRule type="duplicateValues" dxfId="2622" priority="238654"/>
    <cfRule type="duplicateValues" dxfId="2621" priority="238655"/>
    <cfRule type="duplicateValues" dxfId="2620" priority="238656"/>
    <cfRule type="duplicateValues" dxfId="2619" priority="238657"/>
    <cfRule type="duplicateValues" dxfId="2618" priority="238658"/>
    <cfRule type="duplicateValues" dxfId="2617" priority="238659"/>
    <cfRule type="duplicateValues" dxfId="2616" priority="238660"/>
    <cfRule type="duplicateValues" dxfId="2615" priority="238661"/>
    <cfRule type="duplicateValues" dxfId="2614" priority="238662"/>
    <cfRule type="duplicateValues" dxfId="2613" priority="238663"/>
    <cfRule type="duplicateValues" dxfId="2612" priority="238664"/>
    <cfRule type="duplicateValues" dxfId="2611" priority="238665"/>
    <cfRule type="duplicateValues" dxfId="2610" priority="238666"/>
    <cfRule type="duplicateValues" dxfId="2609" priority="238667"/>
    <cfRule type="duplicateValues" dxfId="2608" priority="238668"/>
    <cfRule type="duplicateValues" dxfId="2607" priority="238669"/>
    <cfRule type="duplicateValues" dxfId="2606" priority="238670"/>
    <cfRule type="duplicateValues" dxfId="2605" priority="238671"/>
    <cfRule type="duplicateValues" dxfId="2604" priority="238672"/>
    <cfRule type="duplicateValues" dxfId="2603" priority="238673"/>
    <cfRule type="duplicateValues" dxfId="2602" priority="238674"/>
    <cfRule type="duplicateValues" dxfId="2601" priority="238675"/>
    <cfRule type="duplicateValues" dxfId="2600" priority="238676"/>
    <cfRule type="duplicateValues" dxfId="2599" priority="238677"/>
    <cfRule type="duplicateValues" dxfId="2598" priority="238678"/>
    <cfRule type="duplicateValues" dxfId="2597" priority="238679"/>
    <cfRule type="duplicateValues" dxfId="2596" priority="238680"/>
    <cfRule type="duplicateValues" dxfId="2595" priority="238681"/>
    <cfRule type="duplicateValues" dxfId="2594" priority="238682"/>
    <cfRule type="duplicateValues" dxfId="2593" priority="238683"/>
    <cfRule type="duplicateValues" dxfId="2592" priority="238684"/>
    <cfRule type="duplicateValues" dxfId="2591" priority="238685"/>
    <cfRule type="duplicateValues" dxfId="2590" priority="238686"/>
    <cfRule type="duplicateValues" dxfId="2589" priority="238687"/>
    <cfRule type="duplicateValues" dxfId="2588" priority="238688"/>
    <cfRule type="duplicateValues" dxfId="2587" priority="238689"/>
    <cfRule type="duplicateValues" dxfId="2586" priority="238690"/>
    <cfRule type="duplicateValues" dxfId="2585" priority="238691"/>
    <cfRule type="duplicateValues" dxfId="2584" priority="238692"/>
    <cfRule type="duplicateValues" dxfId="2583" priority="238735"/>
    <cfRule type="duplicateValues" dxfId="2582" priority="238736"/>
    <cfRule type="duplicateValues" dxfId="2581" priority="238737"/>
    <cfRule type="duplicateValues" dxfId="2580" priority="238738"/>
    <cfRule type="duplicateValues" dxfId="2579" priority="238739"/>
    <cfRule type="duplicateValues" dxfId="2578" priority="238740"/>
    <cfRule type="duplicateValues" dxfId="2577" priority="238741"/>
    <cfRule type="duplicateValues" dxfId="2576" priority="238742"/>
    <cfRule type="duplicateValues" dxfId="2575" priority="238743"/>
    <cfRule type="duplicateValues" dxfId="2574" priority="238744"/>
    <cfRule type="duplicateValues" dxfId="2573" priority="238745"/>
    <cfRule type="duplicateValues" dxfId="2572" priority="238746"/>
    <cfRule type="duplicateValues" dxfId="2571" priority="238747"/>
    <cfRule type="duplicateValues" dxfId="2570" priority="238748"/>
    <cfRule type="duplicateValues" dxfId="2569" priority="238749"/>
    <cfRule type="duplicateValues" dxfId="2568" priority="238750"/>
    <cfRule type="duplicateValues" dxfId="2567" priority="238751"/>
    <cfRule type="duplicateValues" dxfId="2566" priority="238752"/>
    <cfRule type="duplicateValues" dxfId="2565" priority="238753"/>
    <cfRule type="duplicateValues" dxfId="2564" priority="238754"/>
    <cfRule type="duplicateValues" dxfId="2563" priority="238755"/>
    <cfRule type="duplicateValues" dxfId="2562" priority="238756"/>
    <cfRule type="duplicateValues" dxfId="2561" priority="238757"/>
    <cfRule type="duplicateValues" dxfId="2560" priority="238758"/>
    <cfRule type="duplicateValues" dxfId="2559" priority="238759"/>
    <cfRule type="duplicateValues" dxfId="2558" priority="238760"/>
    <cfRule type="duplicateValues" dxfId="2557" priority="238761"/>
    <cfRule type="duplicateValues" dxfId="2556" priority="238762"/>
    <cfRule type="duplicateValues" dxfId="2555" priority="238763"/>
    <cfRule type="duplicateValues" dxfId="2554" priority="238764"/>
    <cfRule type="duplicateValues" dxfId="2553" priority="238765"/>
    <cfRule type="duplicateValues" dxfId="2552" priority="238766"/>
    <cfRule type="duplicateValues" dxfId="2551" priority="238767"/>
    <cfRule type="duplicateValues" dxfId="2550" priority="238768"/>
    <cfRule type="duplicateValues" dxfId="2549" priority="238769"/>
    <cfRule type="duplicateValues" dxfId="2548" priority="238770"/>
    <cfRule type="duplicateValues" dxfId="2547" priority="238771"/>
    <cfRule type="duplicateValues" dxfId="2546" priority="238772"/>
    <cfRule type="duplicateValues" dxfId="2545" priority="238773"/>
    <cfRule type="duplicateValues" dxfId="2544" priority="238774"/>
    <cfRule type="duplicateValues" dxfId="2543" priority="238775"/>
    <cfRule type="duplicateValues" dxfId="2542" priority="238776"/>
    <cfRule type="duplicateValues" dxfId="2541" priority="238782"/>
    <cfRule type="duplicateValues" dxfId="2540" priority="238783"/>
    <cfRule type="duplicateValues" dxfId="2539" priority="238784"/>
    <cfRule type="duplicateValues" dxfId="2538" priority="238785"/>
    <cfRule type="duplicateValues" dxfId="2537" priority="238786"/>
  </conditionalFormatting>
  <conditionalFormatting sqref="B741:B751">
    <cfRule type="duplicateValues" dxfId="2536" priority="238307"/>
    <cfRule type="duplicateValues" dxfId="2535" priority="238308"/>
    <cfRule type="duplicateValues" dxfId="2534" priority="238309"/>
    <cfRule type="duplicateValues" dxfId="2533" priority="238310"/>
    <cfRule type="duplicateValues" dxfId="2532" priority="238311"/>
    <cfRule type="duplicateValues" dxfId="2531" priority="238312"/>
    <cfRule type="duplicateValues" dxfId="2530" priority="238313"/>
    <cfRule type="duplicateValues" dxfId="2529" priority="238314"/>
    <cfRule type="duplicateValues" dxfId="2528" priority="238315"/>
    <cfRule type="duplicateValues" dxfId="2527" priority="238316"/>
    <cfRule type="duplicateValues" dxfId="2526" priority="238317"/>
    <cfRule type="duplicateValues" dxfId="2525" priority="238318"/>
    <cfRule type="duplicateValues" dxfId="2524" priority="238319"/>
    <cfRule type="duplicateValues" dxfId="2523" priority="238320"/>
    <cfRule type="duplicateValues" dxfId="2522" priority="238321"/>
    <cfRule type="duplicateValues" dxfId="2521" priority="238322"/>
    <cfRule type="duplicateValues" dxfId="2520" priority="238323"/>
    <cfRule type="duplicateValues" dxfId="2519" priority="238324"/>
    <cfRule type="duplicateValues" dxfId="2518" priority="238325"/>
    <cfRule type="duplicateValues" dxfId="2517" priority="238326"/>
    <cfRule type="duplicateValues" dxfId="2516" priority="238327"/>
    <cfRule type="duplicateValues" dxfId="2515" priority="238328"/>
    <cfRule type="duplicateValues" dxfId="2514" priority="238329"/>
    <cfRule type="duplicateValues" dxfId="2513" priority="238330"/>
    <cfRule type="duplicateValues" dxfId="2512" priority="238331"/>
    <cfRule type="duplicateValues" dxfId="2511" priority="238332"/>
    <cfRule type="duplicateValues" dxfId="2510" priority="238333"/>
    <cfRule type="duplicateValues" dxfId="2509" priority="238334"/>
    <cfRule type="duplicateValues" dxfId="2508" priority="238335"/>
    <cfRule type="duplicateValues" dxfId="2507" priority="238336"/>
    <cfRule type="duplicateValues" dxfId="2506" priority="238337"/>
    <cfRule type="duplicateValues" dxfId="2505" priority="238338"/>
    <cfRule type="duplicateValues" dxfId="2504" priority="238339"/>
    <cfRule type="duplicateValues" dxfId="2503" priority="238340"/>
    <cfRule type="duplicateValues" dxfId="2502" priority="238341"/>
    <cfRule type="duplicateValues" dxfId="2501" priority="238342"/>
    <cfRule type="duplicateValues" dxfId="2500" priority="238343"/>
    <cfRule type="duplicateValues" dxfId="2499" priority="238344"/>
    <cfRule type="duplicateValues" dxfId="2498" priority="238345"/>
    <cfRule type="duplicateValues" dxfId="2497" priority="238346"/>
    <cfRule type="duplicateValues" dxfId="2496" priority="238347"/>
    <cfRule type="duplicateValues" dxfId="2495" priority="238348"/>
    <cfRule type="duplicateValues" dxfId="2494" priority="238391"/>
    <cfRule type="duplicateValues" dxfId="2493" priority="238392"/>
    <cfRule type="duplicateValues" dxfId="2492" priority="238393"/>
    <cfRule type="duplicateValues" dxfId="2491" priority="238394"/>
    <cfRule type="duplicateValues" dxfId="2490" priority="238395"/>
    <cfRule type="duplicateValues" dxfId="2489" priority="238396"/>
    <cfRule type="duplicateValues" dxfId="2488" priority="238397"/>
    <cfRule type="duplicateValues" dxfId="2487" priority="238398"/>
    <cfRule type="duplicateValues" dxfId="2486" priority="238399"/>
    <cfRule type="duplicateValues" dxfId="2485" priority="238400"/>
    <cfRule type="duplicateValues" dxfId="2484" priority="238401"/>
    <cfRule type="duplicateValues" dxfId="2483" priority="238402"/>
    <cfRule type="duplicateValues" dxfId="2482" priority="238403"/>
    <cfRule type="duplicateValues" dxfId="2481" priority="238404"/>
    <cfRule type="duplicateValues" dxfId="2480" priority="238405"/>
    <cfRule type="duplicateValues" dxfId="2479" priority="238406"/>
    <cfRule type="duplicateValues" dxfId="2478" priority="238407"/>
    <cfRule type="duplicateValues" dxfId="2477" priority="238408"/>
    <cfRule type="duplicateValues" dxfId="2476" priority="238409"/>
    <cfRule type="duplicateValues" dxfId="2475" priority="238410"/>
    <cfRule type="duplicateValues" dxfId="2474" priority="238411"/>
    <cfRule type="duplicateValues" dxfId="2473" priority="238412"/>
    <cfRule type="duplicateValues" dxfId="2472" priority="238413"/>
    <cfRule type="duplicateValues" dxfId="2471" priority="238414"/>
    <cfRule type="duplicateValues" dxfId="2470" priority="238415"/>
    <cfRule type="duplicateValues" dxfId="2469" priority="238416"/>
    <cfRule type="duplicateValues" dxfId="2468" priority="238417"/>
    <cfRule type="duplicateValues" dxfId="2467" priority="238418"/>
    <cfRule type="duplicateValues" dxfId="2466" priority="238419"/>
    <cfRule type="duplicateValues" dxfId="2465" priority="238420"/>
    <cfRule type="duplicateValues" dxfId="2464" priority="238421"/>
    <cfRule type="duplicateValues" dxfId="2463" priority="238422"/>
    <cfRule type="duplicateValues" dxfId="2462" priority="238423"/>
    <cfRule type="duplicateValues" dxfId="2461" priority="238424"/>
    <cfRule type="duplicateValues" dxfId="2460" priority="238425"/>
    <cfRule type="duplicateValues" dxfId="2459" priority="238426"/>
    <cfRule type="duplicateValues" dxfId="2458" priority="238427"/>
    <cfRule type="duplicateValues" dxfId="2457" priority="238428"/>
    <cfRule type="duplicateValues" dxfId="2456" priority="238429"/>
    <cfRule type="duplicateValues" dxfId="2455" priority="238430"/>
    <cfRule type="duplicateValues" dxfId="2454" priority="238431"/>
    <cfRule type="duplicateValues" dxfId="2453" priority="238432"/>
    <cfRule type="duplicateValues" dxfId="2452" priority="238438"/>
    <cfRule type="duplicateValues" dxfId="2451" priority="238439"/>
    <cfRule type="duplicateValues" dxfId="2450" priority="238440"/>
    <cfRule type="duplicateValues" dxfId="2449" priority="238441"/>
    <cfRule type="duplicateValues" dxfId="2448" priority="238442"/>
  </conditionalFormatting>
  <conditionalFormatting sqref="B752:B771">
    <cfRule type="duplicateValues" dxfId="2447" priority="250597"/>
    <cfRule type="duplicateValues" dxfId="2446" priority="250598"/>
    <cfRule type="duplicateValues" dxfId="2445" priority="250599"/>
    <cfRule type="duplicateValues" dxfId="2444" priority="250600"/>
    <cfRule type="duplicateValues" dxfId="2443" priority="250601"/>
    <cfRule type="duplicateValues" dxfId="2442" priority="250602"/>
    <cfRule type="duplicateValues" dxfId="2441" priority="250603"/>
    <cfRule type="duplicateValues" dxfId="2440" priority="250604"/>
    <cfRule type="duplicateValues" dxfId="2439" priority="250605"/>
    <cfRule type="duplicateValues" dxfId="2438" priority="250606"/>
    <cfRule type="duplicateValues" dxfId="2437" priority="250607"/>
    <cfRule type="duplicateValues" dxfId="2436" priority="250608"/>
    <cfRule type="duplicateValues" dxfId="2435" priority="250609"/>
    <cfRule type="duplicateValues" dxfId="2434" priority="250610"/>
    <cfRule type="duplicateValues" dxfId="2433" priority="250611"/>
    <cfRule type="duplicateValues" dxfId="2432" priority="250612"/>
    <cfRule type="duplicateValues" dxfId="2431" priority="250613"/>
    <cfRule type="duplicateValues" dxfId="2430" priority="250614"/>
    <cfRule type="duplicateValues" dxfId="2429" priority="250615"/>
    <cfRule type="duplicateValues" dxfId="2428" priority="250616"/>
    <cfRule type="duplicateValues" dxfId="2427" priority="250617"/>
    <cfRule type="duplicateValues" dxfId="2426" priority="250618"/>
    <cfRule type="duplicateValues" dxfId="2425" priority="250619"/>
    <cfRule type="duplicateValues" dxfId="2424" priority="250620"/>
    <cfRule type="duplicateValues" dxfId="2423" priority="250621"/>
    <cfRule type="duplicateValues" dxfId="2422" priority="250622"/>
    <cfRule type="duplicateValues" dxfId="2421" priority="250623"/>
    <cfRule type="duplicateValues" dxfId="2420" priority="250624"/>
    <cfRule type="duplicateValues" dxfId="2419" priority="250625"/>
    <cfRule type="duplicateValues" dxfId="2418" priority="250626"/>
    <cfRule type="duplicateValues" dxfId="2417" priority="250627"/>
    <cfRule type="duplicateValues" dxfId="2416" priority="250628"/>
    <cfRule type="duplicateValues" dxfId="2415" priority="250629"/>
    <cfRule type="duplicateValues" dxfId="2414" priority="250630"/>
    <cfRule type="duplicateValues" dxfId="2413" priority="250631"/>
    <cfRule type="duplicateValues" dxfId="2412" priority="250632"/>
    <cfRule type="duplicateValues" dxfId="2411" priority="250633"/>
    <cfRule type="duplicateValues" dxfId="2410" priority="250634"/>
    <cfRule type="duplicateValues" dxfId="2409" priority="250635"/>
    <cfRule type="duplicateValues" dxfId="2408" priority="250636"/>
    <cfRule type="duplicateValues" dxfId="2407" priority="250637"/>
    <cfRule type="duplicateValues" dxfId="2406" priority="250638"/>
    <cfRule type="duplicateValues" dxfId="2405" priority="250639"/>
    <cfRule type="duplicateValues" dxfId="2404" priority="250640"/>
    <cfRule type="duplicateValues" dxfId="2403" priority="250641"/>
    <cfRule type="duplicateValues" dxfId="2402" priority="250642"/>
    <cfRule type="duplicateValues" dxfId="2401" priority="250643"/>
    <cfRule type="duplicateValues" dxfId="2400" priority="250644"/>
    <cfRule type="duplicateValues" dxfId="2399" priority="250645"/>
    <cfRule type="duplicateValues" dxfId="2398" priority="250646"/>
    <cfRule type="duplicateValues" dxfId="2397" priority="250647"/>
    <cfRule type="duplicateValues" dxfId="2396" priority="250648"/>
    <cfRule type="duplicateValues" dxfId="2395" priority="250649"/>
    <cfRule type="duplicateValues" dxfId="2394" priority="250650"/>
    <cfRule type="duplicateValues" dxfId="2393" priority="250651"/>
    <cfRule type="duplicateValues" dxfId="2392" priority="250652"/>
    <cfRule type="duplicateValues" dxfId="2391" priority="250653"/>
    <cfRule type="duplicateValues" dxfId="2390" priority="250654"/>
    <cfRule type="duplicateValues" dxfId="2389" priority="250655"/>
    <cfRule type="duplicateValues" dxfId="2388" priority="250656"/>
    <cfRule type="duplicateValues" dxfId="2387" priority="250657"/>
    <cfRule type="duplicateValues" dxfId="2386" priority="250658"/>
    <cfRule type="duplicateValues" dxfId="2385" priority="250659"/>
    <cfRule type="duplicateValues" dxfId="2384" priority="250660"/>
    <cfRule type="duplicateValues" dxfId="2383" priority="250661"/>
    <cfRule type="duplicateValues" dxfId="2382" priority="250662"/>
    <cfRule type="duplicateValues" dxfId="2381" priority="250663"/>
    <cfRule type="duplicateValues" dxfId="2380" priority="250664"/>
    <cfRule type="duplicateValues" dxfId="2379" priority="250665"/>
    <cfRule type="duplicateValues" dxfId="2378" priority="250666"/>
    <cfRule type="duplicateValues" dxfId="2377" priority="250667"/>
    <cfRule type="duplicateValues" dxfId="2376" priority="250668"/>
    <cfRule type="duplicateValues" dxfId="2375" priority="250669"/>
    <cfRule type="duplicateValues" dxfId="2374" priority="250670"/>
    <cfRule type="duplicateValues" dxfId="2373" priority="250671"/>
    <cfRule type="duplicateValues" dxfId="2372" priority="250672"/>
    <cfRule type="duplicateValues" dxfId="2371" priority="250673"/>
    <cfRule type="duplicateValues" dxfId="2370" priority="250674"/>
    <cfRule type="duplicateValues" dxfId="2369" priority="250675"/>
    <cfRule type="duplicateValues" dxfId="2368" priority="250676"/>
    <cfRule type="duplicateValues" dxfId="2367" priority="250677"/>
    <cfRule type="duplicateValues" dxfId="2366" priority="250678"/>
    <cfRule type="duplicateValues" dxfId="2365" priority="250679"/>
    <cfRule type="duplicateValues" dxfId="2364" priority="250680"/>
    <cfRule type="duplicateValues" dxfId="2363" priority="250681"/>
    <cfRule type="duplicateValues" dxfId="2362" priority="250682"/>
    <cfRule type="duplicateValues" dxfId="2361" priority="250683"/>
    <cfRule type="duplicateValues" dxfId="2360" priority="250684"/>
    <cfRule type="duplicateValues" dxfId="2359" priority="250685"/>
  </conditionalFormatting>
  <conditionalFormatting sqref="B1:B1048576">
    <cfRule type="duplicateValues" dxfId="2358" priority="1"/>
  </conditionalFormatting>
  <conditionalFormatting sqref="B651:B679">
    <cfRule type="duplicateValues" dxfId="2357" priority="252333"/>
    <cfRule type="duplicateValues" dxfId="2356" priority="252334"/>
    <cfRule type="duplicateValues" dxfId="2355" priority="252335"/>
    <cfRule type="duplicateValues" dxfId="2354" priority="252336"/>
    <cfRule type="duplicateValues" dxfId="2353" priority="252337"/>
    <cfRule type="duplicateValues" dxfId="2352" priority="252338"/>
    <cfRule type="duplicateValues" dxfId="2351" priority="252339"/>
    <cfRule type="duplicateValues" dxfId="2350" priority="252340"/>
    <cfRule type="duplicateValues" dxfId="2349" priority="252341"/>
    <cfRule type="duplicateValues" dxfId="2348" priority="252342"/>
    <cfRule type="duplicateValues" dxfId="2347" priority="252343"/>
    <cfRule type="duplicateValues" dxfId="2346" priority="252344"/>
    <cfRule type="duplicateValues" dxfId="2345" priority="252345"/>
    <cfRule type="duplicateValues" dxfId="2344" priority="252346"/>
    <cfRule type="duplicateValues" dxfId="2343" priority="252347"/>
    <cfRule type="duplicateValues" dxfId="2342" priority="252348"/>
    <cfRule type="duplicateValues" dxfId="2341" priority="252349"/>
    <cfRule type="duplicateValues" dxfId="2340" priority="252350"/>
    <cfRule type="duplicateValues" dxfId="2339" priority="252351"/>
    <cfRule type="duplicateValues" dxfId="2338" priority="252352"/>
    <cfRule type="duplicateValues" dxfId="2337" priority="252353"/>
    <cfRule type="duplicateValues" dxfId="2336" priority="252354"/>
    <cfRule type="duplicateValues" dxfId="2335" priority="252355"/>
    <cfRule type="duplicateValues" dxfId="2334" priority="252356"/>
    <cfRule type="duplicateValues" dxfId="2333" priority="252357"/>
    <cfRule type="duplicateValues" dxfId="2332" priority="252358"/>
    <cfRule type="duplicateValues" dxfId="2331" priority="252359"/>
    <cfRule type="duplicateValues" dxfId="2330" priority="252360"/>
    <cfRule type="duplicateValues" dxfId="2329" priority="252361"/>
    <cfRule type="duplicateValues" dxfId="2328" priority="252362"/>
    <cfRule type="duplicateValues" dxfId="2327" priority="252363"/>
    <cfRule type="duplicateValues" dxfId="2326" priority="252364"/>
    <cfRule type="duplicateValues" dxfId="2325" priority="252365"/>
    <cfRule type="duplicateValues" dxfId="2324" priority="252366"/>
    <cfRule type="duplicateValues" dxfId="2323" priority="252367"/>
    <cfRule type="duplicateValues" dxfId="2322" priority="252368"/>
    <cfRule type="duplicateValues" dxfId="2321" priority="252369"/>
    <cfRule type="duplicateValues" dxfId="2320" priority="252370"/>
    <cfRule type="duplicateValues" dxfId="2319" priority="252371"/>
    <cfRule type="duplicateValues" dxfId="2318" priority="252372"/>
    <cfRule type="duplicateValues" dxfId="2317" priority="252373"/>
    <cfRule type="duplicateValues" dxfId="2316" priority="252374"/>
    <cfRule type="duplicateValues" dxfId="2315" priority="252417"/>
    <cfRule type="duplicateValues" dxfId="2314" priority="252418"/>
    <cfRule type="duplicateValues" dxfId="2313" priority="252419"/>
    <cfRule type="duplicateValues" dxfId="2312" priority="252420"/>
    <cfRule type="duplicateValues" dxfId="2311" priority="252421"/>
    <cfRule type="duplicateValues" dxfId="2310" priority="252422"/>
    <cfRule type="duplicateValues" dxfId="2309" priority="252423"/>
    <cfRule type="duplicateValues" dxfId="2308" priority="252424"/>
    <cfRule type="duplicateValues" dxfId="2307" priority="252425"/>
    <cfRule type="duplicateValues" dxfId="2306" priority="252426"/>
    <cfRule type="duplicateValues" dxfId="2305" priority="252427"/>
    <cfRule type="duplicateValues" dxfId="2304" priority="252428"/>
    <cfRule type="duplicateValues" dxfId="2303" priority="252429"/>
    <cfRule type="duplicateValues" dxfId="2302" priority="252430"/>
    <cfRule type="duplicateValues" dxfId="2301" priority="252431"/>
    <cfRule type="duplicateValues" dxfId="2300" priority="252432"/>
    <cfRule type="duplicateValues" dxfId="2299" priority="252433"/>
    <cfRule type="duplicateValues" dxfId="2298" priority="252434"/>
    <cfRule type="duplicateValues" dxfId="2297" priority="252435"/>
    <cfRule type="duplicateValues" dxfId="2296" priority="252436"/>
    <cfRule type="duplicateValues" dxfId="2295" priority="252437"/>
    <cfRule type="duplicateValues" dxfId="2294" priority="252438"/>
    <cfRule type="duplicateValues" dxfId="2293" priority="252439"/>
    <cfRule type="duplicateValues" dxfId="2292" priority="252440"/>
    <cfRule type="duplicateValues" dxfId="2291" priority="252441"/>
    <cfRule type="duplicateValues" dxfId="2290" priority="252442"/>
    <cfRule type="duplicateValues" dxfId="2289" priority="252443"/>
    <cfRule type="duplicateValues" dxfId="2288" priority="252444"/>
    <cfRule type="duplicateValues" dxfId="2287" priority="252445"/>
    <cfRule type="duplicateValues" dxfId="2286" priority="252446"/>
    <cfRule type="duplicateValues" dxfId="2285" priority="252447"/>
    <cfRule type="duplicateValues" dxfId="2284" priority="252448"/>
    <cfRule type="duplicateValues" dxfId="2283" priority="252449"/>
    <cfRule type="duplicateValues" dxfId="2282" priority="252450"/>
    <cfRule type="duplicateValues" dxfId="2281" priority="252451"/>
    <cfRule type="duplicateValues" dxfId="2280" priority="252452"/>
    <cfRule type="duplicateValues" dxfId="2279" priority="252453"/>
    <cfRule type="duplicateValues" dxfId="2278" priority="252454"/>
    <cfRule type="duplicateValues" dxfId="2277" priority="252455"/>
    <cfRule type="duplicateValues" dxfId="2276" priority="252456"/>
    <cfRule type="duplicateValues" dxfId="2275" priority="252457"/>
    <cfRule type="duplicateValues" dxfId="2274" priority="252458"/>
    <cfRule type="duplicateValues" dxfId="2273" priority="252464"/>
    <cfRule type="duplicateValues" dxfId="2272" priority="252465"/>
    <cfRule type="duplicateValues" dxfId="2271" priority="252466"/>
    <cfRule type="duplicateValues" dxfId="2270" priority="252467"/>
    <cfRule type="duplicateValues" dxfId="2269" priority="252468"/>
  </conditionalFormatting>
  <conditionalFormatting sqref="B641:B650">
    <cfRule type="duplicateValues" dxfId="2268" priority="252634"/>
    <cfRule type="duplicateValues" dxfId="2267" priority="252635"/>
    <cfRule type="duplicateValues" dxfId="2266" priority="252636"/>
    <cfRule type="duplicateValues" dxfId="2265" priority="252637"/>
    <cfRule type="duplicateValues" dxfId="2264" priority="252638"/>
    <cfRule type="duplicateValues" dxfId="2263" priority="252639"/>
    <cfRule type="duplicateValues" dxfId="2262" priority="252640"/>
    <cfRule type="duplicateValues" dxfId="2261" priority="252641"/>
    <cfRule type="duplicateValues" dxfId="2260" priority="252642"/>
    <cfRule type="duplicateValues" dxfId="2259" priority="252643"/>
    <cfRule type="duplicateValues" dxfId="2258" priority="252644"/>
    <cfRule type="duplicateValues" dxfId="2257" priority="252645"/>
    <cfRule type="duplicateValues" dxfId="2256" priority="252646"/>
    <cfRule type="duplicateValues" dxfId="2255" priority="252647"/>
    <cfRule type="duplicateValues" dxfId="2254" priority="252648"/>
    <cfRule type="duplicateValues" dxfId="2253" priority="252649"/>
    <cfRule type="duplicateValues" dxfId="2252" priority="252650"/>
    <cfRule type="duplicateValues" dxfId="2251" priority="252651"/>
    <cfRule type="duplicateValues" dxfId="2250" priority="252652"/>
    <cfRule type="duplicateValues" dxfId="2249" priority="252653"/>
    <cfRule type="duplicateValues" dxfId="2248" priority="252654"/>
    <cfRule type="duplicateValues" dxfId="2247" priority="252655"/>
    <cfRule type="duplicateValues" dxfId="2246" priority="252656"/>
    <cfRule type="duplicateValues" dxfId="2245" priority="252657"/>
    <cfRule type="duplicateValues" dxfId="2244" priority="252658"/>
    <cfRule type="duplicateValues" dxfId="2243" priority="252659"/>
    <cfRule type="duplicateValues" dxfId="2242" priority="252660"/>
    <cfRule type="duplicateValues" dxfId="2241" priority="252661"/>
    <cfRule type="duplicateValues" dxfId="2240" priority="252662"/>
    <cfRule type="duplicateValues" dxfId="2239" priority="252663"/>
    <cfRule type="duplicateValues" dxfId="2238" priority="252664"/>
    <cfRule type="duplicateValues" dxfId="2237" priority="252665"/>
    <cfRule type="duplicateValues" dxfId="2236" priority="252666"/>
    <cfRule type="duplicateValues" dxfId="2235" priority="252667"/>
    <cfRule type="duplicateValues" dxfId="2234" priority="252668"/>
    <cfRule type="duplicateValues" dxfId="2233" priority="252669"/>
    <cfRule type="duplicateValues" dxfId="2232" priority="252670"/>
    <cfRule type="duplicateValues" dxfId="2231" priority="252671"/>
    <cfRule type="duplicateValues" dxfId="2230" priority="252672"/>
    <cfRule type="duplicateValues" dxfId="2229" priority="252673"/>
    <cfRule type="duplicateValues" dxfId="2228" priority="252674"/>
    <cfRule type="duplicateValues" dxfId="2227" priority="252675"/>
    <cfRule type="duplicateValues" dxfId="2226" priority="252718"/>
    <cfRule type="duplicateValues" dxfId="2225" priority="252719"/>
    <cfRule type="duplicateValues" dxfId="2224" priority="252720"/>
    <cfRule type="duplicateValues" dxfId="2223" priority="252721"/>
    <cfRule type="duplicateValues" dxfId="2222" priority="252722"/>
    <cfRule type="duplicateValues" dxfId="2221" priority="252723"/>
    <cfRule type="duplicateValues" dxfId="2220" priority="252724"/>
    <cfRule type="duplicateValues" dxfId="2219" priority="252725"/>
    <cfRule type="duplicateValues" dxfId="2218" priority="252726"/>
    <cfRule type="duplicateValues" dxfId="2217" priority="252727"/>
    <cfRule type="duplicateValues" dxfId="2216" priority="252728"/>
    <cfRule type="duplicateValues" dxfId="2215" priority="252729"/>
    <cfRule type="duplicateValues" dxfId="2214" priority="252730"/>
    <cfRule type="duplicateValues" dxfId="2213" priority="252731"/>
    <cfRule type="duplicateValues" dxfId="2212" priority="252732"/>
    <cfRule type="duplicateValues" dxfId="2211" priority="252733"/>
    <cfRule type="duplicateValues" dxfId="2210" priority="252734"/>
    <cfRule type="duplicateValues" dxfId="2209" priority="252735"/>
    <cfRule type="duplicateValues" dxfId="2208" priority="252736"/>
    <cfRule type="duplicateValues" dxfId="2207" priority="252737"/>
    <cfRule type="duplicateValues" dxfId="2206" priority="252738"/>
    <cfRule type="duplicateValues" dxfId="2205" priority="252739"/>
    <cfRule type="duplicateValues" dxfId="2204" priority="252740"/>
    <cfRule type="duplicateValues" dxfId="2203" priority="252741"/>
    <cfRule type="duplicateValues" dxfId="2202" priority="252742"/>
    <cfRule type="duplicateValues" dxfId="2201" priority="252743"/>
    <cfRule type="duplicateValues" dxfId="2200" priority="252744"/>
    <cfRule type="duplicateValues" dxfId="2199" priority="252745"/>
    <cfRule type="duplicateValues" dxfId="2198" priority="252746"/>
    <cfRule type="duplicateValues" dxfId="2197" priority="252747"/>
    <cfRule type="duplicateValues" dxfId="2196" priority="252748"/>
    <cfRule type="duplicateValues" dxfId="2195" priority="252749"/>
    <cfRule type="duplicateValues" dxfId="2194" priority="252750"/>
    <cfRule type="duplicateValues" dxfId="2193" priority="252751"/>
    <cfRule type="duplicateValues" dxfId="2192" priority="252752"/>
    <cfRule type="duplicateValues" dxfId="2191" priority="252753"/>
    <cfRule type="duplicateValues" dxfId="2190" priority="252754"/>
    <cfRule type="duplicateValues" dxfId="2189" priority="252755"/>
    <cfRule type="duplicateValues" dxfId="2188" priority="252756"/>
    <cfRule type="duplicateValues" dxfId="2187" priority="252757"/>
    <cfRule type="duplicateValues" dxfId="2186" priority="252758"/>
    <cfRule type="duplicateValues" dxfId="2185" priority="252759"/>
    <cfRule type="duplicateValues" dxfId="2184" priority="252765"/>
    <cfRule type="duplicateValues" dxfId="2183" priority="252766"/>
    <cfRule type="duplicateValues" dxfId="2182" priority="252767"/>
    <cfRule type="duplicateValues" dxfId="2181" priority="252768"/>
    <cfRule type="duplicateValues" dxfId="2180" priority="252769"/>
  </conditionalFormatting>
  <conditionalFormatting sqref="B639:B640">
    <cfRule type="duplicateValues" dxfId="2179" priority="252935"/>
    <cfRule type="duplicateValues" dxfId="2178" priority="252936"/>
    <cfRule type="duplicateValues" dxfId="2177" priority="252937"/>
    <cfRule type="duplicateValues" dxfId="2176" priority="252938"/>
    <cfRule type="duplicateValues" dxfId="2175" priority="252939"/>
    <cfRule type="duplicateValues" dxfId="2174" priority="252940"/>
    <cfRule type="duplicateValues" dxfId="2173" priority="252941"/>
    <cfRule type="duplicateValues" dxfId="2172" priority="252942"/>
    <cfRule type="duplicateValues" dxfId="2171" priority="252943"/>
    <cfRule type="duplicateValues" dxfId="2170" priority="252944"/>
    <cfRule type="duplicateValues" dxfId="2169" priority="252945"/>
    <cfRule type="duplicateValues" dxfId="2168" priority="252946"/>
    <cfRule type="duplicateValues" dxfId="2167" priority="252947"/>
    <cfRule type="duplicateValues" dxfId="2166" priority="252948"/>
    <cfRule type="duplicateValues" dxfId="2165" priority="252949"/>
    <cfRule type="duplicateValues" dxfId="2164" priority="252950"/>
    <cfRule type="duplicateValues" dxfId="2163" priority="252951"/>
    <cfRule type="duplicateValues" dxfId="2162" priority="252952"/>
    <cfRule type="duplicateValues" dxfId="2161" priority="252953"/>
    <cfRule type="duplicateValues" dxfId="2160" priority="252954"/>
    <cfRule type="duplicateValues" dxfId="2159" priority="252955"/>
    <cfRule type="duplicateValues" dxfId="2158" priority="252956"/>
    <cfRule type="duplicateValues" dxfId="2157" priority="252957"/>
    <cfRule type="duplicateValues" dxfId="2156" priority="252958"/>
    <cfRule type="duplicateValues" dxfId="2155" priority="252959"/>
    <cfRule type="duplicateValues" dxfId="2154" priority="252960"/>
    <cfRule type="duplicateValues" dxfId="2153" priority="252961"/>
    <cfRule type="duplicateValues" dxfId="2152" priority="252962"/>
    <cfRule type="duplicateValues" dxfId="2151" priority="252963"/>
    <cfRule type="duplicateValues" dxfId="2150" priority="252964"/>
    <cfRule type="duplicateValues" dxfId="2149" priority="252965"/>
    <cfRule type="duplicateValues" dxfId="2148" priority="252966"/>
    <cfRule type="duplicateValues" dxfId="2147" priority="252967"/>
    <cfRule type="duplicateValues" dxfId="2146" priority="252968"/>
    <cfRule type="duplicateValues" dxfId="2145" priority="252969"/>
    <cfRule type="duplicateValues" dxfId="2144" priority="252970"/>
    <cfRule type="duplicateValues" dxfId="2143" priority="252971"/>
    <cfRule type="duplicateValues" dxfId="2142" priority="252972"/>
    <cfRule type="duplicateValues" dxfId="2141" priority="252973"/>
    <cfRule type="duplicateValues" dxfId="2140" priority="252974"/>
    <cfRule type="duplicateValues" dxfId="2139" priority="252975"/>
    <cfRule type="duplicateValues" dxfId="2138" priority="252976"/>
    <cfRule type="duplicateValues" dxfId="2137" priority="253019"/>
    <cfRule type="duplicateValues" dxfId="2136" priority="253020"/>
    <cfRule type="duplicateValues" dxfId="2135" priority="253021"/>
    <cfRule type="duplicateValues" dxfId="2134" priority="253022"/>
    <cfRule type="duplicateValues" dxfId="2133" priority="253023"/>
    <cfRule type="duplicateValues" dxfId="2132" priority="253024"/>
    <cfRule type="duplicateValues" dxfId="2131" priority="253025"/>
    <cfRule type="duplicateValues" dxfId="2130" priority="253026"/>
    <cfRule type="duplicateValues" dxfId="2129" priority="253027"/>
    <cfRule type="duplicateValues" dxfId="2128" priority="253028"/>
    <cfRule type="duplicateValues" dxfId="2127" priority="253029"/>
    <cfRule type="duplicateValues" dxfId="2126" priority="253030"/>
    <cfRule type="duplicateValues" dxfId="2125" priority="253031"/>
    <cfRule type="duplicateValues" dxfId="2124" priority="253032"/>
    <cfRule type="duplicateValues" dxfId="2123" priority="253033"/>
    <cfRule type="duplicateValues" dxfId="2122" priority="253034"/>
    <cfRule type="duplicateValues" dxfId="2121" priority="253035"/>
    <cfRule type="duplicateValues" dxfId="2120" priority="253036"/>
    <cfRule type="duplicateValues" dxfId="2119" priority="253037"/>
    <cfRule type="duplicateValues" dxfId="2118" priority="253038"/>
    <cfRule type="duplicateValues" dxfId="2117" priority="253039"/>
    <cfRule type="duplicateValues" dxfId="2116" priority="253040"/>
    <cfRule type="duplicateValues" dxfId="2115" priority="253041"/>
    <cfRule type="duplicateValues" dxfId="2114" priority="253042"/>
    <cfRule type="duplicateValues" dxfId="2113" priority="253043"/>
    <cfRule type="duplicateValues" dxfId="2112" priority="253044"/>
    <cfRule type="duplicateValues" dxfId="2111" priority="253045"/>
    <cfRule type="duplicateValues" dxfId="2110" priority="253046"/>
    <cfRule type="duplicateValues" dxfId="2109" priority="253047"/>
    <cfRule type="duplicateValues" dxfId="2108" priority="253048"/>
    <cfRule type="duplicateValues" dxfId="2107" priority="253049"/>
    <cfRule type="duplicateValues" dxfId="2106" priority="253050"/>
    <cfRule type="duplicateValues" dxfId="2105" priority="253051"/>
    <cfRule type="duplicateValues" dxfId="2104" priority="253052"/>
    <cfRule type="duplicateValues" dxfId="2103" priority="253053"/>
    <cfRule type="duplicateValues" dxfId="2102" priority="253054"/>
    <cfRule type="duplicateValues" dxfId="2101" priority="253055"/>
    <cfRule type="duplicateValues" dxfId="2100" priority="253056"/>
    <cfRule type="duplicateValues" dxfId="2099" priority="253057"/>
    <cfRule type="duplicateValues" dxfId="2098" priority="253058"/>
    <cfRule type="duplicateValues" dxfId="2097" priority="253059"/>
    <cfRule type="duplicateValues" dxfId="2096" priority="253060"/>
    <cfRule type="duplicateValues" dxfId="2095" priority="253066"/>
    <cfRule type="duplicateValues" dxfId="2094" priority="253067"/>
    <cfRule type="duplicateValues" dxfId="2093" priority="253068"/>
    <cfRule type="duplicateValues" dxfId="2092" priority="253069"/>
    <cfRule type="duplicateValues" dxfId="2091" priority="253070"/>
  </conditionalFormatting>
  <conditionalFormatting sqref="B614:B638">
    <cfRule type="duplicateValues" dxfId="2090" priority="253236"/>
    <cfRule type="duplicateValues" dxfId="2089" priority="253237"/>
    <cfRule type="duplicateValues" dxfId="2088" priority="253238"/>
    <cfRule type="duplicateValues" dxfId="2087" priority="253239"/>
    <cfRule type="duplicateValues" dxfId="2086" priority="253240"/>
    <cfRule type="duplicateValues" dxfId="2085" priority="253241"/>
    <cfRule type="duplicateValues" dxfId="2084" priority="253242"/>
    <cfRule type="duplicateValues" dxfId="2083" priority="253243"/>
    <cfRule type="duplicateValues" dxfId="2082" priority="253244"/>
    <cfRule type="duplicateValues" dxfId="2081" priority="253245"/>
    <cfRule type="duplicateValues" dxfId="2080" priority="253246"/>
    <cfRule type="duplicateValues" dxfId="2079" priority="253247"/>
    <cfRule type="duplicateValues" dxfId="2078" priority="253248"/>
    <cfRule type="duplicateValues" dxfId="2077" priority="253249"/>
    <cfRule type="duplicateValues" dxfId="2076" priority="253250"/>
    <cfRule type="duplicateValues" dxfId="2075" priority="253251"/>
    <cfRule type="duplicateValues" dxfId="2074" priority="253252"/>
    <cfRule type="duplicateValues" dxfId="2073" priority="253253"/>
    <cfRule type="duplicateValues" dxfId="2072" priority="253254"/>
    <cfRule type="duplicateValues" dxfId="2071" priority="253255"/>
    <cfRule type="duplicateValues" dxfId="2070" priority="253256"/>
    <cfRule type="duplicateValues" dxfId="2069" priority="253257"/>
    <cfRule type="duplicateValues" dxfId="2068" priority="253258"/>
    <cfRule type="duplicateValues" dxfId="2067" priority="253259"/>
    <cfRule type="duplicateValues" dxfId="2066" priority="253260"/>
    <cfRule type="duplicateValues" dxfId="2065" priority="253261"/>
    <cfRule type="duplicateValues" dxfId="2064" priority="253262"/>
    <cfRule type="duplicateValues" dxfId="2063" priority="253263"/>
    <cfRule type="duplicateValues" dxfId="2062" priority="253264"/>
    <cfRule type="duplicateValues" dxfId="2061" priority="253265"/>
    <cfRule type="duplicateValues" dxfId="2060" priority="253266"/>
    <cfRule type="duplicateValues" dxfId="2059" priority="253267"/>
    <cfRule type="duplicateValues" dxfId="2058" priority="253268"/>
    <cfRule type="duplicateValues" dxfId="2057" priority="253269"/>
    <cfRule type="duplicateValues" dxfId="2056" priority="253270"/>
    <cfRule type="duplicateValues" dxfId="2055" priority="253271"/>
    <cfRule type="duplicateValues" dxfId="2054" priority="253272"/>
    <cfRule type="duplicateValues" dxfId="2053" priority="253273"/>
    <cfRule type="duplicateValues" dxfId="2052" priority="253274"/>
    <cfRule type="duplicateValues" dxfId="2051" priority="253275"/>
    <cfRule type="duplicateValues" dxfId="2050" priority="253276"/>
    <cfRule type="duplicateValues" dxfId="2049" priority="253277"/>
    <cfRule type="duplicateValues" dxfId="2048" priority="253320"/>
    <cfRule type="duplicateValues" dxfId="2047" priority="253321"/>
    <cfRule type="duplicateValues" dxfId="2046" priority="253322"/>
    <cfRule type="duplicateValues" dxfId="2045" priority="253323"/>
    <cfRule type="duplicateValues" dxfId="2044" priority="253324"/>
    <cfRule type="duplicateValues" dxfId="2043" priority="253325"/>
    <cfRule type="duplicateValues" dxfId="2042" priority="253326"/>
    <cfRule type="duplicateValues" dxfId="2041" priority="253327"/>
    <cfRule type="duplicateValues" dxfId="2040" priority="253328"/>
    <cfRule type="duplicateValues" dxfId="2039" priority="253329"/>
    <cfRule type="duplicateValues" dxfId="2038" priority="253330"/>
    <cfRule type="duplicateValues" dxfId="2037" priority="253331"/>
    <cfRule type="duplicateValues" dxfId="2036" priority="253332"/>
    <cfRule type="duplicateValues" dxfId="2035" priority="253333"/>
    <cfRule type="duplicateValues" dxfId="2034" priority="253334"/>
    <cfRule type="duplicateValues" dxfId="2033" priority="253335"/>
    <cfRule type="duplicateValues" dxfId="2032" priority="253336"/>
    <cfRule type="duplicateValues" dxfId="2031" priority="253337"/>
    <cfRule type="duplicateValues" dxfId="2030" priority="253338"/>
    <cfRule type="duplicateValues" dxfId="2029" priority="253339"/>
    <cfRule type="duplicateValues" dxfId="2028" priority="253340"/>
    <cfRule type="duplicateValues" dxfId="2027" priority="253341"/>
    <cfRule type="duplicateValues" dxfId="2026" priority="253342"/>
    <cfRule type="duplicateValues" dxfId="2025" priority="253343"/>
    <cfRule type="duplicateValues" dxfId="2024" priority="253344"/>
    <cfRule type="duplicateValues" dxfId="2023" priority="253345"/>
    <cfRule type="duplicateValues" dxfId="2022" priority="253346"/>
    <cfRule type="duplicateValues" dxfId="2021" priority="253347"/>
    <cfRule type="duplicateValues" dxfId="2020" priority="253348"/>
    <cfRule type="duplicateValues" dxfId="2019" priority="253349"/>
    <cfRule type="duplicateValues" dxfId="2018" priority="253350"/>
    <cfRule type="duplicateValues" dxfId="2017" priority="253351"/>
    <cfRule type="duplicateValues" dxfId="2016" priority="253352"/>
    <cfRule type="duplicateValues" dxfId="2015" priority="253353"/>
    <cfRule type="duplicateValues" dxfId="2014" priority="253354"/>
    <cfRule type="duplicateValues" dxfId="2013" priority="253355"/>
    <cfRule type="duplicateValues" dxfId="2012" priority="253356"/>
    <cfRule type="duplicateValues" dxfId="2011" priority="253357"/>
    <cfRule type="duplicateValues" dxfId="2010" priority="253358"/>
    <cfRule type="duplicateValues" dxfId="2009" priority="253359"/>
    <cfRule type="duplicateValues" dxfId="2008" priority="253360"/>
    <cfRule type="duplicateValues" dxfId="2007" priority="253361"/>
    <cfRule type="duplicateValues" dxfId="2006" priority="253367"/>
    <cfRule type="duplicateValues" dxfId="2005" priority="253368"/>
    <cfRule type="duplicateValues" dxfId="2004" priority="253369"/>
    <cfRule type="duplicateValues" dxfId="2003" priority="253370"/>
    <cfRule type="duplicateValues" dxfId="2002" priority="253371"/>
  </conditionalFormatting>
  <conditionalFormatting sqref="B531:B586">
    <cfRule type="duplicateValues" dxfId="2001" priority="252930"/>
    <cfRule type="duplicateValues" dxfId="2000" priority="252931"/>
    <cfRule type="duplicateValues" dxfId="1999" priority="252932"/>
    <cfRule type="duplicateValues" dxfId="1998" priority="252933"/>
    <cfRule type="duplicateValues" dxfId="1997" priority="252934"/>
    <cfRule type="duplicateValues" dxfId="1996" priority="253194"/>
    <cfRule type="duplicateValues" dxfId="1995" priority="253195"/>
    <cfRule type="duplicateValues" dxfId="1994" priority="253196"/>
    <cfRule type="duplicateValues" dxfId="1993" priority="253197"/>
    <cfRule type="duplicateValues" dxfId="1992" priority="253198"/>
    <cfRule type="duplicateValues" dxfId="1991" priority="253199"/>
    <cfRule type="duplicateValues" dxfId="1990" priority="253200"/>
    <cfRule type="duplicateValues" dxfId="1989" priority="253201"/>
    <cfRule type="duplicateValues" dxfId="1988" priority="253202"/>
    <cfRule type="duplicateValues" dxfId="1987" priority="253203"/>
    <cfRule type="duplicateValues" dxfId="1986" priority="253204"/>
    <cfRule type="duplicateValues" dxfId="1985" priority="253205"/>
    <cfRule type="duplicateValues" dxfId="1984" priority="253206"/>
    <cfRule type="duplicateValues" dxfId="1983" priority="253207"/>
    <cfRule type="duplicateValues" dxfId="1982" priority="253208"/>
    <cfRule type="duplicateValues" dxfId="1981" priority="253209"/>
    <cfRule type="duplicateValues" dxfId="1980" priority="253210"/>
    <cfRule type="duplicateValues" dxfId="1979" priority="253211"/>
    <cfRule type="duplicateValues" dxfId="1978" priority="253212"/>
    <cfRule type="duplicateValues" dxfId="1977" priority="253213"/>
    <cfRule type="duplicateValues" dxfId="1976" priority="253214"/>
    <cfRule type="duplicateValues" dxfId="1975" priority="253215"/>
    <cfRule type="duplicateValues" dxfId="1974" priority="253216"/>
    <cfRule type="duplicateValues" dxfId="1973" priority="253217"/>
    <cfRule type="duplicateValues" dxfId="1972" priority="253218"/>
    <cfRule type="duplicateValues" dxfId="1971" priority="253219"/>
    <cfRule type="duplicateValues" dxfId="1970" priority="253220"/>
    <cfRule type="duplicateValues" dxfId="1969" priority="253221"/>
    <cfRule type="duplicateValues" dxfId="1968" priority="253222"/>
    <cfRule type="duplicateValues" dxfId="1967" priority="253223"/>
    <cfRule type="duplicateValues" dxfId="1966" priority="253224"/>
    <cfRule type="duplicateValues" dxfId="1965" priority="253225"/>
    <cfRule type="duplicateValues" dxfId="1964" priority="253226"/>
    <cfRule type="duplicateValues" dxfId="1963" priority="253227"/>
    <cfRule type="duplicateValues" dxfId="1962" priority="253228"/>
    <cfRule type="duplicateValues" dxfId="1961" priority="253229"/>
    <cfRule type="duplicateValues" dxfId="1960" priority="253230"/>
    <cfRule type="duplicateValues" dxfId="1959" priority="253231"/>
    <cfRule type="duplicateValues" dxfId="1958" priority="253232"/>
    <cfRule type="duplicateValues" dxfId="1957" priority="253233"/>
    <cfRule type="duplicateValues" dxfId="1956" priority="253234"/>
    <cfRule type="duplicateValues" dxfId="1955" priority="253235"/>
    <cfRule type="duplicateValues" dxfId="1954" priority="253495"/>
    <cfRule type="duplicateValues" dxfId="1953" priority="253496"/>
    <cfRule type="duplicateValues" dxfId="1952" priority="253497"/>
    <cfRule type="duplicateValues" dxfId="1951" priority="253498"/>
    <cfRule type="duplicateValues" dxfId="1950" priority="253499"/>
    <cfRule type="duplicateValues" dxfId="1949" priority="253500"/>
    <cfRule type="duplicateValues" dxfId="1948" priority="253501"/>
    <cfRule type="duplicateValues" dxfId="1947" priority="253502"/>
    <cfRule type="duplicateValues" dxfId="1946" priority="253503"/>
    <cfRule type="duplicateValues" dxfId="1945" priority="253504"/>
    <cfRule type="duplicateValues" dxfId="1944" priority="253505"/>
    <cfRule type="duplicateValues" dxfId="1943" priority="253506"/>
    <cfRule type="duplicateValues" dxfId="1942" priority="253507"/>
    <cfRule type="duplicateValues" dxfId="1941" priority="253508"/>
    <cfRule type="duplicateValues" dxfId="1940" priority="253509"/>
    <cfRule type="duplicateValues" dxfId="1939" priority="253510"/>
    <cfRule type="duplicateValues" dxfId="1938" priority="253511"/>
    <cfRule type="duplicateValues" dxfId="1937" priority="253512"/>
    <cfRule type="duplicateValues" dxfId="1936" priority="253513"/>
    <cfRule type="duplicateValues" dxfId="1935" priority="253514"/>
    <cfRule type="duplicateValues" dxfId="1934" priority="253515"/>
    <cfRule type="duplicateValues" dxfId="1933" priority="253516"/>
    <cfRule type="duplicateValues" dxfId="1932" priority="253517"/>
    <cfRule type="duplicateValues" dxfId="1931" priority="253518"/>
    <cfRule type="duplicateValues" dxfId="1930" priority="253519"/>
    <cfRule type="duplicateValues" dxfId="1929" priority="253520"/>
    <cfRule type="duplicateValues" dxfId="1928" priority="253521"/>
    <cfRule type="duplicateValues" dxfId="1927" priority="253522"/>
    <cfRule type="duplicateValues" dxfId="1926" priority="253523"/>
    <cfRule type="duplicateValues" dxfId="1925" priority="253524"/>
    <cfRule type="duplicateValues" dxfId="1924" priority="253525"/>
    <cfRule type="duplicateValues" dxfId="1923" priority="253526"/>
    <cfRule type="duplicateValues" dxfId="1922" priority="253527"/>
    <cfRule type="duplicateValues" dxfId="1921" priority="253528"/>
    <cfRule type="duplicateValues" dxfId="1920" priority="253529"/>
    <cfRule type="duplicateValues" dxfId="1919" priority="253530"/>
    <cfRule type="duplicateValues" dxfId="1918" priority="253531"/>
    <cfRule type="duplicateValues" dxfId="1917" priority="253532"/>
    <cfRule type="duplicateValues" dxfId="1916" priority="253533"/>
    <cfRule type="duplicateValues" dxfId="1915" priority="253534"/>
    <cfRule type="duplicateValues" dxfId="1914" priority="253535"/>
    <cfRule type="duplicateValues" dxfId="1913" priority="253536"/>
  </conditionalFormatting>
  <conditionalFormatting sqref="B587:B613">
    <cfRule type="duplicateValues" dxfId="1912" priority="253537"/>
    <cfRule type="duplicateValues" dxfId="1911" priority="253538"/>
    <cfRule type="duplicateValues" dxfId="1910" priority="253539"/>
    <cfRule type="duplicateValues" dxfId="1909" priority="253540"/>
    <cfRule type="duplicateValues" dxfId="1908" priority="253541"/>
    <cfRule type="duplicateValues" dxfId="1907" priority="253542"/>
    <cfRule type="duplicateValues" dxfId="1906" priority="253543"/>
    <cfRule type="duplicateValues" dxfId="1905" priority="253544"/>
    <cfRule type="duplicateValues" dxfId="1904" priority="253545"/>
    <cfRule type="duplicateValues" dxfId="1903" priority="253546"/>
    <cfRule type="duplicateValues" dxfId="1902" priority="253547"/>
    <cfRule type="duplicateValues" dxfId="1901" priority="253548"/>
    <cfRule type="duplicateValues" dxfId="1900" priority="253549"/>
    <cfRule type="duplicateValues" dxfId="1899" priority="253550"/>
    <cfRule type="duplicateValues" dxfId="1898" priority="253551"/>
    <cfRule type="duplicateValues" dxfId="1897" priority="253552"/>
    <cfRule type="duplicateValues" dxfId="1896" priority="253553"/>
    <cfRule type="duplicateValues" dxfId="1895" priority="253554"/>
    <cfRule type="duplicateValues" dxfId="1894" priority="253555"/>
    <cfRule type="duplicateValues" dxfId="1893" priority="253556"/>
    <cfRule type="duplicateValues" dxfId="1892" priority="253557"/>
    <cfRule type="duplicateValues" dxfId="1891" priority="253558"/>
    <cfRule type="duplicateValues" dxfId="1890" priority="253559"/>
    <cfRule type="duplicateValues" dxfId="1889" priority="253560"/>
    <cfRule type="duplicateValues" dxfId="1888" priority="253561"/>
    <cfRule type="duplicateValues" dxfId="1887" priority="253562"/>
    <cfRule type="duplicateValues" dxfId="1886" priority="253563"/>
    <cfRule type="duplicateValues" dxfId="1885" priority="253564"/>
    <cfRule type="duplicateValues" dxfId="1884" priority="253565"/>
    <cfRule type="duplicateValues" dxfId="1883" priority="253566"/>
    <cfRule type="duplicateValues" dxfId="1882" priority="253567"/>
    <cfRule type="duplicateValues" dxfId="1881" priority="253568"/>
    <cfRule type="duplicateValues" dxfId="1880" priority="253569"/>
    <cfRule type="duplicateValues" dxfId="1879" priority="253570"/>
    <cfRule type="duplicateValues" dxfId="1878" priority="253571"/>
    <cfRule type="duplicateValues" dxfId="1877" priority="253572"/>
    <cfRule type="duplicateValues" dxfId="1876" priority="253573"/>
    <cfRule type="duplicateValues" dxfId="1875" priority="253574"/>
    <cfRule type="duplicateValues" dxfId="1874" priority="253575"/>
    <cfRule type="duplicateValues" dxfId="1873" priority="253576"/>
    <cfRule type="duplicateValues" dxfId="1872" priority="253577"/>
    <cfRule type="duplicateValues" dxfId="1871" priority="253578"/>
    <cfRule type="duplicateValues" dxfId="1870" priority="253621"/>
    <cfRule type="duplicateValues" dxfId="1869" priority="253622"/>
    <cfRule type="duplicateValues" dxfId="1868" priority="253623"/>
    <cfRule type="duplicateValues" dxfId="1867" priority="253624"/>
    <cfRule type="duplicateValues" dxfId="1866" priority="253625"/>
    <cfRule type="duplicateValues" dxfId="1865" priority="253626"/>
    <cfRule type="duplicateValues" dxfId="1864" priority="253627"/>
    <cfRule type="duplicateValues" dxfId="1863" priority="253628"/>
    <cfRule type="duplicateValues" dxfId="1862" priority="253629"/>
    <cfRule type="duplicateValues" dxfId="1861" priority="253630"/>
    <cfRule type="duplicateValues" dxfId="1860" priority="253631"/>
    <cfRule type="duplicateValues" dxfId="1859" priority="253632"/>
    <cfRule type="duplicateValues" dxfId="1858" priority="253633"/>
    <cfRule type="duplicateValues" dxfId="1857" priority="253634"/>
    <cfRule type="duplicateValues" dxfId="1856" priority="253635"/>
    <cfRule type="duplicateValues" dxfId="1855" priority="253636"/>
    <cfRule type="duplicateValues" dxfId="1854" priority="253637"/>
    <cfRule type="duplicateValues" dxfId="1853" priority="253638"/>
    <cfRule type="duplicateValues" dxfId="1852" priority="253639"/>
    <cfRule type="duplicateValues" dxfId="1851" priority="253640"/>
    <cfRule type="duplicateValues" dxfId="1850" priority="253641"/>
    <cfRule type="duplicateValues" dxfId="1849" priority="253642"/>
    <cfRule type="duplicateValues" dxfId="1848" priority="253643"/>
    <cfRule type="duplicateValues" dxfId="1847" priority="253644"/>
    <cfRule type="duplicateValues" dxfId="1846" priority="253645"/>
    <cfRule type="duplicateValues" dxfId="1845" priority="253646"/>
    <cfRule type="duplicateValues" dxfId="1844" priority="253647"/>
    <cfRule type="duplicateValues" dxfId="1843" priority="253648"/>
    <cfRule type="duplicateValues" dxfId="1842" priority="253649"/>
    <cfRule type="duplicateValues" dxfId="1841" priority="253650"/>
    <cfRule type="duplicateValues" dxfId="1840" priority="253651"/>
    <cfRule type="duplicateValues" dxfId="1839" priority="253652"/>
    <cfRule type="duplicateValues" dxfId="1838" priority="253653"/>
    <cfRule type="duplicateValues" dxfId="1837" priority="253654"/>
    <cfRule type="duplicateValues" dxfId="1836" priority="253655"/>
    <cfRule type="duplicateValues" dxfId="1835" priority="253656"/>
    <cfRule type="duplicateValues" dxfId="1834" priority="253657"/>
    <cfRule type="duplicateValues" dxfId="1833" priority="253658"/>
    <cfRule type="duplicateValues" dxfId="1832" priority="253659"/>
    <cfRule type="duplicateValues" dxfId="1831" priority="253660"/>
    <cfRule type="duplicateValues" dxfId="1830" priority="253661"/>
    <cfRule type="duplicateValues" dxfId="1829" priority="253662"/>
    <cfRule type="duplicateValues" dxfId="1828" priority="253668"/>
    <cfRule type="duplicateValues" dxfId="1827" priority="253669"/>
    <cfRule type="duplicateValues" dxfId="1826" priority="253670"/>
    <cfRule type="duplicateValues" dxfId="1825" priority="253671"/>
    <cfRule type="duplicateValues" dxfId="1824" priority="253672"/>
  </conditionalFormatting>
  <conditionalFormatting sqref="B530">
    <cfRule type="duplicateValues" dxfId="1823" priority="253717"/>
    <cfRule type="duplicateValues" dxfId="1822" priority="253718"/>
    <cfRule type="duplicateValues" dxfId="1821" priority="253719"/>
    <cfRule type="duplicateValues" dxfId="1820" priority="253720"/>
    <cfRule type="duplicateValues" dxfId="1819" priority="253721"/>
    <cfRule type="duplicateValues" dxfId="1818" priority="253722"/>
    <cfRule type="duplicateValues" dxfId="1817" priority="253723"/>
    <cfRule type="duplicateValues" dxfId="1816" priority="253724"/>
    <cfRule type="duplicateValues" dxfId="1815" priority="253725"/>
    <cfRule type="duplicateValues" dxfId="1814" priority="253726"/>
    <cfRule type="duplicateValues" dxfId="1813" priority="253727"/>
    <cfRule type="duplicateValues" dxfId="1812" priority="253728"/>
    <cfRule type="duplicateValues" dxfId="1811" priority="253729"/>
    <cfRule type="duplicateValues" dxfId="1810" priority="253730"/>
    <cfRule type="duplicateValues" dxfId="1809" priority="253731"/>
    <cfRule type="duplicateValues" dxfId="1808" priority="253732"/>
    <cfRule type="duplicateValues" dxfId="1807" priority="253733"/>
    <cfRule type="duplicateValues" dxfId="1806" priority="253734"/>
    <cfRule type="duplicateValues" dxfId="1805" priority="253735"/>
    <cfRule type="duplicateValues" dxfId="1804" priority="253736"/>
    <cfRule type="duplicateValues" dxfId="1803" priority="253737"/>
    <cfRule type="duplicateValues" dxfId="1802" priority="253738"/>
    <cfRule type="duplicateValues" dxfId="1801" priority="253739"/>
    <cfRule type="duplicateValues" dxfId="1800" priority="253740"/>
    <cfRule type="duplicateValues" dxfId="1799" priority="253741"/>
    <cfRule type="duplicateValues" dxfId="1798" priority="253742"/>
    <cfRule type="duplicateValues" dxfId="1797" priority="253743"/>
    <cfRule type="duplicateValues" dxfId="1796" priority="253744"/>
    <cfRule type="duplicateValues" dxfId="1795" priority="253745"/>
    <cfRule type="duplicateValues" dxfId="1794" priority="253746"/>
    <cfRule type="duplicateValues" dxfId="1793" priority="253747"/>
    <cfRule type="duplicateValues" dxfId="1792" priority="253748"/>
    <cfRule type="duplicateValues" dxfId="1791" priority="253749"/>
    <cfRule type="duplicateValues" dxfId="1790" priority="253750"/>
    <cfRule type="duplicateValues" dxfId="1789" priority="253751"/>
    <cfRule type="duplicateValues" dxfId="1788" priority="253752"/>
    <cfRule type="duplicateValues" dxfId="1787" priority="253753"/>
    <cfRule type="duplicateValues" dxfId="1786" priority="253754"/>
    <cfRule type="duplicateValues" dxfId="1785" priority="253755"/>
    <cfRule type="duplicateValues" dxfId="1784" priority="253756"/>
    <cfRule type="duplicateValues" dxfId="1783" priority="253757"/>
    <cfRule type="duplicateValues" dxfId="1782" priority="253758"/>
    <cfRule type="duplicateValues" dxfId="1781" priority="253801"/>
    <cfRule type="duplicateValues" dxfId="1780" priority="253802"/>
    <cfRule type="duplicateValues" dxfId="1779" priority="253803"/>
    <cfRule type="duplicateValues" dxfId="1778" priority="253804"/>
    <cfRule type="duplicateValues" dxfId="1777" priority="253805"/>
    <cfRule type="duplicateValues" dxfId="1776" priority="253806"/>
    <cfRule type="duplicateValues" dxfId="1775" priority="253807"/>
    <cfRule type="duplicateValues" dxfId="1774" priority="253808"/>
    <cfRule type="duplicateValues" dxfId="1773" priority="253809"/>
    <cfRule type="duplicateValues" dxfId="1772" priority="253810"/>
    <cfRule type="duplicateValues" dxfId="1771" priority="253811"/>
    <cfRule type="duplicateValues" dxfId="1770" priority="253812"/>
    <cfRule type="duplicateValues" dxfId="1769" priority="253813"/>
    <cfRule type="duplicateValues" dxfId="1768" priority="253814"/>
    <cfRule type="duplicateValues" dxfId="1767" priority="253815"/>
    <cfRule type="duplicateValues" dxfId="1766" priority="253816"/>
    <cfRule type="duplicateValues" dxfId="1765" priority="253817"/>
    <cfRule type="duplicateValues" dxfId="1764" priority="253818"/>
    <cfRule type="duplicateValues" dxfId="1763" priority="253819"/>
    <cfRule type="duplicateValues" dxfId="1762" priority="253820"/>
    <cfRule type="duplicateValues" dxfId="1761" priority="253821"/>
    <cfRule type="duplicateValues" dxfId="1760" priority="253822"/>
    <cfRule type="duplicateValues" dxfId="1759" priority="253823"/>
    <cfRule type="duplicateValues" dxfId="1758" priority="253824"/>
    <cfRule type="duplicateValues" dxfId="1757" priority="253825"/>
    <cfRule type="duplicateValues" dxfId="1756" priority="253826"/>
    <cfRule type="duplicateValues" dxfId="1755" priority="253827"/>
    <cfRule type="duplicateValues" dxfId="1754" priority="253828"/>
    <cfRule type="duplicateValues" dxfId="1753" priority="253829"/>
    <cfRule type="duplicateValues" dxfId="1752" priority="253830"/>
    <cfRule type="duplicateValues" dxfId="1751" priority="253831"/>
    <cfRule type="duplicateValues" dxfId="1750" priority="253832"/>
    <cfRule type="duplicateValues" dxfId="1749" priority="253833"/>
    <cfRule type="duplicateValues" dxfId="1748" priority="253834"/>
    <cfRule type="duplicateValues" dxfId="1747" priority="253835"/>
    <cfRule type="duplicateValues" dxfId="1746" priority="253836"/>
    <cfRule type="duplicateValues" dxfId="1745" priority="253837"/>
    <cfRule type="duplicateValues" dxfId="1744" priority="253838"/>
    <cfRule type="duplicateValues" dxfId="1743" priority="253839"/>
    <cfRule type="duplicateValues" dxfId="1742" priority="253840"/>
    <cfRule type="duplicateValues" dxfId="1741" priority="253841"/>
    <cfRule type="duplicateValues" dxfId="1740" priority="253842"/>
    <cfRule type="duplicateValues" dxfId="1739" priority="253848"/>
    <cfRule type="duplicateValues" dxfId="1738" priority="253849"/>
    <cfRule type="duplicateValues" dxfId="1737" priority="253850"/>
    <cfRule type="duplicateValues" dxfId="1736" priority="253851"/>
    <cfRule type="duplicateValues" dxfId="1735" priority="253852"/>
  </conditionalFormatting>
  <conditionalFormatting sqref="B461:B491">
    <cfRule type="duplicateValues" dxfId="1734" priority="240158"/>
    <cfRule type="duplicateValues" dxfId="1733" priority="240159"/>
    <cfRule type="duplicateValues" dxfId="1732" priority="240160"/>
    <cfRule type="duplicateValues" dxfId="1731" priority="240161"/>
    <cfRule type="duplicateValues" dxfId="1730" priority="240162"/>
    <cfRule type="duplicateValues" dxfId="1729" priority="253675"/>
    <cfRule type="duplicateValues" dxfId="1728" priority="253676"/>
    <cfRule type="duplicateValues" dxfId="1727" priority="253677"/>
    <cfRule type="duplicateValues" dxfId="1726" priority="253678"/>
    <cfRule type="duplicateValues" dxfId="1725" priority="253679"/>
    <cfRule type="duplicateValues" dxfId="1724" priority="253680"/>
    <cfRule type="duplicateValues" dxfId="1723" priority="253681"/>
    <cfRule type="duplicateValues" dxfId="1722" priority="253682"/>
    <cfRule type="duplicateValues" dxfId="1721" priority="253683"/>
    <cfRule type="duplicateValues" dxfId="1720" priority="253684"/>
    <cfRule type="duplicateValues" dxfId="1719" priority="253685"/>
    <cfRule type="duplicateValues" dxfId="1718" priority="253686"/>
    <cfRule type="duplicateValues" dxfId="1717" priority="253687"/>
    <cfRule type="duplicateValues" dxfId="1716" priority="253688"/>
    <cfRule type="duplicateValues" dxfId="1715" priority="253689"/>
    <cfRule type="duplicateValues" dxfId="1714" priority="253690"/>
    <cfRule type="duplicateValues" dxfId="1713" priority="253691"/>
    <cfRule type="duplicateValues" dxfId="1712" priority="253692"/>
    <cfRule type="duplicateValues" dxfId="1711" priority="253693"/>
    <cfRule type="duplicateValues" dxfId="1710" priority="253694"/>
    <cfRule type="duplicateValues" dxfId="1709" priority="253695"/>
    <cfRule type="duplicateValues" dxfId="1708" priority="253696"/>
    <cfRule type="duplicateValues" dxfId="1707" priority="253697"/>
    <cfRule type="duplicateValues" dxfId="1706" priority="253698"/>
    <cfRule type="duplicateValues" dxfId="1705" priority="253699"/>
    <cfRule type="duplicateValues" dxfId="1704" priority="253700"/>
    <cfRule type="duplicateValues" dxfId="1703" priority="253701"/>
    <cfRule type="duplicateValues" dxfId="1702" priority="253702"/>
    <cfRule type="duplicateValues" dxfId="1701" priority="253703"/>
    <cfRule type="duplicateValues" dxfId="1700" priority="253704"/>
    <cfRule type="duplicateValues" dxfId="1699" priority="253705"/>
    <cfRule type="duplicateValues" dxfId="1698" priority="253706"/>
    <cfRule type="duplicateValues" dxfId="1697" priority="253707"/>
    <cfRule type="duplicateValues" dxfId="1696" priority="253708"/>
    <cfRule type="duplicateValues" dxfId="1695" priority="253709"/>
    <cfRule type="duplicateValues" dxfId="1694" priority="253710"/>
    <cfRule type="duplicateValues" dxfId="1693" priority="253711"/>
    <cfRule type="duplicateValues" dxfId="1692" priority="253712"/>
    <cfRule type="duplicateValues" dxfId="1691" priority="253713"/>
    <cfRule type="duplicateValues" dxfId="1690" priority="253714"/>
    <cfRule type="duplicateValues" dxfId="1689" priority="253715"/>
    <cfRule type="duplicateValues" dxfId="1688" priority="253716"/>
    <cfRule type="duplicateValues" dxfId="1687" priority="253959"/>
    <cfRule type="duplicateValues" dxfId="1686" priority="253960"/>
    <cfRule type="duplicateValues" dxfId="1685" priority="253961"/>
    <cfRule type="duplicateValues" dxfId="1684" priority="253962"/>
    <cfRule type="duplicateValues" dxfId="1683" priority="253963"/>
    <cfRule type="duplicateValues" dxfId="1682" priority="253964"/>
    <cfRule type="duplicateValues" dxfId="1681" priority="253965"/>
    <cfRule type="duplicateValues" dxfId="1680" priority="253966"/>
    <cfRule type="duplicateValues" dxfId="1679" priority="253967"/>
    <cfRule type="duplicateValues" dxfId="1678" priority="253968"/>
    <cfRule type="duplicateValues" dxfId="1677" priority="253969"/>
    <cfRule type="duplicateValues" dxfId="1676" priority="253970"/>
    <cfRule type="duplicateValues" dxfId="1675" priority="253971"/>
    <cfRule type="duplicateValues" dxfId="1674" priority="253972"/>
    <cfRule type="duplicateValues" dxfId="1673" priority="253973"/>
    <cfRule type="duplicateValues" dxfId="1672" priority="253974"/>
    <cfRule type="duplicateValues" dxfId="1671" priority="253975"/>
    <cfRule type="duplicateValues" dxfId="1670" priority="253976"/>
    <cfRule type="duplicateValues" dxfId="1669" priority="253977"/>
    <cfRule type="duplicateValues" dxfId="1668" priority="253978"/>
    <cfRule type="duplicateValues" dxfId="1667" priority="253979"/>
    <cfRule type="duplicateValues" dxfId="1666" priority="253980"/>
    <cfRule type="duplicateValues" dxfId="1665" priority="253981"/>
    <cfRule type="duplicateValues" dxfId="1664" priority="253982"/>
    <cfRule type="duplicateValues" dxfId="1663" priority="253983"/>
    <cfRule type="duplicateValues" dxfId="1662" priority="253984"/>
    <cfRule type="duplicateValues" dxfId="1661" priority="253985"/>
    <cfRule type="duplicateValues" dxfId="1660" priority="253986"/>
    <cfRule type="duplicateValues" dxfId="1659" priority="253987"/>
    <cfRule type="duplicateValues" dxfId="1658" priority="253988"/>
    <cfRule type="duplicateValues" dxfId="1657" priority="253989"/>
    <cfRule type="duplicateValues" dxfId="1656" priority="253990"/>
    <cfRule type="duplicateValues" dxfId="1655" priority="253991"/>
    <cfRule type="duplicateValues" dxfId="1654" priority="253992"/>
    <cfRule type="duplicateValues" dxfId="1653" priority="253993"/>
    <cfRule type="duplicateValues" dxfId="1652" priority="253994"/>
    <cfRule type="duplicateValues" dxfId="1651" priority="253995"/>
    <cfRule type="duplicateValues" dxfId="1650" priority="253996"/>
    <cfRule type="duplicateValues" dxfId="1649" priority="253997"/>
    <cfRule type="duplicateValues" dxfId="1648" priority="253998"/>
    <cfRule type="duplicateValues" dxfId="1647" priority="253999"/>
    <cfRule type="duplicateValues" dxfId="1646" priority="254000"/>
  </conditionalFormatting>
  <conditionalFormatting sqref="B492:B529">
    <cfRule type="duplicateValues" dxfId="1645" priority="254001"/>
    <cfRule type="duplicateValues" dxfId="1644" priority="254002"/>
    <cfRule type="duplicateValues" dxfId="1643" priority="254003"/>
    <cfRule type="duplicateValues" dxfId="1642" priority="254004"/>
    <cfRule type="duplicateValues" dxfId="1641" priority="254005"/>
    <cfRule type="duplicateValues" dxfId="1640" priority="254006"/>
    <cfRule type="duplicateValues" dxfId="1639" priority="254007"/>
    <cfRule type="duplicateValues" dxfId="1638" priority="254008"/>
    <cfRule type="duplicateValues" dxfId="1637" priority="254009"/>
    <cfRule type="duplicateValues" dxfId="1636" priority="254010"/>
    <cfRule type="duplicateValues" dxfId="1635" priority="254011"/>
    <cfRule type="duplicateValues" dxfId="1634" priority="254012"/>
    <cfRule type="duplicateValues" dxfId="1633" priority="254013"/>
    <cfRule type="duplicateValues" dxfId="1632" priority="254014"/>
    <cfRule type="duplicateValues" dxfId="1631" priority="254015"/>
    <cfRule type="duplicateValues" dxfId="1630" priority="254016"/>
    <cfRule type="duplicateValues" dxfId="1629" priority="254017"/>
    <cfRule type="duplicateValues" dxfId="1628" priority="254018"/>
    <cfRule type="duplicateValues" dxfId="1627" priority="254019"/>
    <cfRule type="duplicateValues" dxfId="1626" priority="254020"/>
    <cfRule type="duplicateValues" dxfId="1625" priority="254021"/>
    <cfRule type="duplicateValues" dxfId="1624" priority="254022"/>
    <cfRule type="duplicateValues" dxfId="1623" priority="254023"/>
    <cfRule type="duplicateValues" dxfId="1622" priority="254024"/>
    <cfRule type="duplicateValues" dxfId="1621" priority="254025"/>
    <cfRule type="duplicateValues" dxfId="1620" priority="254026"/>
    <cfRule type="duplicateValues" dxfId="1619" priority="254027"/>
    <cfRule type="duplicateValues" dxfId="1618" priority="254028"/>
    <cfRule type="duplicateValues" dxfId="1617" priority="254029"/>
    <cfRule type="duplicateValues" dxfId="1616" priority="254030"/>
    <cfRule type="duplicateValues" dxfId="1615" priority="254031"/>
    <cfRule type="duplicateValues" dxfId="1614" priority="254032"/>
    <cfRule type="duplicateValues" dxfId="1613" priority="254033"/>
    <cfRule type="duplicateValues" dxfId="1612" priority="254034"/>
    <cfRule type="duplicateValues" dxfId="1611" priority="254035"/>
    <cfRule type="duplicateValues" dxfId="1610" priority="254036"/>
    <cfRule type="duplicateValues" dxfId="1609" priority="254037"/>
    <cfRule type="duplicateValues" dxfId="1608" priority="254038"/>
    <cfRule type="duplicateValues" dxfId="1607" priority="254039"/>
    <cfRule type="duplicateValues" dxfId="1606" priority="254040"/>
    <cfRule type="duplicateValues" dxfId="1605" priority="254041"/>
    <cfRule type="duplicateValues" dxfId="1604" priority="254042"/>
    <cfRule type="duplicateValues" dxfId="1603" priority="254085"/>
    <cfRule type="duplicateValues" dxfId="1602" priority="254086"/>
    <cfRule type="duplicateValues" dxfId="1601" priority="254087"/>
    <cfRule type="duplicateValues" dxfId="1600" priority="254088"/>
    <cfRule type="duplicateValues" dxfId="1599" priority="254089"/>
    <cfRule type="duplicateValues" dxfId="1598" priority="254090"/>
    <cfRule type="duplicateValues" dxfId="1597" priority="254091"/>
    <cfRule type="duplicateValues" dxfId="1596" priority="254092"/>
    <cfRule type="duplicateValues" dxfId="1595" priority="254093"/>
    <cfRule type="duplicateValues" dxfId="1594" priority="254094"/>
    <cfRule type="duplicateValues" dxfId="1593" priority="254095"/>
    <cfRule type="duplicateValues" dxfId="1592" priority="254096"/>
    <cfRule type="duplicateValues" dxfId="1591" priority="254097"/>
    <cfRule type="duplicateValues" dxfId="1590" priority="254098"/>
    <cfRule type="duplicateValues" dxfId="1589" priority="254099"/>
    <cfRule type="duplicateValues" dxfId="1588" priority="254100"/>
    <cfRule type="duplicateValues" dxfId="1587" priority="254101"/>
    <cfRule type="duplicateValues" dxfId="1586" priority="254102"/>
    <cfRule type="duplicateValues" dxfId="1585" priority="254103"/>
    <cfRule type="duplicateValues" dxfId="1584" priority="254104"/>
    <cfRule type="duplicateValues" dxfId="1583" priority="254105"/>
    <cfRule type="duplicateValues" dxfId="1582" priority="254106"/>
    <cfRule type="duplicateValues" dxfId="1581" priority="254107"/>
    <cfRule type="duplicateValues" dxfId="1580" priority="254108"/>
    <cfRule type="duplicateValues" dxfId="1579" priority="254109"/>
    <cfRule type="duplicateValues" dxfId="1578" priority="254110"/>
    <cfRule type="duplicateValues" dxfId="1577" priority="254111"/>
    <cfRule type="duplicateValues" dxfId="1576" priority="254112"/>
    <cfRule type="duplicateValues" dxfId="1575" priority="254113"/>
    <cfRule type="duplicateValues" dxfId="1574" priority="254114"/>
    <cfRule type="duplicateValues" dxfId="1573" priority="254115"/>
    <cfRule type="duplicateValues" dxfId="1572" priority="254116"/>
    <cfRule type="duplicateValues" dxfId="1571" priority="254117"/>
    <cfRule type="duplicateValues" dxfId="1570" priority="254118"/>
    <cfRule type="duplicateValues" dxfId="1569" priority="254119"/>
    <cfRule type="duplicateValues" dxfId="1568" priority="254120"/>
    <cfRule type="duplicateValues" dxfId="1567" priority="254121"/>
    <cfRule type="duplicateValues" dxfId="1566" priority="254122"/>
    <cfRule type="duplicateValues" dxfId="1565" priority="254123"/>
    <cfRule type="duplicateValues" dxfId="1564" priority="254124"/>
    <cfRule type="duplicateValues" dxfId="1563" priority="254125"/>
    <cfRule type="duplicateValues" dxfId="1562" priority="254126"/>
    <cfRule type="duplicateValues" dxfId="1561" priority="254132"/>
    <cfRule type="duplicateValues" dxfId="1560" priority="254133"/>
    <cfRule type="duplicateValues" dxfId="1559" priority="254134"/>
    <cfRule type="duplicateValues" dxfId="1558" priority="254135"/>
    <cfRule type="duplicateValues" dxfId="1557" priority="254136"/>
  </conditionalFormatting>
  <conditionalFormatting sqref="B127:B132">
    <cfRule type="duplicateValues" dxfId="1556" priority="243065"/>
    <cfRule type="duplicateValues" dxfId="1555" priority="243066"/>
    <cfRule type="duplicateValues" dxfId="1554" priority="243067"/>
    <cfRule type="duplicateValues" dxfId="1553" priority="243068"/>
    <cfRule type="duplicateValues" dxfId="1552" priority="243069"/>
    <cfRule type="duplicateValues" dxfId="1551" priority="243070"/>
    <cfRule type="duplicateValues" dxfId="1550" priority="243071"/>
    <cfRule type="duplicateValues" dxfId="1549" priority="243072"/>
    <cfRule type="duplicateValues" dxfId="1548" priority="243073"/>
    <cfRule type="duplicateValues" dxfId="1547" priority="243074"/>
    <cfRule type="duplicateValues" dxfId="1546" priority="243075"/>
    <cfRule type="duplicateValues" dxfId="1545" priority="243076"/>
    <cfRule type="duplicateValues" dxfId="1544" priority="243077"/>
    <cfRule type="duplicateValues" dxfId="1543" priority="243078"/>
    <cfRule type="duplicateValues" dxfId="1542" priority="243079"/>
    <cfRule type="duplicateValues" dxfId="1541" priority="243080"/>
    <cfRule type="duplicateValues" dxfId="1540" priority="243081"/>
    <cfRule type="duplicateValues" dxfId="1539" priority="243082"/>
    <cfRule type="duplicateValues" dxfId="1538" priority="243083"/>
    <cfRule type="duplicateValues" dxfId="1537" priority="243084"/>
    <cfRule type="duplicateValues" dxfId="1536" priority="243085"/>
    <cfRule type="duplicateValues" dxfId="1535" priority="243086"/>
    <cfRule type="duplicateValues" dxfId="1534" priority="243087"/>
    <cfRule type="duplicateValues" dxfId="1533" priority="243088"/>
    <cfRule type="duplicateValues" dxfId="1532" priority="243089"/>
    <cfRule type="duplicateValues" dxfId="1531" priority="243090"/>
    <cfRule type="duplicateValues" dxfId="1530" priority="243091"/>
    <cfRule type="duplicateValues" dxfId="1529" priority="243092"/>
    <cfRule type="duplicateValues" dxfId="1528" priority="243093"/>
    <cfRule type="duplicateValues" dxfId="1527" priority="243094"/>
    <cfRule type="duplicateValues" dxfId="1526" priority="243095"/>
    <cfRule type="duplicateValues" dxfId="1525" priority="243096"/>
    <cfRule type="duplicateValues" dxfId="1524" priority="243097"/>
    <cfRule type="duplicateValues" dxfId="1523" priority="243098"/>
    <cfRule type="duplicateValues" dxfId="1522" priority="243099"/>
    <cfRule type="duplicateValues" dxfId="1521" priority="243100"/>
    <cfRule type="duplicateValues" dxfId="1520" priority="243101"/>
    <cfRule type="duplicateValues" dxfId="1519" priority="243102"/>
    <cfRule type="duplicateValues" dxfId="1518" priority="243103"/>
    <cfRule type="duplicateValues" dxfId="1517" priority="243104"/>
    <cfRule type="duplicateValues" dxfId="1516" priority="243105"/>
    <cfRule type="duplicateValues" dxfId="1515" priority="243106"/>
    <cfRule type="duplicateValues" dxfId="1514" priority="243112"/>
    <cfRule type="duplicateValues" dxfId="1513" priority="243113"/>
    <cfRule type="duplicateValues" dxfId="1512" priority="243114"/>
    <cfRule type="duplicateValues" dxfId="1511" priority="243115"/>
    <cfRule type="duplicateValues" dxfId="1510" priority="243116"/>
    <cfRule type="duplicateValues" dxfId="1509" priority="254237"/>
    <cfRule type="duplicateValues" dxfId="1508" priority="254238"/>
    <cfRule type="duplicateValues" dxfId="1507" priority="254239"/>
    <cfRule type="duplicateValues" dxfId="1506" priority="254240"/>
    <cfRule type="duplicateValues" dxfId="1505" priority="254241"/>
    <cfRule type="duplicateValues" dxfId="1504" priority="254242"/>
    <cfRule type="duplicateValues" dxfId="1503" priority="254243"/>
    <cfRule type="duplicateValues" dxfId="1502" priority="254244"/>
    <cfRule type="duplicateValues" dxfId="1501" priority="254245"/>
    <cfRule type="duplicateValues" dxfId="1500" priority="254246"/>
    <cfRule type="duplicateValues" dxfId="1499" priority="254247"/>
    <cfRule type="duplicateValues" dxfId="1498" priority="254248"/>
    <cfRule type="duplicateValues" dxfId="1497" priority="254249"/>
    <cfRule type="duplicateValues" dxfId="1496" priority="254250"/>
    <cfRule type="duplicateValues" dxfId="1495" priority="254251"/>
    <cfRule type="duplicateValues" dxfId="1494" priority="254252"/>
    <cfRule type="duplicateValues" dxfId="1493" priority="254253"/>
    <cfRule type="duplicateValues" dxfId="1492" priority="254254"/>
    <cfRule type="duplicateValues" dxfId="1491" priority="254255"/>
    <cfRule type="duplicateValues" dxfId="1490" priority="254256"/>
    <cfRule type="duplicateValues" dxfId="1489" priority="254257"/>
    <cfRule type="duplicateValues" dxfId="1488" priority="254258"/>
    <cfRule type="duplicateValues" dxfId="1487" priority="254259"/>
    <cfRule type="duplicateValues" dxfId="1486" priority="254260"/>
    <cfRule type="duplicateValues" dxfId="1485" priority="254261"/>
    <cfRule type="duplicateValues" dxfId="1484" priority="254262"/>
    <cfRule type="duplicateValues" dxfId="1483" priority="254263"/>
    <cfRule type="duplicateValues" dxfId="1482" priority="254264"/>
    <cfRule type="duplicateValues" dxfId="1481" priority="254265"/>
    <cfRule type="duplicateValues" dxfId="1480" priority="254266"/>
    <cfRule type="duplicateValues" dxfId="1479" priority="254267"/>
    <cfRule type="duplicateValues" dxfId="1478" priority="254268"/>
    <cfRule type="duplicateValues" dxfId="1477" priority="254269"/>
    <cfRule type="duplicateValues" dxfId="1476" priority="254270"/>
    <cfRule type="duplicateValues" dxfId="1475" priority="254271"/>
    <cfRule type="duplicateValues" dxfId="1474" priority="254272"/>
    <cfRule type="duplicateValues" dxfId="1473" priority="254273"/>
    <cfRule type="duplicateValues" dxfId="1472" priority="254274"/>
    <cfRule type="duplicateValues" dxfId="1471" priority="254275"/>
    <cfRule type="duplicateValues" dxfId="1470" priority="254276"/>
    <cfRule type="duplicateValues" dxfId="1469" priority="254277"/>
    <cfRule type="duplicateValues" dxfId="1468" priority="254278"/>
  </conditionalFormatting>
  <conditionalFormatting sqref="B133:B134">
    <cfRule type="duplicateValues" dxfId="1467" priority="254279"/>
    <cfRule type="duplicateValues" dxfId="1466" priority="254280"/>
    <cfRule type="duplicateValues" dxfId="1465" priority="254281"/>
    <cfRule type="duplicateValues" dxfId="1464" priority="254282"/>
    <cfRule type="duplicateValues" dxfId="1463" priority="254283"/>
    <cfRule type="duplicateValues" dxfId="1462" priority="254284"/>
    <cfRule type="duplicateValues" dxfId="1461" priority="254285"/>
    <cfRule type="duplicateValues" dxfId="1460" priority="254286"/>
    <cfRule type="duplicateValues" dxfId="1459" priority="254287"/>
    <cfRule type="duplicateValues" dxfId="1458" priority="254288"/>
    <cfRule type="duplicateValues" dxfId="1457" priority="254289"/>
    <cfRule type="duplicateValues" dxfId="1456" priority="254290"/>
    <cfRule type="duplicateValues" dxfId="1455" priority="254291"/>
    <cfRule type="duplicateValues" dxfId="1454" priority="254292"/>
    <cfRule type="duplicateValues" dxfId="1453" priority="254293"/>
    <cfRule type="duplicateValues" dxfId="1452" priority="254294"/>
    <cfRule type="duplicateValues" dxfId="1451" priority="254295"/>
    <cfRule type="duplicateValues" dxfId="1450" priority="254296"/>
    <cfRule type="duplicateValues" dxfId="1449" priority="254297"/>
    <cfRule type="duplicateValues" dxfId="1448" priority="254298"/>
    <cfRule type="duplicateValues" dxfId="1447" priority="254299"/>
    <cfRule type="duplicateValues" dxfId="1446" priority="254300"/>
    <cfRule type="duplicateValues" dxfId="1445" priority="254301"/>
    <cfRule type="duplicateValues" dxfId="1444" priority="254302"/>
    <cfRule type="duplicateValues" dxfId="1443" priority="254303"/>
    <cfRule type="duplicateValues" dxfId="1442" priority="254304"/>
    <cfRule type="duplicateValues" dxfId="1441" priority="254305"/>
    <cfRule type="duplicateValues" dxfId="1440" priority="254306"/>
    <cfRule type="duplicateValues" dxfId="1439" priority="254307"/>
    <cfRule type="duplicateValues" dxfId="1438" priority="254308"/>
    <cfRule type="duplicateValues" dxfId="1437" priority="254309"/>
    <cfRule type="duplicateValues" dxfId="1436" priority="254310"/>
    <cfRule type="duplicateValues" dxfId="1435" priority="254311"/>
    <cfRule type="duplicateValues" dxfId="1434" priority="254312"/>
    <cfRule type="duplicateValues" dxfId="1433" priority="254313"/>
    <cfRule type="duplicateValues" dxfId="1432" priority="254314"/>
    <cfRule type="duplicateValues" dxfId="1431" priority="254315"/>
    <cfRule type="duplicateValues" dxfId="1430" priority="254316"/>
    <cfRule type="duplicateValues" dxfId="1429" priority="254317"/>
    <cfRule type="duplicateValues" dxfId="1428" priority="254318"/>
    <cfRule type="duplicateValues" dxfId="1427" priority="254319"/>
    <cfRule type="duplicateValues" dxfId="1426" priority="254320"/>
    <cfRule type="duplicateValues" dxfId="1425" priority="254363"/>
    <cfRule type="duplicateValues" dxfId="1424" priority="254364"/>
    <cfRule type="duplicateValues" dxfId="1423" priority="254365"/>
    <cfRule type="duplicateValues" dxfId="1422" priority="254366"/>
    <cfRule type="duplicateValues" dxfId="1421" priority="254367"/>
    <cfRule type="duplicateValues" dxfId="1420" priority="254368"/>
    <cfRule type="duplicateValues" dxfId="1419" priority="254369"/>
    <cfRule type="duplicateValues" dxfId="1418" priority="254370"/>
    <cfRule type="duplicateValues" dxfId="1417" priority="254371"/>
    <cfRule type="duplicateValues" dxfId="1416" priority="254372"/>
    <cfRule type="duplicateValues" dxfId="1415" priority="254373"/>
    <cfRule type="duplicateValues" dxfId="1414" priority="254374"/>
    <cfRule type="duplicateValues" dxfId="1413" priority="254375"/>
    <cfRule type="duplicateValues" dxfId="1412" priority="254376"/>
    <cfRule type="duplicateValues" dxfId="1411" priority="254377"/>
    <cfRule type="duplicateValues" dxfId="1410" priority="254378"/>
    <cfRule type="duplicateValues" dxfId="1409" priority="254379"/>
    <cfRule type="duplicateValues" dxfId="1408" priority="254380"/>
    <cfRule type="duplicateValues" dxfId="1407" priority="254381"/>
    <cfRule type="duplicateValues" dxfId="1406" priority="254382"/>
    <cfRule type="duplicateValues" dxfId="1405" priority="254383"/>
    <cfRule type="duplicateValues" dxfId="1404" priority="254384"/>
    <cfRule type="duplicateValues" dxfId="1403" priority="254385"/>
    <cfRule type="duplicateValues" dxfId="1402" priority="254386"/>
    <cfRule type="duplicateValues" dxfId="1401" priority="254387"/>
    <cfRule type="duplicateValues" dxfId="1400" priority="254388"/>
    <cfRule type="duplicateValues" dxfId="1399" priority="254389"/>
    <cfRule type="duplicateValues" dxfId="1398" priority="254390"/>
    <cfRule type="duplicateValues" dxfId="1397" priority="254391"/>
    <cfRule type="duplicateValues" dxfId="1396" priority="254392"/>
    <cfRule type="duplicateValues" dxfId="1395" priority="254393"/>
    <cfRule type="duplicateValues" dxfId="1394" priority="254394"/>
    <cfRule type="duplicateValues" dxfId="1393" priority="254395"/>
    <cfRule type="duplicateValues" dxfId="1392" priority="254396"/>
    <cfRule type="duplicateValues" dxfId="1391" priority="254397"/>
    <cfRule type="duplicateValues" dxfId="1390" priority="254398"/>
    <cfRule type="duplicateValues" dxfId="1389" priority="254399"/>
    <cfRule type="duplicateValues" dxfId="1388" priority="254400"/>
    <cfRule type="duplicateValues" dxfId="1387" priority="254401"/>
    <cfRule type="duplicateValues" dxfId="1386" priority="254402"/>
    <cfRule type="duplicateValues" dxfId="1385" priority="254403"/>
    <cfRule type="duplicateValues" dxfId="1384" priority="254404"/>
    <cfRule type="duplicateValues" dxfId="1383" priority="254410"/>
    <cfRule type="duplicateValues" dxfId="1382" priority="254411"/>
    <cfRule type="duplicateValues" dxfId="1381" priority="254412"/>
    <cfRule type="duplicateValues" dxfId="1380" priority="254413"/>
    <cfRule type="duplicateValues" dxfId="1379" priority="254414"/>
  </conditionalFormatting>
  <conditionalFormatting sqref="B1:B771">
    <cfRule type="duplicateValues" dxfId="1378" priority="254418"/>
    <cfRule type="duplicateValues" dxfId="1377" priority="254419"/>
    <cfRule type="duplicateValues" dxfId="1376" priority="254420"/>
    <cfRule type="duplicateValues" dxfId="1375" priority="254421"/>
    <cfRule type="duplicateValues" dxfId="1374" priority="254422"/>
    <cfRule type="duplicateValues" dxfId="1373" priority="254423"/>
    <cfRule type="duplicateValues" dxfId="1372" priority="254424"/>
    <cfRule type="duplicateValues" dxfId="1371" priority="254425"/>
    <cfRule type="duplicateValues" dxfId="1370" priority="254426"/>
    <cfRule type="duplicateValues" dxfId="1369" priority="254427"/>
    <cfRule type="duplicateValues" dxfId="1368" priority="254428"/>
    <cfRule type="duplicateValues" dxfId="1367" priority="254429"/>
    <cfRule type="duplicateValues" dxfId="1366" priority="254430"/>
    <cfRule type="duplicateValues" dxfId="1365" priority="254431"/>
    <cfRule type="duplicateValues" dxfId="1364" priority="254432"/>
    <cfRule type="duplicateValues" dxfId="1363" priority="254433"/>
    <cfRule type="duplicateValues" dxfId="1362" priority="254434"/>
    <cfRule type="duplicateValues" dxfId="1361" priority="254435"/>
    <cfRule type="duplicateValues" dxfId="1360" priority="254436"/>
    <cfRule type="duplicateValues" dxfId="1359" priority="254437"/>
    <cfRule type="duplicateValues" dxfId="1358" priority="254438"/>
    <cfRule type="duplicateValues" dxfId="1357" priority="254439"/>
    <cfRule type="duplicateValues" dxfId="1356" priority="254440"/>
    <cfRule type="duplicateValues" dxfId="1355" priority="254441"/>
    <cfRule type="duplicateValues" dxfId="1354" priority="254442"/>
  </conditionalFormatting>
  <conditionalFormatting sqref="B2:B771">
    <cfRule type="duplicateValues" dxfId="1353" priority="254468"/>
    <cfRule type="duplicateValues" dxfId="1352" priority="254469"/>
    <cfRule type="duplicateValues" dxfId="1351" priority="254470"/>
    <cfRule type="duplicateValues" dxfId="1350" priority="254471"/>
    <cfRule type="duplicateValues" dxfId="1349" priority="254472"/>
    <cfRule type="duplicateValues" dxfId="1348" priority="254473"/>
    <cfRule type="duplicateValues" dxfId="1347" priority="254474"/>
    <cfRule type="duplicateValues" dxfId="1346" priority="254475"/>
    <cfRule type="duplicateValues" dxfId="1345" priority="254476"/>
    <cfRule type="duplicateValues" dxfId="1344" priority="254477"/>
    <cfRule type="duplicateValues" dxfId="1343" priority="254478"/>
    <cfRule type="duplicateValues" dxfId="1342" priority="254479"/>
    <cfRule type="duplicateValues" dxfId="1341" priority="254480"/>
    <cfRule type="duplicateValues" dxfId="1340" priority="254481"/>
  </conditionalFormatting>
  <conditionalFormatting sqref="B4:B771">
    <cfRule type="duplicateValues" dxfId="1339" priority="254496"/>
    <cfRule type="duplicateValues" dxfId="1338" priority="254497"/>
    <cfRule type="duplicateValues" dxfId="1337" priority="254498"/>
    <cfRule type="duplicateValues" dxfId="1336" priority="254499"/>
    <cfRule type="duplicateValues" dxfId="1335" priority="254500"/>
    <cfRule type="duplicateValues" dxfId="1334" priority="254501"/>
    <cfRule type="duplicateValues" dxfId="1333" priority="254502"/>
    <cfRule type="duplicateValues" dxfId="1332" priority="254503"/>
    <cfRule type="duplicateValues" dxfId="1331" priority="254504"/>
    <cfRule type="duplicateValues" dxfId="1330" priority="254505"/>
    <cfRule type="duplicateValues" dxfId="1329" priority="254506"/>
    <cfRule type="duplicateValues" dxfId="1328" priority="254507"/>
    <cfRule type="duplicateValues" dxfId="1327" priority="254508"/>
    <cfRule type="duplicateValues" dxfId="1326" priority="254509"/>
    <cfRule type="duplicateValues" dxfId="1325" priority="254510"/>
    <cfRule type="duplicateValues" dxfId="1324" priority="254511"/>
    <cfRule type="duplicateValues" dxfId="1323" priority="254512"/>
    <cfRule type="duplicateValues" dxfId="1322" priority="254513"/>
    <cfRule type="duplicateValues" dxfId="1321" priority="254514"/>
    <cfRule type="duplicateValues" dxfId="1320" priority="254515"/>
  </conditionalFormatting>
  <conditionalFormatting sqref="B1:B771">
    <cfRule type="duplicateValues" dxfId="1319" priority="254516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4769-F863-4966-ACBC-E34427CC197E}">
  <dimension ref="A1:K107"/>
  <sheetViews>
    <sheetView zoomScale="98" zoomScaleNormal="98" workbookViewId="0">
      <selection sqref="A1:K1"/>
    </sheetView>
  </sheetViews>
  <sheetFormatPr defaultRowHeight="14.4"/>
  <cols>
    <col min="1" max="1" width="3.88671875" bestFit="1" customWidth="1"/>
    <col min="2" max="2" width="12.6640625" customWidth="1"/>
    <col min="3" max="3" width="5.109375" bestFit="1" customWidth="1"/>
    <col min="4" max="4" width="13.33203125" customWidth="1"/>
    <col min="5" max="5" width="12.44140625" customWidth="1"/>
    <col min="6" max="6" width="13.33203125" customWidth="1"/>
    <col min="7" max="7" width="13.44140625" customWidth="1"/>
    <col min="8" max="8" width="11.33203125" style="163" customWidth="1"/>
    <col min="9" max="9" width="10" style="163" customWidth="1"/>
    <col min="10" max="10" width="10.88671875" style="163" customWidth="1"/>
    <col min="11" max="11" width="49.33203125" customWidth="1"/>
  </cols>
  <sheetData>
    <row r="1" spans="1:11" ht="26.4" thickBot="1">
      <c r="A1" s="347" t="s">
        <v>1226</v>
      </c>
      <c r="B1" s="348"/>
      <c r="C1" s="348"/>
      <c r="D1" s="348"/>
      <c r="E1" s="348"/>
      <c r="F1" s="348"/>
      <c r="G1" s="348"/>
      <c r="H1" s="348"/>
      <c r="I1" s="348"/>
      <c r="J1" s="348"/>
      <c r="K1" s="349"/>
    </row>
    <row r="2" spans="1:11" ht="15.6">
      <c r="A2" s="350" t="s">
        <v>345</v>
      </c>
      <c r="B2" s="351"/>
      <c r="C2" s="351"/>
      <c r="D2" s="351"/>
      <c r="E2" s="351"/>
      <c r="F2" s="351"/>
      <c r="G2" s="351"/>
      <c r="H2" s="351"/>
      <c r="I2" s="351"/>
      <c r="J2" s="351"/>
      <c r="K2" s="352"/>
    </row>
    <row r="3" spans="1:11">
      <c r="A3" s="201" t="s">
        <v>22</v>
      </c>
      <c r="B3" s="143" t="s">
        <v>13</v>
      </c>
      <c r="C3" s="143" t="s">
        <v>26</v>
      </c>
      <c r="D3" s="143" t="s">
        <v>14</v>
      </c>
      <c r="E3" s="143" t="s">
        <v>15</v>
      </c>
      <c r="F3" s="143" t="s">
        <v>29</v>
      </c>
      <c r="G3" s="143" t="s">
        <v>43</v>
      </c>
      <c r="H3" s="143" t="s">
        <v>0</v>
      </c>
      <c r="I3" s="143" t="s">
        <v>1</v>
      </c>
      <c r="J3" s="143" t="s">
        <v>2</v>
      </c>
      <c r="K3" s="143" t="s">
        <v>19</v>
      </c>
    </row>
    <row r="4" spans="1:11">
      <c r="A4" s="202">
        <v>1</v>
      </c>
      <c r="B4" s="203" t="s">
        <v>1230</v>
      </c>
      <c r="C4" s="61" t="s">
        <v>4458</v>
      </c>
      <c r="D4" s="61" t="s">
        <v>24</v>
      </c>
      <c r="E4" s="204">
        <v>1956148.85</v>
      </c>
      <c r="F4" s="205">
        <f>E4*0.97</f>
        <v>1897464.3844999999</v>
      </c>
      <c r="G4" s="206">
        <f>E4*0.94</f>
        <v>1838779.919</v>
      </c>
      <c r="H4" s="61">
        <v>1256.69</v>
      </c>
      <c r="I4" s="61">
        <v>835.49</v>
      </c>
      <c r="J4" s="61">
        <v>421.19</v>
      </c>
      <c r="K4" s="61" t="s">
        <v>1227</v>
      </c>
    </row>
    <row r="5" spans="1:11">
      <c r="A5" s="202">
        <v>2</v>
      </c>
      <c r="B5" s="203" t="s">
        <v>1231</v>
      </c>
      <c r="C5" s="61" t="s">
        <v>5</v>
      </c>
      <c r="D5" s="61" t="s">
        <v>24</v>
      </c>
      <c r="E5" s="204">
        <v>1914748.85</v>
      </c>
      <c r="F5" s="205">
        <f t="shared" ref="F5:F67" si="0">E5*0.97</f>
        <v>1857306.3844999999</v>
      </c>
      <c r="G5" s="206">
        <f t="shared" ref="G5:G67" si="1">E5*0.94</f>
        <v>1799863.919</v>
      </c>
      <c r="H5" s="61">
        <v>1209.54</v>
      </c>
      <c r="I5" s="61">
        <v>823.01</v>
      </c>
      <c r="J5" s="61">
        <v>386.53</v>
      </c>
      <c r="K5" s="61" t="s">
        <v>1308</v>
      </c>
    </row>
    <row r="6" spans="1:11">
      <c r="A6" s="202">
        <v>3</v>
      </c>
      <c r="B6" s="203" t="s">
        <v>1232</v>
      </c>
      <c r="C6" s="61" t="s">
        <v>4</v>
      </c>
      <c r="D6" s="61" t="s">
        <v>24</v>
      </c>
      <c r="E6" s="204">
        <v>1912448.85</v>
      </c>
      <c r="F6" s="205">
        <f t="shared" si="0"/>
        <v>1855075.3844999999</v>
      </c>
      <c r="G6" s="206">
        <f t="shared" si="1"/>
        <v>1797701.919</v>
      </c>
      <c r="H6" s="61">
        <v>1209.54</v>
      </c>
      <c r="I6" s="61">
        <v>823.01</v>
      </c>
      <c r="J6" s="61">
        <v>386.53</v>
      </c>
      <c r="K6" s="61" t="s">
        <v>1308</v>
      </c>
    </row>
    <row r="7" spans="1:11">
      <c r="A7" s="202">
        <v>4</v>
      </c>
      <c r="B7" s="203" t="s">
        <v>1233</v>
      </c>
      <c r="C7" s="61" t="s">
        <v>4458</v>
      </c>
      <c r="D7" s="61" t="s">
        <v>24</v>
      </c>
      <c r="E7" s="204">
        <v>1910148.85</v>
      </c>
      <c r="F7" s="205">
        <f t="shared" si="0"/>
        <v>1852844.3844999999</v>
      </c>
      <c r="G7" s="206">
        <f t="shared" si="1"/>
        <v>1795539.919</v>
      </c>
      <c r="H7" s="61">
        <v>1209.54</v>
      </c>
      <c r="I7" s="61">
        <v>823.01</v>
      </c>
      <c r="J7" s="61">
        <v>386.53</v>
      </c>
      <c r="K7" s="61" t="s">
        <v>1308</v>
      </c>
    </row>
    <row r="8" spans="1:11">
      <c r="A8" s="202">
        <v>5</v>
      </c>
      <c r="B8" s="203" t="s">
        <v>1234</v>
      </c>
      <c r="C8" s="61" t="s">
        <v>12</v>
      </c>
      <c r="D8" s="61" t="s">
        <v>36</v>
      </c>
      <c r="E8" s="204">
        <v>1263999</v>
      </c>
      <c r="F8" s="205">
        <f t="shared" si="0"/>
        <v>1226079.03</v>
      </c>
      <c r="G8" s="206">
        <f t="shared" si="1"/>
        <v>1188159.0599999998</v>
      </c>
      <c r="H8" s="61">
        <v>833.13</v>
      </c>
      <c r="I8" s="61">
        <v>628.17999999999995</v>
      </c>
      <c r="J8" s="61">
        <v>204.94</v>
      </c>
      <c r="K8" s="61" t="s">
        <v>1309</v>
      </c>
    </row>
    <row r="9" spans="1:11">
      <c r="A9" s="202">
        <v>6</v>
      </c>
      <c r="B9" s="203" t="s">
        <v>1235</v>
      </c>
      <c r="C9" s="61" t="s">
        <v>4459</v>
      </c>
      <c r="D9" s="61" t="s">
        <v>36</v>
      </c>
      <c r="E9" s="204">
        <v>1261999</v>
      </c>
      <c r="F9" s="205">
        <f t="shared" si="0"/>
        <v>1224139.03</v>
      </c>
      <c r="G9" s="206">
        <f t="shared" si="1"/>
        <v>1186279.0599999998</v>
      </c>
      <c r="H9" s="61">
        <v>833.13</v>
      </c>
      <c r="I9" s="61">
        <v>628.17999999999995</v>
      </c>
      <c r="J9" s="61">
        <v>204.94</v>
      </c>
      <c r="K9" s="61" t="s">
        <v>1309</v>
      </c>
    </row>
    <row r="10" spans="1:11">
      <c r="A10" s="202">
        <v>7</v>
      </c>
      <c r="B10" s="203" t="s">
        <v>1236</v>
      </c>
      <c r="C10" s="61" t="s">
        <v>5</v>
      </c>
      <c r="D10" s="61" t="s">
        <v>36</v>
      </c>
      <c r="E10" s="204">
        <v>1260999</v>
      </c>
      <c r="F10" s="205">
        <f t="shared" si="0"/>
        <v>1223169.03</v>
      </c>
      <c r="G10" s="206">
        <f t="shared" si="1"/>
        <v>1185339.0599999998</v>
      </c>
      <c r="H10" s="61">
        <v>833.13</v>
      </c>
      <c r="I10" s="61">
        <v>628.17999999999995</v>
      </c>
      <c r="J10" s="61">
        <v>204.94</v>
      </c>
      <c r="K10" s="61" t="s">
        <v>1309</v>
      </c>
    </row>
    <row r="11" spans="1:11">
      <c r="A11" s="202">
        <v>8</v>
      </c>
      <c r="B11" s="203" t="s">
        <v>1237</v>
      </c>
      <c r="C11" s="61" t="s">
        <v>4</v>
      </c>
      <c r="D11" s="61" t="s">
        <v>36</v>
      </c>
      <c r="E11" s="204">
        <v>1258999</v>
      </c>
      <c r="F11" s="205">
        <f t="shared" si="0"/>
        <v>1221229.03</v>
      </c>
      <c r="G11" s="206">
        <f t="shared" si="1"/>
        <v>1183459.0599999998</v>
      </c>
      <c r="H11" s="61">
        <v>833.13</v>
      </c>
      <c r="I11" s="61">
        <v>628.17999999999995</v>
      </c>
      <c r="J11" s="61">
        <v>204.94</v>
      </c>
      <c r="K11" s="61" t="s">
        <v>1309</v>
      </c>
    </row>
    <row r="12" spans="1:11">
      <c r="A12" s="202">
        <v>9</v>
      </c>
      <c r="B12" s="203" t="s">
        <v>1238</v>
      </c>
      <c r="C12" s="61" t="s">
        <v>4458</v>
      </c>
      <c r="D12" s="61" t="s">
        <v>36</v>
      </c>
      <c r="E12" s="204">
        <v>1257999</v>
      </c>
      <c r="F12" s="205">
        <f t="shared" si="0"/>
        <v>1220259.03</v>
      </c>
      <c r="G12" s="206">
        <f t="shared" si="1"/>
        <v>1182519.0599999998</v>
      </c>
      <c r="H12" s="61">
        <v>833.13</v>
      </c>
      <c r="I12" s="61">
        <v>628.17999999999995</v>
      </c>
      <c r="J12" s="61">
        <v>204.94</v>
      </c>
      <c r="K12" s="61" t="s">
        <v>1309</v>
      </c>
    </row>
    <row r="13" spans="1:11">
      <c r="A13" s="202">
        <v>10</v>
      </c>
      <c r="B13" s="203" t="s">
        <v>1239</v>
      </c>
      <c r="C13" s="61" t="s">
        <v>7</v>
      </c>
      <c r="D13" s="61" t="s">
        <v>36</v>
      </c>
      <c r="E13" s="204">
        <v>1255999</v>
      </c>
      <c r="F13" s="205">
        <f t="shared" si="0"/>
        <v>1218319.03</v>
      </c>
      <c r="G13" s="206">
        <f t="shared" si="1"/>
        <v>1180639.0599999998</v>
      </c>
      <c r="H13" s="61">
        <v>833.13</v>
      </c>
      <c r="I13" s="61">
        <v>628.17999999999995</v>
      </c>
      <c r="J13" s="61">
        <v>204.94</v>
      </c>
      <c r="K13" s="61" t="s">
        <v>1309</v>
      </c>
    </row>
    <row r="14" spans="1:11">
      <c r="A14" s="202">
        <v>11</v>
      </c>
      <c r="B14" s="203" t="s">
        <v>1240</v>
      </c>
      <c r="C14" s="61" t="s">
        <v>8</v>
      </c>
      <c r="D14" s="61" t="s">
        <v>36</v>
      </c>
      <c r="E14" s="204">
        <v>1253999</v>
      </c>
      <c r="F14" s="205">
        <f t="shared" si="0"/>
        <v>1216379.03</v>
      </c>
      <c r="G14" s="206">
        <f t="shared" si="1"/>
        <v>1178759.0599999998</v>
      </c>
      <c r="H14" s="61">
        <v>833.13</v>
      </c>
      <c r="I14" s="61">
        <v>628.17999999999995</v>
      </c>
      <c r="J14" s="61">
        <v>204.94</v>
      </c>
      <c r="K14" s="61" t="s">
        <v>1309</v>
      </c>
    </row>
    <row r="15" spans="1:11">
      <c r="A15" s="202">
        <v>12</v>
      </c>
      <c r="B15" s="203" t="s">
        <v>1241</v>
      </c>
      <c r="C15" s="61" t="s">
        <v>9</v>
      </c>
      <c r="D15" s="61" t="s">
        <v>36</v>
      </c>
      <c r="E15" s="204">
        <v>1252999</v>
      </c>
      <c r="F15" s="205">
        <f t="shared" si="0"/>
        <v>1215409.03</v>
      </c>
      <c r="G15" s="206">
        <f t="shared" si="1"/>
        <v>1177819.0599999998</v>
      </c>
      <c r="H15" s="61">
        <v>833.13</v>
      </c>
      <c r="I15" s="61">
        <v>628.17999999999995</v>
      </c>
      <c r="J15" s="61">
        <v>204.94</v>
      </c>
      <c r="K15" s="61" t="s">
        <v>1309</v>
      </c>
    </row>
    <row r="16" spans="1:11">
      <c r="A16" s="202">
        <v>13</v>
      </c>
      <c r="B16" s="203" t="s">
        <v>1242</v>
      </c>
      <c r="C16" s="61" t="s">
        <v>12</v>
      </c>
      <c r="D16" s="61" t="s">
        <v>36</v>
      </c>
      <c r="E16" s="204">
        <v>1251999</v>
      </c>
      <c r="F16" s="205">
        <f t="shared" si="0"/>
        <v>1214439.03</v>
      </c>
      <c r="G16" s="206">
        <f t="shared" si="1"/>
        <v>1176879.0599999998</v>
      </c>
      <c r="H16" s="61">
        <v>826.35</v>
      </c>
      <c r="I16" s="61">
        <v>621.4</v>
      </c>
      <c r="J16" s="61">
        <v>204.94</v>
      </c>
      <c r="K16" s="61" t="s">
        <v>1309</v>
      </c>
    </row>
    <row r="17" spans="1:11">
      <c r="A17" s="202">
        <v>14</v>
      </c>
      <c r="B17" s="203" t="s">
        <v>1243</v>
      </c>
      <c r="C17" s="61" t="s">
        <v>10</v>
      </c>
      <c r="D17" s="61" t="s">
        <v>36</v>
      </c>
      <c r="E17" s="204">
        <v>1251999</v>
      </c>
      <c r="F17" s="205">
        <f t="shared" si="0"/>
        <v>1214439.03</v>
      </c>
      <c r="G17" s="206">
        <f t="shared" si="1"/>
        <v>1176879.0599999998</v>
      </c>
      <c r="H17" s="61">
        <v>833.13</v>
      </c>
      <c r="I17" s="61">
        <v>628.17999999999995</v>
      </c>
      <c r="J17" s="61">
        <v>204.94</v>
      </c>
      <c r="K17" s="61" t="s">
        <v>1309</v>
      </c>
    </row>
    <row r="18" spans="1:11">
      <c r="A18" s="202">
        <v>15</v>
      </c>
      <c r="B18" s="203" t="s">
        <v>1244</v>
      </c>
      <c r="C18" s="61" t="s">
        <v>3</v>
      </c>
      <c r="D18" s="61" t="s">
        <v>36</v>
      </c>
      <c r="E18" s="204">
        <v>1249999</v>
      </c>
      <c r="F18" s="205">
        <f t="shared" si="0"/>
        <v>1212499.03</v>
      </c>
      <c r="G18" s="206">
        <f t="shared" si="1"/>
        <v>1174999.0599999998</v>
      </c>
      <c r="H18" s="61">
        <v>832.59</v>
      </c>
      <c r="I18" s="61">
        <v>628.17999999999995</v>
      </c>
      <c r="J18" s="61">
        <v>204.41</v>
      </c>
      <c r="K18" s="61" t="s">
        <v>1309</v>
      </c>
    </row>
    <row r="19" spans="1:11">
      <c r="A19" s="202">
        <v>16</v>
      </c>
      <c r="B19" s="203" t="s">
        <v>1245</v>
      </c>
      <c r="C19" s="61" t="s">
        <v>4459</v>
      </c>
      <c r="D19" s="61" t="s">
        <v>36</v>
      </c>
      <c r="E19" s="204">
        <v>1249999</v>
      </c>
      <c r="F19" s="205">
        <f t="shared" si="0"/>
        <v>1212499.03</v>
      </c>
      <c r="G19" s="206">
        <f t="shared" si="1"/>
        <v>1174999.0599999998</v>
      </c>
      <c r="H19" s="61">
        <v>826.35</v>
      </c>
      <c r="I19" s="61">
        <v>621.4</v>
      </c>
      <c r="J19" s="61">
        <v>204.94</v>
      </c>
      <c r="K19" s="61" t="s">
        <v>1309</v>
      </c>
    </row>
    <row r="20" spans="1:11">
      <c r="A20" s="202">
        <v>17</v>
      </c>
      <c r="B20" s="203" t="s">
        <v>1246</v>
      </c>
      <c r="C20" s="61" t="s">
        <v>5</v>
      </c>
      <c r="D20" s="61" t="s">
        <v>36</v>
      </c>
      <c r="E20" s="204">
        <v>1247999</v>
      </c>
      <c r="F20" s="205">
        <f t="shared" si="0"/>
        <v>1210559.03</v>
      </c>
      <c r="G20" s="206">
        <f t="shared" si="1"/>
        <v>1173119.0599999998</v>
      </c>
      <c r="H20" s="61">
        <v>826.35</v>
      </c>
      <c r="I20" s="61">
        <v>621.4</v>
      </c>
      <c r="J20" s="61">
        <v>204.94</v>
      </c>
      <c r="K20" s="61" t="s">
        <v>1309</v>
      </c>
    </row>
    <row r="21" spans="1:11">
      <c r="A21" s="202">
        <v>18</v>
      </c>
      <c r="B21" s="203" t="s">
        <v>1247</v>
      </c>
      <c r="C21" s="61" t="s">
        <v>4</v>
      </c>
      <c r="D21" s="61" t="s">
        <v>36</v>
      </c>
      <c r="E21" s="204">
        <v>1246999</v>
      </c>
      <c r="F21" s="205">
        <f t="shared" si="0"/>
        <v>1209589.03</v>
      </c>
      <c r="G21" s="206">
        <f t="shared" si="1"/>
        <v>1172179.0599999998</v>
      </c>
      <c r="H21" s="61">
        <v>826.35</v>
      </c>
      <c r="I21" s="61">
        <v>621.4</v>
      </c>
      <c r="J21" s="61">
        <v>204.94</v>
      </c>
      <c r="K21" s="61" t="s">
        <v>1309</v>
      </c>
    </row>
    <row r="22" spans="1:11">
      <c r="A22" s="202">
        <v>19</v>
      </c>
      <c r="B22" s="203" t="s">
        <v>1248</v>
      </c>
      <c r="C22" s="61" t="s">
        <v>4458</v>
      </c>
      <c r="D22" s="61" t="s">
        <v>36</v>
      </c>
      <c r="E22" s="204">
        <v>1245999</v>
      </c>
      <c r="F22" s="205">
        <f t="shared" si="0"/>
        <v>1208619.03</v>
      </c>
      <c r="G22" s="206">
        <f t="shared" si="1"/>
        <v>1171239.0599999998</v>
      </c>
      <c r="H22" s="61">
        <v>826.35</v>
      </c>
      <c r="I22" s="61">
        <v>621.4</v>
      </c>
      <c r="J22" s="61">
        <v>204.94</v>
      </c>
      <c r="K22" s="61" t="s">
        <v>1309</v>
      </c>
    </row>
    <row r="23" spans="1:11">
      <c r="A23" s="202">
        <v>20</v>
      </c>
      <c r="B23" s="203" t="s">
        <v>1249</v>
      </c>
      <c r="C23" s="61" t="s">
        <v>9</v>
      </c>
      <c r="D23" s="61" t="s">
        <v>36</v>
      </c>
      <c r="E23" s="204">
        <v>1240999</v>
      </c>
      <c r="F23" s="205">
        <f t="shared" si="0"/>
        <v>1203769.03</v>
      </c>
      <c r="G23" s="206">
        <f t="shared" si="1"/>
        <v>1166539.0599999998</v>
      </c>
      <c r="H23" s="61">
        <v>826.35</v>
      </c>
      <c r="I23" s="61">
        <v>621.4</v>
      </c>
      <c r="J23" s="61">
        <v>204.94</v>
      </c>
      <c r="K23" s="61" t="s">
        <v>1309</v>
      </c>
    </row>
    <row r="24" spans="1:11">
      <c r="A24" s="202">
        <v>21</v>
      </c>
      <c r="B24" s="203" t="s">
        <v>1250</v>
      </c>
      <c r="C24" s="61" t="s">
        <v>10</v>
      </c>
      <c r="D24" s="61" t="s">
        <v>36</v>
      </c>
      <c r="E24" s="204">
        <v>1239999</v>
      </c>
      <c r="F24" s="205">
        <f t="shared" si="0"/>
        <v>1202799.03</v>
      </c>
      <c r="G24" s="206">
        <f t="shared" si="1"/>
        <v>1165599.0599999998</v>
      </c>
      <c r="H24" s="61">
        <v>826.35</v>
      </c>
      <c r="I24" s="61">
        <v>621.4</v>
      </c>
      <c r="J24" s="61">
        <v>204.94</v>
      </c>
      <c r="K24" s="61" t="s">
        <v>1309</v>
      </c>
    </row>
    <row r="25" spans="1:11">
      <c r="A25" s="202">
        <v>22</v>
      </c>
      <c r="B25" s="203" t="s">
        <v>1251</v>
      </c>
      <c r="C25" s="61" t="s">
        <v>12</v>
      </c>
      <c r="D25" s="61" t="s">
        <v>36</v>
      </c>
      <c r="E25" s="204">
        <v>1212999</v>
      </c>
      <c r="F25" s="205">
        <f t="shared" si="0"/>
        <v>1176609.03</v>
      </c>
      <c r="G25" s="206">
        <f t="shared" si="1"/>
        <v>1140219.0599999998</v>
      </c>
      <c r="H25" s="61">
        <v>842.38</v>
      </c>
      <c r="I25" s="61">
        <v>596.64</v>
      </c>
      <c r="J25" s="61">
        <v>245.74</v>
      </c>
      <c r="K25" s="61" t="s">
        <v>1310</v>
      </c>
    </row>
    <row r="26" spans="1:11">
      <c r="A26" s="202">
        <v>23</v>
      </c>
      <c r="B26" s="203" t="s">
        <v>1252</v>
      </c>
      <c r="C26" s="61" t="s">
        <v>4459</v>
      </c>
      <c r="D26" s="61" t="s">
        <v>36</v>
      </c>
      <c r="E26" s="204">
        <v>1210999</v>
      </c>
      <c r="F26" s="205">
        <f t="shared" si="0"/>
        <v>1174669.03</v>
      </c>
      <c r="G26" s="206">
        <f t="shared" si="1"/>
        <v>1138339.0599999998</v>
      </c>
      <c r="H26" s="61">
        <v>842.38</v>
      </c>
      <c r="I26" s="61">
        <v>596.64</v>
      </c>
      <c r="J26" s="61">
        <v>245.74</v>
      </c>
      <c r="K26" s="61" t="s">
        <v>1310</v>
      </c>
    </row>
    <row r="27" spans="1:11">
      <c r="A27" s="202">
        <v>24</v>
      </c>
      <c r="B27" s="203" t="s">
        <v>1253</v>
      </c>
      <c r="C27" s="61" t="s">
        <v>5</v>
      </c>
      <c r="D27" s="61" t="s">
        <v>36</v>
      </c>
      <c r="E27" s="204">
        <v>1208999</v>
      </c>
      <c r="F27" s="205">
        <f t="shared" si="0"/>
        <v>1172729.03</v>
      </c>
      <c r="G27" s="206">
        <f t="shared" si="1"/>
        <v>1136459.0599999998</v>
      </c>
      <c r="H27" s="61">
        <v>842.28</v>
      </c>
      <c r="I27" s="61">
        <v>596.54</v>
      </c>
      <c r="J27" s="61">
        <v>245.74</v>
      </c>
      <c r="K27" s="61" t="s">
        <v>1310</v>
      </c>
    </row>
    <row r="28" spans="1:11">
      <c r="A28" s="202">
        <v>25</v>
      </c>
      <c r="B28" s="203" t="s">
        <v>4773</v>
      </c>
      <c r="C28" s="61" t="s">
        <v>4</v>
      </c>
      <c r="D28" s="61" t="s">
        <v>36</v>
      </c>
      <c r="E28" s="204">
        <v>1207999</v>
      </c>
      <c r="F28" s="205">
        <f t="shared" si="0"/>
        <v>1171759.03</v>
      </c>
      <c r="G28" s="206">
        <f t="shared" si="1"/>
        <v>1135519.0599999998</v>
      </c>
      <c r="H28" s="61">
        <v>842.28</v>
      </c>
      <c r="I28" s="61">
        <v>596.54</v>
      </c>
      <c r="J28" s="61">
        <v>245.74</v>
      </c>
      <c r="K28" s="61" t="s">
        <v>1310</v>
      </c>
    </row>
    <row r="29" spans="1:11">
      <c r="A29" s="202">
        <v>26</v>
      </c>
      <c r="B29" s="203" t="s">
        <v>1254</v>
      </c>
      <c r="C29" s="61" t="s">
        <v>4458</v>
      </c>
      <c r="D29" s="61" t="s">
        <v>36</v>
      </c>
      <c r="E29" s="204">
        <v>1206999</v>
      </c>
      <c r="F29" s="205">
        <f t="shared" si="0"/>
        <v>1170789.03</v>
      </c>
      <c r="G29" s="206">
        <f t="shared" si="1"/>
        <v>1134579.0599999998</v>
      </c>
      <c r="H29" s="61">
        <v>842.28</v>
      </c>
      <c r="I29" s="61">
        <v>596.54</v>
      </c>
      <c r="J29" s="61">
        <v>245.74</v>
      </c>
      <c r="K29" s="61" t="s">
        <v>1310</v>
      </c>
    </row>
    <row r="30" spans="1:11">
      <c r="A30" s="202">
        <v>27</v>
      </c>
      <c r="B30" s="203" t="s">
        <v>1255</v>
      </c>
      <c r="C30" s="61" t="s">
        <v>8</v>
      </c>
      <c r="D30" s="61" t="s">
        <v>36</v>
      </c>
      <c r="E30" s="204">
        <v>1202999</v>
      </c>
      <c r="F30" s="205">
        <f t="shared" si="0"/>
        <v>1166909.03</v>
      </c>
      <c r="G30" s="206">
        <f t="shared" si="1"/>
        <v>1130819.0599999998</v>
      </c>
      <c r="H30" s="61">
        <v>842.28</v>
      </c>
      <c r="I30" s="61">
        <v>596.54</v>
      </c>
      <c r="J30" s="61">
        <v>245.74</v>
      </c>
      <c r="K30" s="61" t="s">
        <v>1310</v>
      </c>
    </row>
    <row r="31" spans="1:11">
      <c r="A31" s="202">
        <v>28</v>
      </c>
      <c r="B31" s="203" t="s">
        <v>1256</v>
      </c>
      <c r="C31" s="61" t="s">
        <v>9</v>
      </c>
      <c r="D31" s="61" t="s">
        <v>36</v>
      </c>
      <c r="E31" s="204">
        <v>1201999</v>
      </c>
      <c r="F31" s="205">
        <f t="shared" si="0"/>
        <v>1165939.03</v>
      </c>
      <c r="G31" s="206">
        <f t="shared" si="1"/>
        <v>1129879.0599999998</v>
      </c>
      <c r="H31" s="61">
        <v>842.28</v>
      </c>
      <c r="I31" s="61">
        <v>596.54</v>
      </c>
      <c r="J31" s="61">
        <v>245.74</v>
      </c>
      <c r="K31" s="61" t="s">
        <v>1310</v>
      </c>
    </row>
    <row r="32" spans="1:11">
      <c r="A32" s="202">
        <v>29</v>
      </c>
      <c r="B32" s="203" t="s">
        <v>1257</v>
      </c>
      <c r="C32" s="61" t="s">
        <v>10</v>
      </c>
      <c r="D32" s="61" t="s">
        <v>36</v>
      </c>
      <c r="E32" s="204">
        <v>1200999</v>
      </c>
      <c r="F32" s="205">
        <f t="shared" si="0"/>
        <v>1164969.03</v>
      </c>
      <c r="G32" s="206">
        <f t="shared" si="1"/>
        <v>1128939.0599999998</v>
      </c>
      <c r="H32" s="61">
        <v>842.38</v>
      </c>
      <c r="I32" s="61">
        <v>596.64</v>
      </c>
      <c r="J32" s="61">
        <v>245.74</v>
      </c>
      <c r="K32" s="61" t="s">
        <v>1310</v>
      </c>
    </row>
    <row r="33" spans="1:11">
      <c r="A33" s="202">
        <v>30</v>
      </c>
      <c r="B33" s="203" t="s">
        <v>4521</v>
      </c>
      <c r="C33" s="61" t="s">
        <v>3</v>
      </c>
      <c r="D33" s="61" t="s">
        <v>36</v>
      </c>
      <c r="E33" s="204">
        <v>1199999</v>
      </c>
      <c r="F33" s="205">
        <f t="shared" si="0"/>
        <v>1163999.03</v>
      </c>
      <c r="G33" s="206">
        <f t="shared" si="1"/>
        <v>1127999.0599999998</v>
      </c>
      <c r="H33" s="61">
        <v>842.38</v>
      </c>
      <c r="I33" s="61">
        <v>596.64</v>
      </c>
      <c r="J33" s="61">
        <v>245.74</v>
      </c>
      <c r="K33" s="61" t="s">
        <v>1310</v>
      </c>
    </row>
    <row r="34" spans="1:11">
      <c r="A34" s="202">
        <v>31</v>
      </c>
      <c r="B34" s="203" t="s">
        <v>4630</v>
      </c>
      <c r="C34" s="61" t="s">
        <v>4469</v>
      </c>
      <c r="D34" s="61" t="s">
        <v>36</v>
      </c>
      <c r="E34" s="204">
        <v>1184999</v>
      </c>
      <c r="F34" s="205">
        <f t="shared" si="0"/>
        <v>1149449.03</v>
      </c>
      <c r="G34" s="206">
        <f t="shared" si="1"/>
        <v>1113899.0599999998</v>
      </c>
      <c r="H34" s="61">
        <v>723.87</v>
      </c>
      <c r="I34" s="61">
        <v>575.65</v>
      </c>
      <c r="J34" s="61">
        <v>148.22</v>
      </c>
      <c r="K34" s="61" t="s">
        <v>1308</v>
      </c>
    </row>
    <row r="35" spans="1:11">
      <c r="A35" s="202">
        <v>32</v>
      </c>
      <c r="B35" s="203" t="s">
        <v>4999</v>
      </c>
      <c r="C35" s="61" t="s">
        <v>4469</v>
      </c>
      <c r="D35" s="61" t="s">
        <v>36</v>
      </c>
      <c r="E35" s="204">
        <v>1183999</v>
      </c>
      <c r="F35" s="205">
        <f t="shared" si="0"/>
        <v>1148479.03</v>
      </c>
      <c r="G35" s="206">
        <f t="shared" si="1"/>
        <v>1112959.0599999998</v>
      </c>
      <c r="H35" s="61">
        <v>723.66</v>
      </c>
      <c r="I35" s="61">
        <v>575.44000000000005</v>
      </c>
      <c r="J35" s="61">
        <v>148.22</v>
      </c>
      <c r="K35" s="61" t="s">
        <v>1308</v>
      </c>
    </row>
    <row r="36" spans="1:11">
      <c r="A36" s="202">
        <v>33</v>
      </c>
      <c r="B36" s="203" t="s">
        <v>5000</v>
      </c>
      <c r="C36" s="61" t="s">
        <v>4468</v>
      </c>
      <c r="D36" s="61" t="s">
        <v>36</v>
      </c>
      <c r="E36" s="204">
        <v>1182999</v>
      </c>
      <c r="F36" s="205">
        <f t="shared" si="0"/>
        <v>1147509.03</v>
      </c>
      <c r="G36" s="206">
        <f t="shared" si="1"/>
        <v>1112019.0599999998</v>
      </c>
      <c r="H36" s="61">
        <v>723.66</v>
      </c>
      <c r="I36" s="61">
        <v>575.44000000000005</v>
      </c>
      <c r="J36" s="61">
        <v>148.22</v>
      </c>
      <c r="K36" s="61" t="s">
        <v>1308</v>
      </c>
    </row>
    <row r="37" spans="1:11">
      <c r="A37" s="202">
        <v>34</v>
      </c>
      <c r="B37" s="203" t="s">
        <v>5001</v>
      </c>
      <c r="C37" s="61" t="s">
        <v>4469</v>
      </c>
      <c r="D37" s="61" t="s">
        <v>36</v>
      </c>
      <c r="E37" s="204">
        <v>1176999</v>
      </c>
      <c r="F37" s="205">
        <f t="shared" si="0"/>
        <v>1141689.03</v>
      </c>
      <c r="G37" s="206">
        <f t="shared" si="1"/>
        <v>1106379.0599999998</v>
      </c>
      <c r="H37" s="61">
        <v>721.18</v>
      </c>
      <c r="I37" s="61">
        <v>572.96</v>
      </c>
      <c r="J37" s="61">
        <v>148.22</v>
      </c>
      <c r="K37" s="61" t="s">
        <v>1308</v>
      </c>
    </row>
    <row r="38" spans="1:11">
      <c r="A38" s="202">
        <v>35</v>
      </c>
      <c r="B38" s="203" t="s">
        <v>5002</v>
      </c>
      <c r="C38" s="61" t="s">
        <v>4469</v>
      </c>
      <c r="D38" s="61" t="s">
        <v>36</v>
      </c>
      <c r="E38" s="204">
        <v>1176999</v>
      </c>
      <c r="F38" s="205">
        <f t="shared" si="0"/>
        <v>1141689.03</v>
      </c>
      <c r="G38" s="206">
        <f t="shared" si="1"/>
        <v>1106379.0599999998</v>
      </c>
      <c r="H38" s="61">
        <v>721.07</v>
      </c>
      <c r="I38" s="61">
        <v>572.86</v>
      </c>
      <c r="J38" s="61">
        <v>148.22</v>
      </c>
      <c r="K38" s="61" t="s">
        <v>1308</v>
      </c>
    </row>
    <row r="39" spans="1:11">
      <c r="A39" s="202">
        <v>36</v>
      </c>
      <c r="B39" s="203" t="s">
        <v>5003</v>
      </c>
      <c r="C39" s="61" t="s">
        <v>4469</v>
      </c>
      <c r="D39" s="61" t="s">
        <v>36</v>
      </c>
      <c r="E39" s="204">
        <v>1176999</v>
      </c>
      <c r="F39" s="205">
        <f t="shared" si="0"/>
        <v>1141689.03</v>
      </c>
      <c r="G39" s="206">
        <f t="shared" si="1"/>
        <v>1106379.0599999998</v>
      </c>
      <c r="H39" s="61">
        <v>721.07</v>
      </c>
      <c r="I39" s="61">
        <v>572.86</v>
      </c>
      <c r="J39" s="61">
        <v>148.22</v>
      </c>
      <c r="K39" s="61" t="s">
        <v>1308</v>
      </c>
    </row>
    <row r="40" spans="1:11">
      <c r="A40" s="202">
        <v>37</v>
      </c>
      <c r="B40" s="203" t="s">
        <v>4774</v>
      </c>
      <c r="C40" s="61" t="s">
        <v>4468</v>
      </c>
      <c r="D40" s="61" t="s">
        <v>36</v>
      </c>
      <c r="E40" s="204">
        <v>1175999</v>
      </c>
      <c r="F40" s="205">
        <f t="shared" si="0"/>
        <v>1140719.03</v>
      </c>
      <c r="G40" s="206">
        <f t="shared" si="1"/>
        <v>1105439.0599999998</v>
      </c>
      <c r="H40" s="61">
        <v>721.29</v>
      </c>
      <c r="I40" s="61">
        <v>573.07000000000005</v>
      </c>
      <c r="J40" s="61">
        <v>148.22</v>
      </c>
      <c r="K40" s="61" t="s">
        <v>1308</v>
      </c>
    </row>
    <row r="41" spans="1:11">
      <c r="A41" s="202">
        <v>38</v>
      </c>
      <c r="B41" s="203" t="s">
        <v>1258</v>
      </c>
      <c r="C41" s="61" t="s">
        <v>4494</v>
      </c>
      <c r="D41" s="61" t="s">
        <v>36</v>
      </c>
      <c r="E41" s="204">
        <v>1173999</v>
      </c>
      <c r="F41" s="205">
        <f t="shared" si="0"/>
        <v>1138779.03</v>
      </c>
      <c r="G41" s="206">
        <f t="shared" si="1"/>
        <v>1103559.0599999998</v>
      </c>
      <c r="H41" s="61">
        <v>723.66</v>
      </c>
      <c r="I41" s="61">
        <v>575.44000000000005</v>
      </c>
      <c r="J41" s="61">
        <v>148.22</v>
      </c>
      <c r="K41" s="61" t="s">
        <v>1308</v>
      </c>
    </row>
    <row r="42" spans="1:11">
      <c r="A42" s="202">
        <v>39</v>
      </c>
      <c r="B42" s="203" t="s">
        <v>1259</v>
      </c>
      <c r="C42" s="61" t="s">
        <v>33</v>
      </c>
      <c r="D42" s="61" t="s">
        <v>36</v>
      </c>
      <c r="E42" s="204">
        <v>1172999</v>
      </c>
      <c r="F42" s="205">
        <f t="shared" si="0"/>
        <v>1137809.03</v>
      </c>
      <c r="G42" s="206">
        <f t="shared" si="1"/>
        <v>1102619.0599999998</v>
      </c>
      <c r="H42" s="61">
        <v>723.66</v>
      </c>
      <c r="I42" s="61">
        <v>575.44000000000005</v>
      </c>
      <c r="J42" s="61">
        <v>148.22</v>
      </c>
      <c r="K42" s="61" t="s">
        <v>1308</v>
      </c>
    </row>
    <row r="43" spans="1:11">
      <c r="A43" s="202">
        <v>40</v>
      </c>
      <c r="B43" s="203" t="s">
        <v>4522</v>
      </c>
      <c r="C43" s="61" t="s">
        <v>34</v>
      </c>
      <c r="D43" s="61" t="s">
        <v>36</v>
      </c>
      <c r="E43" s="204">
        <v>1171999</v>
      </c>
      <c r="F43" s="205">
        <f t="shared" si="0"/>
        <v>1136839.03</v>
      </c>
      <c r="G43" s="206">
        <f t="shared" si="1"/>
        <v>1101679.0599999998</v>
      </c>
      <c r="H43" s="61">
        <v>723.87</v>
      </c>
      <c r="I43" s="61">
        <v>575.65</v>
      </c>
      <c r="J43" s="61">
        <v>148.22</v>
      </c>
      <c r="K43" s="61" t="s">
        <v>1308</v>
      </c>
    </row>
    <row r="44" spans="1:11">
      <c r="A44" s="202">
        <v>41</v>
      </c>
      <c r="B44" s="203" t="s">
        <v>4523</v>
      </c>
      <c r="C44" s="61" t="s">
        <v>34</v>
      </c>
      <c r="D44" s="61" t="s">
        <v>36</v>
      </c>
      <c r="E44" s="204">
        <v>1171999</v>
      </c>
      <c r="F44" s="205">
        <f t="shared" si="0"/>
        <v>1136839.03</v>
      </c>
      <c r="G44" s="206">
        <f t="shared" si="1"/>
        <v>1101679.0599999998</v>
      </c>
      <c r="H44" s="61">
        <v>723.66</v>
      </c>
      <c r="I44" s="61">
        <v>575.44000000000005</v>
      </c>
      <c r="J44" s="61">
        <v>148.22</v>
      </c>
      <c r="K44" s="61" t="s">
        <v>1308</v>
      </c>
    </row>
    <row r="45" spans="1:11">
      <c r="A45" s="202">
        <v>42</v>
      </c>
      <c r="B45" s="203" t="s">
        <v>4343</v>
      </c>
      <c r="C45" s="61" t="s">
        <v>11</v>
      </c>
      <c r="D45" s="61" t="s">
        <v>36</v>
      </c>
      <c r="E45" s="204">
        <v>1167999</v>
      </c>
      <c r="F45" s="205">
        <f t="shared" si="0"/>
        <v>1132959.03</v>
      </c>
      <c r="G45" s="206">
        <f t="shared" si="1"/>
        <v>1097919.0599999998</v>
      </c>
      <c r="H45" s="61">
        <v>723.66</v>
      </c>
      <c r="I45" s="61">
        <v>575.44000000000005</v>
      </c>
      <c r="J45" s="61">
        <v>148.22</v>
      </c>
      <c r="K45" s="61" t="s">
        <v>1308</v>
      </c>
    </row>
    <row r="46" spans="1:11">
      <c r="A46" s="202">
        <v>43</v>
      </c>
      <c r="B46" s="203" t="s">
        <v>4344</v>
      </c>
      <c r="C46" s="61" t="s">
        <v>32</v>
      </c>
      <c r="D46" s="61" t="s">
        <v>36</v>
      </c>
      <c r="E46" s="204">
        <v>1165999</v>
      </c>
      <c r="F46" s="205">
        <f t="shared" si="0"/>
        <v>1131019.03</v>
      </c>
      <c r="G46" s="206">
        <f t="shared" si="1"/>
        <v>1096039.0599999998</v>
      </c>
      <c r="H46" s="61">
        <v>723.66</v>
      </c>
      <c r="I46" s="61">
        <v>575.44000000000005</v>
      </c>
      <c r="J46" s="61">
        <v>148.22</v>
      </c>
      <c r="K46" s="61" t="s">
        <v>1308</v>
      </c>
    </row>
    <row r="47" spans="1:11">
      <c r="A47" s="202">
        <v>44</v>
      </c>
      <c r="B47" s="203" t="s">
        <v>1260</v>
      </c>
      <c r="C47" s="61" t="s">
        <v>34</v>
      </c>
      <c r="D47" s="61" t="s">
        <v>36</v>
      </c>
      <c r="E47" s="204">
        <v>1165999</v>
      </c>
      <c r="F47" s="205">
        <f t="shared" si="0"/>
        <v>1131019.03</v>
      </c>
      <c r="G47" s="206">
        <f t="shared" si="1"/>
        <v>1096039.0599999998</v>
      </c>
      <c r="H47" s="61">
        <v>721.72</v>
      </c>
      <c r="I47" s="61">
        <v>573.5</v>
      </c>
      <c r="J47" s="61">
        <v>148.22</v>
      </c>
      <c r="K47" s="61" t="s">
        <v>1308</v>
      </c>
    </row>
    <row r="48" spans="1:11">
      <c r="A48" s="202">
        <v>45</v>
      </c>
      <c r="B48" s="203" t="s">
        <v>1261</v>
      </c>
      <c r="C48" s="61" t="s">
        <v>34</v>
      </c>
      <c r="D48" s="61" t="s">
        <v>36</v>
      </c>
      <c r="E48" s="204">
        <v>1164999</v>
      </c>
      <c r="F48" s="205">
        <f t="shared" si="0"/>
        <v>1130049.03</v>
      </c>
      <c r="G48" s="206">
        <f t="shared" si="1"/>
        <v>1095099.0599999998</v>
      </c>
      <c r="H48" s="61">
        <v>721.29</v>
      </c>
      <c r="I48" s="61">
        <v>573.07000000000005</v>
      </c>
      <c r="J48" s="61">
        <v>148.22</v>
      </c>
      <c r="K48" s="61" t="s">
        <v>1308</v>
      </c>
    </row>
    <row r="49" spans="1:11">
      <c r="A49" s="202">
        <v>46</v>
      </c>
      <c r="B49" s="203" t="s">
        <v>1262</v>
      </c>
      <c r="C49" s="61" t="s">
        <v>34</v>
      </c>
      <c r="D49" s="61" t="s">
        <v>36</v>
      </c>
      <c r="E49" s="204">
        <v>1164999</v>
      </c>
      <c r="F49" s="205">
        <f t="shared" si="0"/>
        <v>1130049.03</v>
      </c>
      <c r="G49" s="206">
        <f t="shared" si="1"/>
        <v>1095099.0599999998</v>
      </c>
      <c r="H49" s="61">
        <v>721.18</v>
      </c>
      <c r="I49" s="61">
        <v>572.96</v>
      </c>
      <c r="J49" s="61">
        <v>148.22</v>
      </c>
      <c r="K49" s="61" t="s">
        <v>1308</v>
      </c>
    </row>
    <row r="50" spans="1:11">
      <c r="A50" s="202">
        <v>47</v>
      </c>
      <c r="B50" s="203" t="s">
        <v>1263</v>
      </c>
      <c r="C50" s="61" t="s">
        <v>4</v>
      </c>
      <c r="D50" s="61" t="s">
        <v>36</v>
      </c>
      <c r="E50" s="204">
        <v>1162999</v>
      </c>
      <c r="F50" s="205">
        <f t="shared" si="0"/>
        <v>1128109.03</v>
      </c>
      <c r="G50" s="206">
        <f t="shared" si="1"/>
        <v>1093219.0599999998</v>
      </c>
      <c r="H50" s="61">
        <v>723.66</v>
      </c>
      <c r="I50" s="61">
        <v>575.44000000000005</v>
      </c>
      <c r="J50" s="61">
        <v>148.22</v>
      </c>
      <c r="K50" s="61" t="s">
        <v>1308</v>
      </c>
    </row>
    <row r="51" spans="1:11">
      <c r="A51" s="202">
        <v>48</v>
      </c>
      <c r="B51" s="203" t="s">
        <v>4597</v>
      </c>
      <c r="C51" s="61" t="s">
        <v>4460</v>
      </c>
      <c r="D51" s="61" t="s">
        <v>36</v>
      </c>
      <c r="E51" s="204">
        <v>1162999</v>
      </c>
      <c r="F51" s="205">
        <f t="shared" si="0"/>
        <v>1128109.03</v>
      </c>
      <c r="G51" s="206">
        <f t="shared" si="1"/>
        <v>1093219.0599999998</v>
      </c>
      <c r="H51" s="61">
        <v>721.29</v>
      </c>
      <c r="I51" s="61">
        <v>573.07000000000005</v>
      </c>
      <c r="J51" s="61">
        <v>148.22</v>
      </c>
      <c r="K51" s="61" t="s">
        <v>1308</v>
      </c>
    </row>
    <row r="52" spans="1:11">
      <c r="A52" s="202">
        <v>49</v>
      </c>
      <c r="B52" s="203" t="s">
        <v>4345</v>
      </c>
      <c r="C52" s="61" t="s">
        <v>11</v>
      </c>
      <c r="D52" s="61" t="s">
        <v>36</v>
      </c>
      <c r="E52" s="204">
        <v>1161999</v>
      </c>
      <c r="F52" s="205">
        <f t="shared" si="0"/>
        <v>1127139.03</v>
      </c>
      <c r="G52" s="206">
        <f t="shared" si="1"/>
        <v>1092279.0599999998</v>
      </c>
      <c r="H52" s="61">
        <v>721.72</v>
      </c>
      <c r="I52" s="61">
        <v>573.5</v>
      </c>
      <c r="J52" s="61">
        <v>148.22</v>
      </c>
      <c r="K52" s="61" t="s">
        <v>1308</v>
      </c>
    </row>
    <row r="53" spans="1:11">
      <c r="A53" s="202">
        <v>50</v>
      </c>
      <c r="B53" s="203" t="s">
        <v>4642</v>
      </c>
      <c r="C53" s="61" t="s">
        <v>4458</v>
      </c>
      <c r="D53" s="61" t="s">
        <v>36</v>
      </c>
      <c r="E53" s="204">
        <v>1161999</v>
      </c>
      <c r="F53" s="205">
        <f t="shared" si="0"/>
        <v>1127139.03</v>
      </c>
      <c r="G53" s="206">
        <f t="shared" si="1"/>
        <v>1092279.0599999998</v>
      </c>
      <c r="H53" s="61">
        <v>723.87</v>
      </c>
      <c r="I53" s="61">
        <v>575.65</v>
      </c>
      <c r="J53" s="61">
        <v>148.22</v>
      </c>
      <c r="K53" s="61" t="s">
        <v>1308</v>
      </c>
    </row>
    <row r="54" spans="1:11">
      <c r="A54" s="202">
        <v>51</v>
      </c>
      <c r="B54" s="203" t="s">
        <v>1264</v>
      </c>
      <c r="C54" s="61" t="s">
        <v>4458</v>
      </c>
      <c r="D54" s="61" t="s">
        <v>36</v>
      </c>
      <c r="E54" s="204">
        <v>1161999</v>
      </c>
      <c r="F54" s="205">
        <f t="shared" si="0"/>
        <v>1127139.03</v>
      </c>
      <c r="G54" s="206">
        <f t="shared" si="1"/>
        <v>1092279.0599999998</v>
      </c>
      <c r="H54" s="61">
        <v>723.66</v>
      </c>
      <c r="I54" s="61">
        <v>575.44000000000005</v>
      </c>
      <c r="J54" s="61">
        <v>148.22</v>
      </c>
      <c r="K54" s="61" t="s">
        <v>1308</v>
      </c>
    </row>
    <row r="55" spans="1:11">
      <c r="A55" s="202">
        <v>52</v>
      </c>
      <c r="B55" s="203" t="s">
        <v>4346</v>
      </c>
      <c r="C55" s="61" t="s">
        <v>11</v>
      </c>
      <c r="D55" s="61" t="s">
        <v>36</v>
      </c>
      <c r="E55" s="204">
        <v>1160999</v>
      </c>
      <c r="F55" s="205">
        <f t="shared" si="0"/>
        <v>1126169.03</v>
      </c>
      <c r="G55" s="206">
        <f t="shared" si="1"/>
        <v>1091339.0599999998</v>
      </c>
      <c r="H55" s="61">
        <v>721.18</v>
      </c>
      <c r="I55" s="61">
        <v>572.96</v>
      </c>
      <c r="J55" s="61">
        <v>148.22</v>
      </c>
      <c r="K55" s="61" t="s">
        <v>1308</v>
      </c>
    </row>
    <row r="56" spans="1:11">
      <c r="A56" s="202">
        <v>53</v>
      </c>
      <c r="B56" s="203" t="s">
        <v>4347</v>
      </c>
      <c r="C56" s="61" t="s">
        <v>11</v>
      </c>
      <c r="D56" s="61" t="s">
        <v>36</v>
      </c>
      <c r="E56" s="204">
        <v>1160999</v>
      </c>
      <c r="F56" s="205">
        <f t="shared" si="0"/>
        <v>1126169.03</v>
      </c>
      <c r="G56" s="206">
        <f t="shared" si="1"/>
        <v>1091339.0599999998</v>
      </c>
      <c r="H56" s="61">
        <v>721.18</v>
      </c>
      <c r="I56" s="61">
        <v>572.96</v>
      </c>
      <c r="J56" s="61">
        <v>148.22</v>
      </c>
      <c r="K56" s="61" t="s">
        <v>1308</v>
      </c>
    </row>
    <row r="57" spans="1:11">
      <c r="A57" s="202">
        <v>54</v>
      </c>
      <c r="B57" s="203" t="s">
        <v>1265</v>
      </c>
      <c r="C57" s="61" t="s">
        <v>12</v>
      </c>
      <c r="D57" s="61" t="s">
        <v>36</v>
      </c>
      <c r="E57" s="204">
        <v>1160999</v>
      </c>
      <c r="F57" s="205">
        <f t="shared" si="0"/>
        <v>1126169.03</v>
      </c>
      <c r="G57" s="206">
        <f t="shared" si="1"/>
        <v>1091339.0599999998</v>
      </c>
      <c r="H57" s="61">
        <v>721.5</v>
      </c>
      <c r="I57" s="61">
        <v>573.29</v>
      </c>
      <c r="J57" s="61">
        <v>148.22</v>
      </c>
      <c r="K57" s="61" t="s">
        <v>1308</v>
      </c>
    </row>
    <row r="58" spans="1:11">
      <c r="A58" s="202">
        <v>55</v>
      </c>
      <c r="B58" s="203" t="s">
        <v>1266</v>
      </c>
      <c r="C58" s="61" t="s">
        <v>11</v>
      </c>
      <c r="D58" s="61" t="s">
        <v>36</v>
      </c>
      <c r="E58" s="204">
        <v>1160999</v>
      </c>
      <c r="F58" s="205">
        <f t="shared" si="0"/>
        <v>1126169.03</v>
      </c>
      <c r="G58" s="206">
        <f t="shared" si="1"/>
        <v>1091339.0599999998</v>
      </c>
      <c r="H58" s="61">
        <v>721.18</v>
      </c>
      <c r="I58" s="61">
        <v>572.96</v>
      </c>
      <c r="J58" s="61">
        <v>148.22</v>
      </c>
      <c r="K58" s="61" t="s">
        <v>1308</v>
      </c>
    </row>
    <row r="59" spans="1:11">
      <c r="A59" s="202">
        <v>56</v>
      </c>
      <c r="B59" s="203" t="s">
        <v>1267</v>
      </c>
      <c r="C59" s="61" t="s">
        <v>12</v>
      </c>
      <c r="D59" s="61" t="s">
        <v>36</v>
      </c>
      <c r="E59" s="204">
        <v>1159999</v>
      </c>
      <c r="F59" s="205">
        <f t="shared" si="0"/>
        <v>1125199.03</v>
      </c>
      <c r="G59" s="206">
        <f t="shared" si="1"/>
        <v>1090399.0599999998</v>
      </c>
      <c r="H59" s="61">
        <v>721.18</v>
      </c>
      <c r="I59" s="61">
        <v>572.96</v>
      </c>
      <c r="J59" s="61">
        <v>148.22</v>
      </c>
      <c r="K59" s="61" t="s">
        <v>1308</v>
      </c>
    </row>
    <row r="60" spans="1:11">
      <c r="A60" s="202">
        <v>57</v>
      </c>
      <c r="B60" s="203" t="s">
        <v>1268</v>
      </c>
      <c r="C60" s="61" t="s">
        <v>12</v>
      </c>
      <c r="D60" s="61" t="s">
        <v>36</v>
      </c>
      <c r="E60" s="204">
        <v>1159999</v>
      </c>
      <c r="F60" s="205">
        <f t="shared" si="0"/>
        <v>1125199.03</v>
      </c>
      <c r="G60" s="206">
        <f t="shared" si="1"/>
        <v>1090399.0599999998</v>
      </c>
      <c r="H60" s="61">
        <v>721.29</v>
      </c>
      <c r="I60" s="61">
        <v>573.07000000000005</v>
      </c>
      <c r="J60" s="61">
        <v>148.22</v>
      </c>
      <c r="K60" s="61" t="s">
        <v>1308</v>
      </c>
    </row>
    <row r="61" spans="1:11">
      <c r="A61" s="202">
        <v>58</v>
      </c>
      <c r="B61" s="203" t="s">
        <v>1269</v>
      </c>
      <c r="C61" s="61" t="s">
        <v>12</v>
      </c>
      <c r="D61" s="61" t="s">
        <v>36</v>
      </c>
      <c r="E61" s="204">
        <v>1159999</v>
      </c>
      <c r="F61" s="205">
        <f t="shared" si="0"/>
        <v>1125199.03</v>
      </c>
      <c r="G61" s="206">
        <f t="shared" si="1"/>
        <v>1090399.0599999998</v>
      </c>
      <c r="H61" s="61">
        <v>721.18</v>
      </c>
      <c r="I61" s="61">
        <v>572.96</v>
      </c>
      <c r="J61" s="61">
        <v>148.22</v>
      </c>
      <c r="K61" s="61" t="s">
        <v>1308</v>
      </c>
    </row>
    <row r="62" spans="1:11">
      <c r="A62" s="202">
        <v>59</v>
      </c>
      <c r="B62" s="203" t="s">
        <v>1270</v>
      </c>
      <c r="C62" s="61" t="s">
        <v>12</v>
      </c>
      <c r="D62" s="61" t="s">
        <v>36</v>
      </c>
      <c r="E62" s="204">
        <v>1159999</v>
      </c>
      <c r="F62" s="205">
        <f t="shared" si="0"/>
        <v>1125199.03</v>
      </c>
      <c r="G62" s="206">
        <f t="shared" si="1"/>
        <v>1090399.0599999998</v>
      </c>
      <c r="H62" s="61">
        <v>721.18</v>
      </c>
      <c r="I62" s="61">
        <v>572.96</v>
      </c>
      <c r="J62" s="61">
        <v>148.22</v>
      </c>
      <c r="K62" s="61" t="s">
        <v>1308</v>
      </c>
    </row>
    <row r="63" spans="1:11">
      <c r="A63" s="202">
        <v>60</v>
      </c>
      <c r="B63" s="203" t="s">
        <v>1271</v>
      </c>
      <c r="C63" s="61" t="s">
        <v>12</v>
      </c>
      <c r="D63" s="61" t="s">
        <v>36</v>
      </c>
      <c r="E63" s="204">
        <v>1159999</v>
      </c>
      <c r="F63" s="205">
        <f t="shared" si="0"/>
        <v>1125199.03</v>
      </c>
      <c r="G63" s="206">
        <f t="shared" si="1"/>
        <v>1090399.0599999998</v>
      </c>
      <c r="H63" s="61">
        <v>721.29</v>
      </c>
      <c r="I63" s="61">
        <v>573.07000000000005</v>
      </c>
      <c r="J63" s="61">
        <v>148.22</v>
      </c>
      <c r="K63" s="61" t="s">
        <v>1308</v>
      </c>
    </row>
    <row r="64" spans="1:11">
      <c r="A64" s="202">
        <v>61</v>
      </c>
      <c r="B64" s="203" t="s">
        <v>1272</v>
      </c>
      <c r="C64" s="61" t="s">
        <v>12</v>
      </c>
      <c r="D64" s="61" t="s">
        <v>36</v>
      </c>
      <c r="E64" s="204">
        <v>1159999</v>
      </c>
      <c r="F64" s="205">
        <f t="shared" si="0"/>
        <v>1125199.03</v>
      </c>
      <c r="G64" s="206">
        <f t="shared" si="1"/>
        <v>1090399.0599999998</v>
      </c>
      <c r="H64" s="61">
        <v>721.18</v>
      </c>
      <c r="I64" s="61">
        <v>572.96</v>
      </c>
      <c r="J64" s="61">
        <v>148.22</v>
      </c>
      <c r="K64" s="61" t="s">
        <v>1308</v>
      </c>
    </row>
    <row r="65" spans="1:11">
      <c r="A65" s="202">
        <v>62</v>
      </c>
      <c r="B65" s="203" t="s">
        <v>1273</v>
      </c>
      <c r="C65" s="61" t="s">
        <v>12</v>
      </c>
      <c r="D65" s="61" t="s">
        <v>36</v>
      </c>
      <c r="E65" s="204">
        <v>1159999</v>
      </c>
      <c r="F65" s="205">
        <f t="shared" si="0"/>
        <v>1125199.03</v>
      </c>
      <c r="G65" s="206">
        <f t="shared" si="1"/>
        <v>1090399.0599999998</v>
      </c>
      <c r="H65" s="61">
        <v>721.18</v>
      </c>
      <c r="I65" s="61">
        <v>572.96</v>
      </c>
      <c r="J65" s="61">
        <v>148.22</v>
      </c>
      <c r="K65" s="61" t="s">
        <v>1308</v>
      </c>
    </row>
    <row r="66" spans="1:11">
      <c r="A66" s="202">
        <v>63</v>
      </c>
      <c r="B66" s="203" t="s">
        <v>4348</v>
      </c>
      <c r="C66" s="61" t="s">
        <v>32</v>
      </c>
      <c r="D66" s="61" t="s">
        <v>36</v>
      </c>
      <c r="E66" s="204">
        <v>1158999</v>
      </c>
      <c r="F66" s="205">
        <f t="shared" si="0"/>
        <v>1124229.03</v>
      </c>
      <c r="G66" s="206">
        <f t="shared" si="1"/>
        <v>1089459.0599999998</v>
      </c>
      <c r="H66" s="61">
        <v>721.29</v>
      </c>
      <c r="I66" s="61">
        <v>573.07000000000005</v>
      </c>
      <c r="J66" s="61">
        <v>148.22</v>
      </c>
      <c r="K66" s="61" t="s">
        <v>1308</v>
      </c>
    </row>
    <row r="67" spans="1:11">
      <c r="A67" s="202">
        <v>64</v>
      </c>
      <c r="B67" s="203" t="s">
        <v>4349</v>
      </c>
      <c r="C67" s="61" t="s">
        <v>32</v>
      </c>
      <c r="D67" s="61" t="s">
        <v>36</v>
      </c>
      <c r="E67" s="204">
        <v>1158999</v>
      </c>
      <c r="F67" s="205">
        <f t="shared" si="0"/>
        <v>1124229.03</v>
      </c>
      <c r="G67" s="206">
        <f t="shared" si="1"/>
        <v>1089459.0599999998</v>
      </c>
      <c r="H67" s="61">
        <v>721.18</v>
      </c>
      <c r="I67" s="61">
        <v>572.96</v>
      </c>
      <c r="J67" s="61">
        <v>148.22</v>
      </c>
      <c r="K67" s="61" t="s">
        <v>1308</v>
      </c>
    </row>
    <row r="68" spans="1:11">
      <c r="A68" s="202">
        <v>65</v>
      </c>
      <c r="B68" s="203" t="s">
        <v>4350</v>
      </c>
      <c r="C68" s="61" t="s">
        <v>32</v>
      </c>
      <c r="D68" s="61" t="s">
        <v>36</v>
      </c>
      <c r="E68" s="204">
        <v>1158999</v>
      </c>
      <c r="F68" s="205">
        <f t="shared" ref="F68:F105" si="2">E68*0.97</f>
        <v>1124229.03</v>
      </c>
      <c r="G68" s="206">
        <f t="shared" ref="G68:G105" si="3">E68*0.94</f>
        <v>1089459.0599999998</v>
      </c>
      <c r="H68" s="61">
        <v>721.18</v>
      </c>
      <c r="I68" s="61">
        <v>572.96</v>
      </c>
      <c r="J68" s="61">
        <v>148.22</v>
      </c>
      <c r="K68" s="61" t="s">
        <v>1308</v>
      </c>
    </row>
    <row r="69" spans="1:11">
      <c r="A69" s="202">
        <v>66</v>
      </c>
      <c r="B69" s="203" t="s">
        <v>1274</v>
      </c>
      <c r="C69" s="61" t="s">
        <v>4459</v>
      </c>
      <c r="D69" s="61" t="s">
        <v>36</v>
      </c>
      <c r="E69" s="204">
        <v>1157999</v>
      </c>
      <c r="F69" s="205">
        <f t="shared" si="2"/>
        <v>1123259.03</v>
      </c>
      <c r="G69" s="206">
        <f t="shared" si="3"/>
        <v>1088519.0599999998</v>
      </c>
      <c r="H69" s="61">
        <v>721.29</v>
      </c>
      <c r="I69" s="61">
        <v>573.07000000000005</v>
      </c>
      <c r="J69" s="61">
        <v>148.22</v>
      </c>
      <c r="K69" s="61" t="s">
        <v>1308</v>
      </c>
    </row>
    <row r="70" spans="1:11">
      <c r="A70" s="202">
        <v>67</v>
      </c>
      <c r="B70" s="203" t="s">
        <v>1275</v>
      </c>
      <c r="C70" s="61" t="s">
        <v>4459</v>
      </c>
      <c r="D70" s="61" t="s">
        <v>36</v>
      </c>
      <c r="E70" s="204">
        <v>1157999</v>
      </c>
      <c r="F70" s="205">
        <f t="shared" si="2"/>
        <v>1123259.03</v>
      </c>
      <c r="G70" s="206">
        <f t="shared" si="3"/>
        <v>1088519.0599999998</v>
      </c>
      <c r="H70" s="61">
        <v>721.18</v>
      </c>
      <c r="I70" s="61">
        <v>572.96</v>
      </c>
      <c r="J70" s="61">
        <v>148.22</v>
      </c>
      <c r="K70" s="61" t="s">
        <v>1308</v>
      </c>
    </row>
    <row r="71" spans="1:11">
      <c r="A71" s="202">
        <v>68</v>
      </c>
      <c r="B71" s="203" t="s">
        <v>1276</v>
      </c>
      <c r="C71" s="61" t="s">
        <v>5</v>
      </c>
      <c r="D71" s="61" t="s">
        <v>36</v>
      </c>
      <c r="E71" s="204">
        <v>1157999</v>
      </c>
      <c r="F71" s="205">
        <f t="shared" si="2"/>
        <v>1123259.03</v>
      </c>
      <c r="G71" s="206">
        <f t="shared" si="3"/>
        <v>1088519.0599999998</v>
      </c>
      <c r="H71" s="61">
        <v>721.72</v>
      </c>
      <c r="I71" s="61">
        <v>573.5</v>
      </c>
      <c r="J71" s="61">
        <v>148.22</v>
      </c>
      <c r="K71" s="61" t="s">
        <v>1308</v>
      </c>
    </row>
    <row r="72" spans="1:11">
      <c r="A72" s="202">
        <v>69</v>
      </c>
      <c r="B72" s="203" t="s">
        <v>1277</v>
      </c>
      <c r="C72" s="61" t="s">
        <v>4459</v>
      </c>
      <c r="D72" s="61" t="s">
        <v>36</v>
      </c>
      <c r="E72" s="204">
        <v>1157999</v>
      </c>
      <c r="F72" s="205">
        <f t="shared" si="2"/>
        <v>1123259.03</v>
      </c>
      <c r="G72" s="206">
        <f t="shared" si="3"/>
        <v>1088519.0599999998</v>
      </c>
      <c r="H72" s="61">
        <v>721.18</v>
      </c>
      <c r="I72" s="61">
        <v>572.96</v>
      </c>
      <c r="J72" s="61">
        <v>148.22</v>
      </c>
      <c r="K72" s="61" t="s">
        <v>1308</v>
      </c>
    </row>
    <row r="73" spans="1:11">
      <c r="A73" s="202">
        <v>70</v>
      </c>
      <c r="B73" s="203" t="s">
        <v>1278</v>
      </c>
      <c r="C73" s="61" t="s">
        <v>4459</v>
      </c>
      <c r="D73" s="61" t="s">
        <v>36</v>
      </c>
      <c r="E73" s="204">
        <v>1157999</v>
      </c>
      <c r="F73" s="205">
        <f t="shared" si="2"/>
        <v>1123259.03</v>
      </c>
      <c r="G73" s="206">
        <f t="shared" si="3"/>
        <v>1088519.0599999998</v>
      </c>
      <c r="H73" s="61">
        <v>721.18</v>
      </c>
      <c r="I73" s="61">
        <v>572.96</v>
      </c>
      <c r="J73" s="61">
        <v>148.22</v>
      </c>
      <c r="K73" s="61" t="s">
        <v>1308</v>
      </c>
    </row>
    <row r="74" spans="1:11">
      <c r="A74" s="202">
        <v>71</v>
      </c>
      <c r="B74" s="203" t="s">
        <v>1279</v>
      </c>
      <c r="C74" s="61" t="s">
        <v>4459</v>
      </c>
      <c r="D74" s="61" t="s">
        <v>36</v>
      </c>
      <c r="E74" s="204">
        <v>1157999</v>
      </c>
      <c r="F74" s="205">
        <f t="shared" si="2"/>
        <v>1123259.03</v>
      </c>
      <c r="G74" s="206">
        <f t="shared" si="3"/>
        <v>1088519.0599999998</v>
      </c>
      <c r="H74" s="61">
        <v>721.18</v>
      </c>
      <c r="I74" s="61">
        <v>572.96</v>
      </c>
      <c r="J74" s="61">
        <v>148.22</v>
      </c>
      <c r="K74" s="61" t="s">
        <v>1308</v>
      </c>
    </row>
    <row r="75" spans="1:11">
      <c r="A75" s="202">
        <v>72</v>
      </c>
      <c r="B75" s="203" t="s">
        <v>1280</v>
      </c>
      <c r="C75" s="61" t="s">
        <v>4459</v>
      </c>
      <c r="D75" s="61" t="s">
        <v>36</v>
      </c>
      <c r="E75" s="204">
        <v>1157999</v>
      </c>
      <c r="F75" s="205">
        <f t="shared" si="2"/>
        <v>1123259.03</v>
      </c>
      <c r="G75" s="206">
        <f t="shared" si="3"/>
        <v>1088519.0599999998</v>
      </c>
      <c r="H75" s="61">
        <v>721.18</v>
      </c>
      <c r="I75" s="61">
        <v>572.96</v>
      </c>
      <c r="J75" s="61">
        <v>148.22</v>
      </c>
      <c r="K75" s="61" t="s">
        <v>1308</v>
      </c>
    </row>
    <row r="76" spans="1:11">
      <c r="A76" s="202">
        <v>73</v>
      </c>
      <c r="B76" s="203" t="s">
        <v>1281</v>
      </c>
      <c r="C76" s="61" t="s">
        <v>5</v>
      </c>
      <c r="D76" s="61" t="s">
        <v>36</v>
      </c>
      <c r="E76" s="204">
        <v>1156999</v>
      </c>
      <c r="F76" s="205">
        <f t="shared" si="2"/>
        <v>1122289.03</v>
      </c>
      <c r="G76" s="206">
        <f t="shared" si="3"/>
        <v>1087579.0599999998</v>
      </c>
      <c r="H76" s="61">
        <v>721.29</v>
      </c>
      <c r="I76" s="61">
        <v>573.07000000000005</v>
      </c>
      <c r="J76" s="61">
        <v>148.22</v>
      </c>
      <c r="K76" s="61" t="s">
        <v>1308</v>
      </c>
    </row>
    <row r="77" spans="1:11">
      <c r="A77" s="202">
        <v>74</v>
      </c>
      <c r="B77" s="203" t="s">
        <v>1282</v>
      </c>
      <c r="C77" s="61" t="s">
        <v>4</v>
      </c>
      <c r="D77" s="61" t="s">
        <v>36</v>
      </c>
      <c r="E77" s="204">
        <v>1156999</v>
      </c>
      <c r="F77" s="205">
        <f t="shared" si="2"/>
        <v>1122289.03</v>
      </c>
      <c r="G77" s="206">
        <f t="shared" si="3"/>
        <v>1087579.0599999998</v>
      </c>
      <c r="H77" s="61">
        <v>721.72</v>
      </c>
      <c r="I77" s="61">
        <v>573.5</v>
      </c>
      <c r="J77" s="61">
        <v>148.22</v>
      </c>
      <c r="K77" s="61" t="s">
        <v>1308</v>
      </c>
    </row>
    <row r="78" spans="1:11">
      <c r="A78" s="202">
        <v>75</v>
      </c>
      <c r="B78" s="203" t="s">
        <v>1283</v>
      </c>
      <c r="C78" s="61" t="s">
        <v>9</v>
      </c>
      <c r="D78" s="61" t="s">
        <v>36</v>
      </c>
      <c r="E78" s="204">
        <v>1156999</v>
      </c>
      <c r="F78" s="205">
        <f t="shared" si="2"/>
        <v>1122289.03</v>
      </c>
      <c r="G78" s="206">
        <f t="shared" si="3"/>
        <v>1087579.0599999998</v>
      </c>
      <c r="H78" s="61">
        <v>723.66</v>
      </c>
      <c r="I78" s="61">
        <v>575.44000000000005</v>
      </c>
      <c r="J78" s="61">
        <v>148.22</v>
      </c>
      <c r="K78" s="61" t="s">
        <v>1308</v>
      </c>
    </row>
    <row r="79" spans="1:11">
      <c r="A79" s="202">
        <v>76</v>
      </c>
      <c r="B79" s="203" t="s">
        <v>1284</v>
      </c>
      <c r="C79" s="61" t="s">
        <v>4458</v>
      </c>
      <c r="D79" s="61" t="s">
        <v>36</v>
      </c>
      <c r="E79" s="204">
        <v>1155999</v>
      </c>
      <c r="F79" s="205">
        <f t="shared" si="2"/>
        <v>1121319.03</v>
      </c>
      <c r="G79" s="206">
        <f t="shared" si="3"/>
        <v>1086639.0599999998</v>
      </c>
      <c r="H79" s="61">
        <v>721.72</v>
      </c>
      <c r="I79" s="61">
        <v>573.5</v>
      </c>
      <c r="J79" s="61">
        <v>148.22</v>
      </c>
      <c r="K79" s="61" t="s">
        <v>1308</v>
      </c>
    </row>
    <row r="80" spans="1:11">
      <c r="A80" s="202">
        <v>77</v>
      </c>
      <c r="B80" s="203" t="s">
        <v>1285</v>
      </c>
      <c r="C80" s="61" t="s">
        <v>4</v>
      </c>
      <c r="D80" s="61" t="s">
        <v>36</v>
      </c>
      <c r="E80" s="204">
        <v>1155999</v>
      </c>
      <c r="F80" s="205">
        <f t="shared" si="2"/>
        <v>1121319.03</v>
      </c>
      <c r="G80" s="206">
        <f t="shared" si="3"/>
        <v>1086639.0599999998</v>
      </c>
      <c r="H80" s="61">
        <v>721.29</v>
      </c>
      <c r="I80" s="61">
        <v>573.07000000000005</v>
      </c>
      <c r="J80" s="61">
        <v>148.22</v>
      </c>
      <c r="K80" s="61" t="s">
        <v>1308</v>
      </c>
    </row>
    <row r="81" spans="1:11">
      <c r="A81" s="202">
        <v>78</v>
      </c>
      <c r="B81" s="203" t="s">
        <v>1286</v>
      </c>
      <c r="C81" s="61" t="s">
        <v>4458</v>
      </c>
      <c r="D81" s="61" t="s">
        <v>36</v>
      </c>
      <c r="E81" s="204">
        <v>1154999</v>
      </c>
      <c r="F81" s="205">
        <f t="shared" si="2"/>
        <v>1120349.03</v>
      </c>
      <c r="G81" s="206">
        <f t="shared" si="3"/>
        <v>1085699.0599999998</v>
      </c>
      <c r="H81" s="61">
        <v>721.29</v>
      </c>
      <c r="I81" s="61">
        <v>573.07000000000005</v>
      </c>
      <c r="J81" s="61">
        <v>148.22</v>
      </c>
      <c r="K81" s="61" t="s">
        <v>1308</v>
      </c>
    </row>
    <row r="82" spans="1:11">
      <c r="A82" s="202">
        <v>79</v>
      </c>
      <c r="B82" s="203" t="s">
        <v>1287</v>
      </c>
      <c r="C82" s="61" t="s">
        <v>3</v>
      </c>
      <c r="D82" s="61" t="s">
        <v>36</v>
      </c>
      <c r="E82" s="204">
        <v>1154999</v>
      </c>
      <c r="F82" s="205">
        <f t="shared" si="2"/>
        <v>1120349.03</v>
      </c>
      <c r="G82" s="206">
        <f t="shared" si="3"/>
        <v>1085699.0599999998</v>
      </c>
      <c r="H82" s="61">
        <v>723.87</v>
      </c>
      <c r="I82" s="61">
        <v>575.65</v>
      </c>
      <c r="J82" s="61">
        <v>148.22</v>
      </c>
      <c r="K82" s="61" t="s">
        <v>1308</v>
      </c>
    </row>
    <row r="83" spans="1:11">
      <c r="A83" s="202">
        <v>80</v>
      </c>
      <c r="B83" s="203" t="s">
        <v>1288</v>
      </c>
      <c r="C83" s="61" t="s">
        <v>8</v>
      </c>
      <c r="D83" s="61" t="s">
        <v>36</v>
      </c>
      <c r="E83" s="204">
        <v>1150999</v>
      </c>
      <c r="F83" s="205">
        <f t="shared" si="2"/>
        <v>1116469.03</v>
      </c>
      <c r="G83" s="206">
        <f t="shared" si="3"/>
        <v>1081939.0599999998</v>
      </c>
      <c r="H83" s="61">
        <v>721.29</v>
      </c>
      <c r="I83" s="61">
        <v>573.07000000000005</v>
      </c>
      <c r="J83" s="61">
        <v>148.22</v>
      </c>
      <c r="K83" s="61" t="s">
        <v>1308</v>
      </c>
    </row>
    <row r="84" spans="1:11">
      <c r="A84" s="202">
        <v>81</v>
      </c>
      <c r="B84" s="203" t="s">
        <v>1289</v>
      </c>
      <c r="C84" s="61" t="s">
        <v>9</v>
      </c>
      <c r="D84" s="61" t="s">
        <v>36</v>
      </c>
      <c r="E84" s="204">
        <v>1149999</v>
      </c>
      <c r="F84" s="205">
        <f t="shared" si="2"/>
        <v>1115499.03</v>
      </c>
      <c r="G84" s="206">
        <f t="shared" si="3"/>
        <v>1080999.0599999998</v>
      </c>
      <c r="H84" s="61">
        <v>721.29</v>
      </c>
      <c r="I84" s="61">
        <v>573.07000000000005</v>
      </c>
      <c r="J84" s="61">
        <v>148.22</v>
      </c>
      <c r="K84" s="61" t="s">
        <v>1308</v>
      </c>
    </row>
    <row r="85" spans="1:11">
      <c r="A85" s="202">
        <v>82</v>
      </c>
      <c r="B85" s="203" t="s">
        <v>1290</v>
      </c>
      <c r="C85" s="61" t="s">
        <v>10</v>
      </c>
      <c r="D85" s="61" t="s">
        <v>36</v>
      </c>
      <c r="E85" s="204">
        <v>1148999</v>
      </c>
      <c r="F85" s="205">
        <f t="shared" si="2"/>
        <v>1114529.03</v>
      </c>
      <c r="G85" s="206">
        <f t="shared" si="3"/>
        <v>1080059.0599999998</v>
      </c>
      <c r="H85" s="61">
        <v>721.29</v>
      </c>
      <c r="I85" s="61">
        <v>573.07000000000005</v>
      </c>
      <c r="J85" s="61">
        <v>148.22</v>
      </c>
      <c r="K85" s="61" t="s">
        <v>1308</v>
      </c>
    </row>
    <row r="86" spans="1:11">
      <c r="A86" s="202">
        <v>83</v>
      </c>
      <c r="B86" s="203" t="s">
        <v>1291</v>
      </c>
      <c r="C86" s="61" t="s">
        <v>3</v>
      </c>
      <c r="D86" s="61" t="s">
        <v>36</v>
      </c>
      <c r="E86" s="204">
        <v>1147999</v>
      </c>
      <c r="F86" s="205">
        <f t="shared" si="2"/>
        <v>1113559.03</v>
      </c>
      <c r="G86" s="206">
        <f t="shared" si="3"/>
        <v>1079119.0599999998</v>
      </c>
      <c r="H86" s="61">
        <v>721.29</v>
      </c>
      <c r="I86" s="61">
        <v>573.07000000000005</v>
      </c>
      <c r="J86" s="61">
        <v>148.22</v>
      </c>
      <c r="K86" s="61" t="s">
        <v>1308</v>
      </c>
    </row>
    <row r="87" spans="1:11">
      <c r="A87" s="202">
        <v>84</v>
      </c>
      <c r="B87" s="203" t="s">
        <v>4598</v>
      </c>
      <c r="C87" s="61" t="s">
        <v>4495</v>
      </c>
      <c r="D87" s="61" t="s">
        <v>36</v>
      </c>
      <c r="E87" s="204">
        <v>1122999</v>
      </c>
      <c r="F87" s="205">
        <f t="shared" si="2"/>
        <v>1089309.03</v>
      </c>
      <c r="G87" s="206">
        <f t="shared" si="3"/>
        <v>1055619.06</v>
      </c>
      <c r="H87" s="61">
        <v>739.91</v>
      </c>
      <c r="I87" s="61">
        <v>534.97</v>
      </c>
      <c r="J87" s="61">
        <v>204.94</v>
      </c>
      <c r="K87" s="61" t="s">
        <v>1229</v>
      </c>
    </row>
    <row r="88" spans="1:11">
      <c r="A88" s="202">
        <v>85</v>
      </c>
      <c r="B88" s="203" t="s">
        <v>4599</v>
      </c>
      <c r="C88" s="61" t="s">
        <v>4495</v>
      </c>
      <c r="D88" s="61" t="s">
        <v>36</v>
      </c>
      <c r="E88" s="204">
        <v>1122999</v>
      </c>
      <c r="F88" s="205">
        <f t="shared" si="2"/>
        <v>1089309.03</v>
      </c>
      <c r="G88" s="206">
        <f t="shared" si="3"/>
        <v>1055619.06</v>
      </c>
      <c r="H88" s="61">
        <v>739.91</v>
      </c>
      <c r="I88" s="61">
        <v>534.97</v>
      </c>
      <c r="J88" s="61">
        <v>204.94</v>
      </c>
      <c r="K88" s="61" t="s">
        <v>1229</v>
      </c>
    </row>
    <row r="89" spans="1:11">
      <c r="A89" s="202">
        <v>86</v>
      </c>
      <c r="B89" s="203" t="s">
        <v>4600</v>
      </c>
      <c r="C89" s="61" t="s">
        <v>33</v>
      </c>
      <c r="D89" s="61" t="s">
        <v>36</v>
      </c>
      <c r="E89" s="204">
        <v>1120999</v>
      </c>
      <c r="F89" s="205">
        <f t="shared" si="2"/>
        <v>1087369.03</v>
      </c>
      <c r="G89" s="206">
        <f t="shared" si="3"/>
        <v>1053739.06</v>
      </c>
      <c r="H89" s="61">
        <v>739.91</v>
      </c>
      <c r="I89" s="61">
        <v>534.97</v>
      </c>
      <c r="J89" s="61">
        <v>204.94</v>
      </c>
      <c r="K89" s="61" t="s">
        <v>1229</v>
      </c>
    </row>
    <row r="90" spans="1:11">
      <c r="A90" s="202">
        <v>87</v>
      </c>
      <c r="B90" s="203" t="s">
        <v>4601</v>
      </c>
      <c r="C90" s="61" t="s">
        <v>33</v>
      </c>
      <c r="D90" s="61" t="s">
        <v>36</v>
      </c>
      <c r="E90" s="204">
        <v>1120999</v>
      </c>
      <c r="F90" s="205">
        <f t="shared" si="2"/>
        <v>1087369.03</v>
      </c>
      <c r="G90" s="206">
        <f t="shared" si="3"/>
        <v>1053739.06</v>
      </c>
      <c r="H90" s="61">
        <v>739.91</v>
      </c>
      <c r="I90" s="61">
        <v>534.97</v>
      </c>
      <c r="J90" s="61">
        <v>204.94</v>
      </c>
      <c r="K90" s="61" t="s">
        <v>1229</v>
      </c>
    </row>
    <row r="91" spans="1:11">
      <c r="A91" s="202">
        <v>88</v>
      </c>
      <c r="B91" s="203" t="s">
        <v>4602</v>
      </c>
      <c r="C91" s="61" t="s">
        <v>34</v>
      </c>
      <c r="D91" s="61" t="s">
        <v>36</v>
      </c>
      <c r="E91" s="204">
        <v>1119999</v>
      </c>
      <c r="F91" s="205">
        <f t="shared" si="2"/>
        <v>1086399.03</v>
      </c>
      <c r="G91" s="206">
        <f t="shared" si="3"/>
        <v>1052799.06</v>
      </c>
      <c r="H91" s="61">
        <v>739.91</v>
      </c>
      <c r="I91" s="61">
        <v>534.97</v>
      </c>
      <c r="J91" s="61">
        <v>204.94</v>
      </c>
      <c r="K91" s="61" t="s">
        <v>1229</v>
      </c>
    </row>
    <row r="92" spans="1:11">
      <c r="A92" s="202">
        <v>89</v>
      </c>
      <c r="B92" s="203" t="s">
        <v>1292</v>
      </c>
      <c r="C92" s="61" t="s">
        <v>11</v>
      </c>
      <c r="D92" s="61" t="s">
        <v>36</v>
      </c>
      <c r="E92" s="204">
        <v>1115999</v>
      </c>
      <c r="F92" s="205">
        <f t="shared" si="2"/>
        <v>1082519.03</v>
      </c>
      <c r="G92" s="206">
        <f t="shared" si="3"/>
        <v>1049039.06</v>
      </c>
      <c r="H92" s="61">
        <v>739.91</v>
      </c>
      <c r="I92" s="61">
        <v>534.97</v>
      </c>
      <c r="J92" s="61">
        <v>204.94</v>
      </c>
      <c r="K92" s="61" t="s">
        <v>1229</v>
      </c>
    </row>
    <row r="93" spans="1:11">
      <c r="A93" s="202">
        <v>90</v>
      </c>
      <c r="B93" s="203" t="s">
        <v>1293</v>
      </c>
      <c r="C93" s="61" t="s">
        <v>12</v>
      </c>
      <c r="D93" s="61" t="s">
        <v>36</v>
      </c>
      <c r="E93" s="204">
        <v>1114999</v>
      </c>
      <c r="F93" s="205">
        <f t="shared" si="2"/>
        <v>1081549.03</v>
      </c>
      <c r="G93" s="206">
        <f t="shared" si="3"/>
        <v>1048099.0599999999</v>
      </c>
      <c r="H93" s="61">
        <v>739.91</v>
      </c>
      <c r="I93" s="61">
        <v>534.97</v>
      </c>
      <c r="J93" s="61">
        <v>204.94</v>
      </c>
      <c r="K93" s="61" t="s">
        <v>1229</v>
      </c>
    </row>
    <row r="94" spans="1:11">
      <c r="A94" s="202">
        <v>91</v>
      </c>
      <c r="B94" s="203" t="s">
        <v>1294</v>
      </c>
      <c r="C94" s="61" t="s">
        <v>32</v>
      </c>
      <c r="D94" s="61" t="s">
        <v>36</v>
      </c>
      <c r="E94" s="204">
        <v>1113999</v>
      </c>
      <c r="F94" s="205">
        <f t="shared" si="2"/>
        <v>1080579.03</v>
      </c>
      <c r="G94" s="206">
        <f t="shared" si="3"/>
        <v>1047159.0599999999</v>
      </c>
      <c r="H94" s="61">
        <v>739.91</v>
      </c>
      <c r="I94" s="61">
        <v>534.97</v>
      </c>
      <c r="J94" s="61">
        <v>204.94</v>
      </c>
      <c r="K94" s="61" t="s">
        <v>1229</v>
      </c>
    </row>
    <row r="95" spans="1:11">
      <c r="A95" s="202">
        <v>92</v>
      </c>
      <c r="B95" s="203" t="s">
        <v>1295</v>
      </c>
      <c r="C95" s="61" t="s">
        <v>4459</v>
      </c>
      <c r="D95" s="61" t="s">
        <v>36</v>
      </c>
      <c r="E95" s="204">
        <v>1112999</v>
      </c>
      <c r="F95" s="205">
        <f t="shared" si="2"/>
        <v>1079609.03</v>
      </c>
      <c r="G95" s="206">
        <f t="shared" si="3"/>
        <v>1046219.0599999999</v>
      </c>
      <c r="H95" s="61">
        <v>739.91</v>
      </c>
      <c r="I95" s="61">
        <v>534.97</v>
      </c>
      <c r="J95" s="61">
        <v>204.94</v>
      </c>
      <c r="K95" s="61" t="s">
        <v>1229</v>
      </c>
    </row>
    <row r="96" spans="1:11">
      <c r="A96" s="202">
        <v>93</v>
      </c>
      <c r="B96" s="203" t="s">
        <v>1296</v>
      </c>
      <c r="C96" s="61" t="s">
        <v>4459</v>
      </c>
      <c r="D96" s="61" t="s">
        <v>36</v>
      </c>
      <c r="E96" s="204">
        <v>1112999</v>
      </c>
      <c r="F96" s="205">
        <f t="shared" si="2"/>
        <v>1079609.03</v>
      </c>
      <c r="G96" s="206">
        <f t="shared" si="3"/>
        <v>1046219.0599999999</v>
      </c>
      <c r="H96" s="61">
        <v>739.91</v>
      </c>
      <c r="I96" s="61">
        <v>534.97</v>
      </c>
      <c r="J96" s="61">
        <v>204.94</v>
      </c>
      <c r="K96" s="61" t="s">
        <v>1229</v>
      </c>
    </row>
    <row r="97" spans="1:11">
      <c r="A97" s="202">
        <v>94</v>
      </c>
      <c r="B97" s="203" t="s">
        <v>1297</v>
      </c>
      <c r="C97" s="61" t="s">
        <v>5</v>
      </c>
      <c r="D97" s="61" t="s">
        <v>36</v>
      </c>
      <c r="E97" s="204">
        <v>1111999</v>
      </c>
      <c r="F97" s="205">
        <f t="shared" si="2"/>
        <v>1078639.03</v>
      </c>
      <c r="G97" s="206">
        <f t="shared" si="3"/>
        <v>1045279.0599999999</v>
      </c>
      <c r="H97" s="61">
        <v>739.91</v>
      </c>
      <c r="I97" s="61">
        <v>534.97</v>
      </c>
      <c r="J97" s="61">
        <v>204.94</v>
      </c>
      <c r="K97" s="61" t="s">
        <v>1229</v>
      </c>
    </row>
    <row r="98" spans="1:11">
      <c r="A98" s="202">
        <v>95</v>
      </c>
      <c r="B98" s="203" t="s">
        <v>1298</v>
      </c>
      <c r="C98" s="61" t="s">
        <v>5</v>
      </c>
      <c r="D98" s="61" t="s">
        <v>36</v>
      </c>
      <c r="E98" s="204">
        <v>1111999</v>
      </c>
      <c r="F98" s="205">
        <f t="shared" si="2"/>
        <v>1078639.03</v>
      </c>
      <c r="G98" s="206">
        <f t="shared" si="3"/>
        <v>1045279.0599999999</v>
      </c>
      <c r="H98" s="61">
        <v>739.91</v>
      </c>
      <c r="I98" s="61">
        <v>534.97</v>
      </c>
      <c r="J98" s="61">
        <v>204.94</v>
      </c>
      <c r="K98" s="61" t="s">
        <v>1229</v>
      </c>
    </row>
    <row r="99" spans="1:11">
      <c r="A99" s="202">
        <v>96</v>
      </c>
      <c r="B99" s="203" t="s">
        <v>1299</v>
      </c>
      <c r="C99" s="61" t="s">
        <v>4</v>
      </c>
      <c r="D99" s="61" t="s">
        <v>36</v>
      </c>
      <c r="E99" s="204">
        <v>1110999</v>
      </c>
      <c r="F99" s="205">
        <f t="shared" si="2"/>
        <v>1077669.03</v>
      </c>
      <c r="G99" s="206">
        <f t="shared" si="3"/>
        <v>1044339.0599999999</v>
      </c>
      <c r="H99" s="61">
        <v>739.91</v>
      </c>
      <c r="I99" s="61">
        <v>534.97</v>
      </c>
      <c r="J99" s="61">
        <v>204.94</v>
      </c>
      <c r="K99" s="61" t="s">
        <v>1229</v>
      </c>
    </row>
    <row r="100" spans="1:11">
      <c r="A100" s="202">
        <v>97</v>
      </c>
      <c r="B100" s="203" t="s">
        <v>1300</v>
      </c>
      <c r="C100" s="61" t="s">
        <v>4</v>
      </c>
      <c r="D100" s="61" t="s">
        <v>36</v>
      </c>
      <c r="E100" s="204">
        <v>1110999</v>
      </c>
      <c r="F100" s="205">
        <f t="shared" si="2"/>
        <v>1077669.03</v>
      </c>
      <c r="G100" s="206">
        <f t="shared" si="3"/>
        <v>1044339.0599999999</v>
      </c>
      <c r="H100" s="61">
        <v>739.91</v>
      </c>
      <c r="I100" s="61">
        <v>534.97</v>
      </c>
      <c r="J100" s="61">
        <v>204.94</v>
      </c>
      <c r="K100" s="61" t="s">
        <v>1229</v>
      </c>
    </row>
    <row r="101" spans="1:11">
      <c r="A101" s="202">
        <v>98</v>
      </c>
      <c r="B101" s="203" t="s">
        <v>1301</v>
      </c>
      <c r="C101" s="61" t="s">
        <v>4458</v>
      </c>
      <c r="D101" s="61" t="s">
        <v>36</v>
      </c>
      <c r="E101" s="204">
        <v>1109999</v>
      </c>
      <c r="F101" s="205">
        <f t="shared" si="2"/>
        <v>1076699.03</v>
      </c>
      <c r="G101" s="206">
        <f t="shared" si="3"/>
        <v>1043399.0599999999</v>
      </c>
      <c r="H101" s="61">
        <v>739.91</v>
      </c>
      <c r="I101" s="61">
        <v>534.97</v>
      </c>
      <c r="J101" s="61">
        <v>204.94</v>
      </c>
      <c r="K101" s="61" t="s">
        <v>1229</v>
      </c>
    </row>
    <row r="102" spans="1:11">
      <c r="A102" s="202">
        <v>99</v>
      </c>
      <c r="B102" s="203" t="s">
        <v>1302</v>
      </c>
      <c r="C102" s="61" t="s">
        <v>4458</v>
      </c>
      <c r="D102" s="61" t="s">
        <v>36</v>
      </c>
      <c r="E102" s="204">
        <v>1109999</v>
      </c>
      <c r="F102" s="205">
        <f t="shared" si="2"/>
        <v>1076699.03</v>
      </c>
      <c r="G102" s="206">
        <f t="shared" si="3"/>
        <v>1043399.0599999999</v>
      </c>
      <c r="H102" s="61">
        <v>739.91</v>
      </c>
      <c r="I102" s="61">
        <v>534.97</v>
      </c>
      <c r="J102" s="61">
        <v>204.94</v>
      </c>
      <c r="K102" s="61" t="s">
        <v>1229</v>
      </c>
    </row>
    <row r="103" spans="1:11">
      <c r="A103" s="202">
        <v>100</v>
      </c>
      <c r="B103" s="203" t="s">
        <v>1303</v>
      </c>
      <c r="C103" s="61" t="s">
        <v>7</v>
      </c>
      <c r="D103" s="61" t="s">
        <v>36</v>
      </c>
      <c r="E103" s="204">
        <v>1107999</v>
      </c>
      <c r="F103" s="205">
        <f t="shared" si="2"/>
        <v>1074759.03</v>
      </c>
      <c r="G103" s="206">
        <f t="shared" si="3"/>
        <v>1041519.0599999999</v>
      </c>
      <c r="H103" s="61">
        <v>739.91</v>
      </c>
      <c r="I103" s="61">
        <v>534.97</v>
      </c>
      <c r="J103" s="61">
        <v>204.94</v>
      </c>
      <c r="K103" s="61" t="s">
        <v>1229</v>
      </c>
    </row>
    <row r="104" spans="1:11">
      <c r="A104" s="202">
        <v>101</v>
      </c>
      <c r="B104" s="203" t="s">
        <v>1304</v>
      </c>
      <c r="C104" s="61" t="s">
        <v>10</v>
      </c>
      <c r="D104" s="61" t="s">
        <v>36</v>
      </c>
      <c r="E104" s="204">
        <v>1103999</v>
      </c>
      <c r="F104" s="205">
        <f t="shared" si="2"/>
        <v>1070879.03</v>
      </c>
      <c r="G104" s="206">
        <f t="shared" si="3"/>
        <v>1037759.0599999999</v>
      </c>
      <c r="H104" s="61">
        <v>739.91</v>
      </c>
      <c r="I104" s="61">
        <v>534.97</v>
      </c>
      <c r="J104" s="61">
        <v>204.94</v>
      </c>
      <c r="K104" s="61" t="s">
        <v>1229</v>
      </c>
    </row>
    <row r="105" spans="1:11">
      <c r="A105" s="202">
        <v>102</v>
      </c>
      <c r="B105" s="203" t="s">
        <v>1305</v>
      </c>
      <c r="C105" s="61" t="s">
        <v>10</v>
      </c>
      <c r="D105" s="61" t="s">
        <v>36</v>
      </c>
      <c r="E105" s="204">
        <v>1103999</v>
      </c>
      <c r="F105" s="205">
        <f t="shared" si="2"/>
        <v>1070879.03</v>
      </c>
      <c r="G105" s="206">
        <f t="shared" si="3"/>
        <v>1037759.0599999999</v>
      </c>
      <c r="H105" s="61">
        <v>739.91</v>
      </c>
      <c r="I105" s="61">
        <v>534.97</v>
      </c>
      <c r="J105" s="61">
        <v>204.94</v>
      </c>
      <c r="K105" s="61" t="s">
        <v>1229</v>
      </c>
    </row>
    <row r="106" spans="1:11">
      <c r="A106" s="202">
        <v>103</v>
      </c>
      <c r="B106" s="203" t="s">
        <v>1306</v>
      </c>
      <c r="C106" s="1" t="s">
        <v>3</v>
      </c>
      <c r="D106" s="1" t="s">
        <v>36</v>
      </c>
      <c r="E106" s="204">
        <v>1102999</v>
      </c>
      <c r="F106" s="205">
        <f t="shared" ref="F106:F107" si="4">E106*0.97</f>
        <v>1069909.03</v>
      </c>
      <c r="G106" s="206">
        <f t="shared" ref="G106:G107" si="5">E106*0.94</f>
        <v>1036819.0599999999</v>
      </c>
      <c r="H106" s="1">
        <v>739.91</v>
      </c>
      <c r="I106" s="1">
        <v>534.97</v>
      </c>
      <c r="J106" s="1">
        <v>204.94</v>
      </c>
      <c r="K106" s="1" t="s">
        <v>1229</v>
      </c>
    </row>
    <row r="107" spans="1:11">
      <c r="A107" s="202">
        <v>104</v>
      </c>
      <c r="B107" s="203" t="s">
        <v>1307</v>
      </c>
      <c r="C107" s="1" t="s">
        <v>3</v>
      </c>
      <c r="D107" s="1" t="s">
        <v>36</v>
      </c>
      <c r="E107" s="204">
        <v>1102999</v>
      </c>
      <c r="F107" s="205">
        <f t="shared" si="4"/>
        <v>1069909.03</v>
      </c>
      <c r="G107" s="206">
        <f t="shared" si="5"/>
        <v>1036819.0599999999</v>
      </c>
      <c r="H107" s="1">
        <v>739.91</v>
      </c>
      <c r="I107" s="1">
        <v>534.97</v>
      </c>
      <c r="J107" s="1">
        <v>204.94</v>
      </c>
      <c r="K107" s="1" t="s">
        <v>1229</v>
      </c>
    </row>
  </sheetData>
  <mergeCells count="2">
    <mergeCell ref="A1:K1"/>
    <mergeCell ref="A2:K2"/>
  </mergeCells>
  <conditionalFormatting sqref="B1:B1048576">
    <cfRule type="duplicateValues" dxfId="1318" priority="1"/>
  </conditionalFormatting>
  <conditionalFormatting sqref="B1:B108">
    <cfRule type="duplicateValues" dxfId="1317" priority="254517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81AE-02D1-446E-B8EE-9A131846CB90}">
  <dimension ref="A1:K272"/>
  <sheetViews>
    <sheetView workbookViewId="0">
      <selection sqref="A1:K1"/>
    </sheetView>
  </sheetViews>
  <sheetFormatPr defaultRowHeight="14.4"/>
  <cols>
    <col min="1" max="1" width="3.88671875" bestFit="1" customWidth="1"/>
    <col min="2" max="2" width="13.21875" customWidth="1"/>
    <col min="3" max="3" width="5.109375" bestFit="1" customWidth="1"/>
    <col min="4" max="4" width="14.33203125" customWidth="1"/>
    <col min="5" max="5" width="12.33203125" customWidth="1"/>
    <col min="6" max="6" width="12.5546875" customWidth="1"/>
    <col min="7" max="7" width="13.109375" customWidth="1"/>
    <col min="8" max="8" width="11.44140625" customWidth="1"/>
    <col min="9" max="9" width="9.44140625" customWidth="1"/>
    <col min="10" max="10" width="10.6640625" customWidth="1"/>
    <col min="11" max="11" width="61.33203125" style="163" customWidth="1"/>
    <col min="12" max="12" width="59.6640625" customWidth="1"/>
  </cols>
  <sheetData>
    <row r="1" spans="1:11" ht="26.4" thickBot="1">
      <c r="A1" s="347" t="s">
        <v>1228</v>
      </c>
      <c r="B1" s="348"/>
      <c r="C1" s="348"/>
      <c r="D1" s="348"/>
      <c r="E1" s="348"/>
      <c r="F1" s="348"/>
      <c r="G1" s="348"/>
      <c r="H1" s="348"/>
      <c r="I1" s="348"/>
      <c r="J1" s="348"/>
      <c r="K1" s="349"/>
    </row>
    <row r="2" spans="1:11" ht="15.6">
      <c r="A2" s="350" t="s">
        <v>345</v>
      </c>
      <c r="B2" s="351"/>
      <c r="C2" s="351"/>
      <c r="D2" s="351"/>
      <c r="E2" s="351"/>
      <c r="F2" s="351"/>
      <c r="G2" s="351"/>
      <c r="H2" s="351"/>
      <c r="I2" s="351"/>
      <c r="J2" s="351"/>
      <c r="K2" s="352"/>
    </row>
    <row r="3" spans="1:11">
      <c r="A3" s="201" t="s">
        <v>22</v>
      </c>
      <c r="B3" s="143" t="s">
        <v>13</v>
      </c>
      <c r="C3" s="143" t="s">
        <v>26</v>
      </c>
      <c r="D3" s="143" t="s">
        <v>14</v>
      </c>
      <c r="E3" s="143" t="s">
        <v>15</v>
      </c>
      <c r="F3" s="143" t="s">
        <v>29</v>
      </c>
      <c r="G3" s="143" t="s">
        <v>43</v>
      </c>
      <c r="H3" s="143" t="s">
        <v>0</v>
      </c>
      <c r="I3" s="143" t="s">
        <v>1</v>
      </c>
      <c r="J3" s="143" t="s">
        <v>2</v>
      </c>
      <c r="K3" s="143" t="s">
        <v>19</v>
      </c>
    </row>
    <row r="4" spans="1:11">
      <c r="A4" s="202">
        <v>1</v>
      </c>
      <c r="B4" s="203" t="s">
        <v>1311</v>
      </c>
      <c r="C4" s="61" t="s">
        <v>4458</v>
      </c>
      <c r="D4" s="61" t="s">
        <v>24</v>
      </c>
      <c r="E4" s="204">
        <v>1753999</v>
      </c>
      <c r="F4" s="205">
        <f>E4*0.97</f>
        <v>1701379.03</v>
      </c>
      <c r="G4" s="206">
        <f>E4*0.94</f>
        <v>1648759.0599999998</v>
      </c>
      <c r="H4" s="61">
        <v>1254.0999999999999</v>
      </c>
      <c r="I4" s="61">
        <v>836.03</v>
      </c>
      <c r="J4" s="61">
        <v>418.07</v>
      </c>
      <c r="K4" s="61" t="s">
        <v>1229</v>
      </c>
    </row>
    <row r="5" spans="1:11">
      <c r="A5" s="202">
        <v>2</v>
      </c>
      <c r="B5" s="203" t="s">
        <v>1312</v>
      </c>
      <c r="C5" s="61" t="s">
        <v>8</v>
      </c>
      <c r="D5" s="61" t="s">
        <v>24</v>
      </c>
      <c r="E5" s="204">
        <v>1743999</v>
      </c>
      <c r="F5" s="205">
        <f t="shared" ref="F5:F67" si="0">E5*0.97</f>
        <v>1691679.03</v>
      </c>
      <c r="G5" s="206">
        <f t="shared" ref="G5:G67" si="1">E5*0.94</f>
        <v>1639359.0599999998</v>
      </c>
      <c r="H5" s="61">
        <v>1254.0999999999999</v>
      </c>
      <c r="I5" s="61">
        <v>836.03</v>
      </c>
      <c r="J5" s="61">
        <v>418.07</v>
      </c>
      <c r="K5" s="61" t="s">
        <v>1229</v>
      </c>
    </row>
    <row r="6" spans="1:11">
      <c r="A6" s="202">
        <v>3</v>
      </c>
      <c r="B6" s="203" t="s">
        <v>1313</v>
      </c>
      <c r="C6" s="61" t="s">
        <v>9</v>
      </c>
      <c r="D6" s="61" t="s">
        <v>24</v>
      </c>
      <c r="E6" s="204">
        <v>1740999</v>
      </c>
      <c r="F6" s="205">
        <f t="shared" si="0"/>
        <v>1688769.03</v>
      </c>
      <c r="G6" s="206">
        <f t="shared" si="1"/>
        <v>1636539.0599999998</v>
      </c>
      <c r="H6" s="61">
        <v>1254.0999999999999</v>
      </c>
      <c r="I6" s="61">
        <v>836.03</v>
      </c>
      <c r="J6" s="61">
        <v>418.07</v>
      </c>
      <c r="K6" s="61" t="s">
        <v>1229</v>
      </c>
    </row>
    <row r="7" spans="1:11">
      <c r="A7" s="202">
        <v>4</v>
      </c>
      <c r="B7" s="203" t="s">
        <v>1314</v>
      </c>
      <c r="C7" s="61" t="s">
        <v>10</v>
      </c>
      <c r="D7" s="61" t="s">
        <v>24</v>
      </c>
      <c r="E7" s="204">
        <v>1736999</v>
      </c>
      <c r="F7" s="205">
        <f t="shared" si="0"/>
        <v>1684889.03</v>
      </c>
      <c r="G7" s="206">
        <f t="shared" si="1"/>
        <v>1632779.0599999998</v>
      </c>
      <c r="H7" s="61">
        <v>1254.0999999999999</v>
      </c>
      <c r="I7" s="61">
        <v>836.03</v>
      </c>
      <c r="J7" s="61">
        <v>418.07</v>
      </c>
      <c r="K7" s="61" t="s">
        <v>1229</v>
      </c>
    </row>
    <row r="8" spans="1:11">
      <c r="A8" s="202">
        <v>5</v>
      </c>
      <c r="B8" s="203" t="s">
        <v>1315</v>
      </c>
      <c r="C8" s="61" t="s">
        <v>3</v>
      </c>
      <c r="D8" s="61" t="s">
        <v>24</v>
      </c>
      <c r="E8" s="204">
        <v>1733999</v>
      </c>
      <c r="F8" s="205">
        <f t="shared" si="0"/>
        <v>1681979.03</v>
      </c>
      <c r="G8" s="206">
        <f t="shared" si="1"/>
        <v>1629959.0599999998</v>
      </c>
      <c r="H8" s="61">
        <v>1254.0999999999999</v>
      </c>
      <c r="I8" s="61">
        <v>836.03</v>
      </c>
      <c r="J8" s="61">
        <v>418.07</v>
      </c>
      <c r="K8" s="61" t="s">
        <v>1229</v>
      </c>
    </row>
    <row r="9" spans="1:11">
      <c r="A9" s="202">
        <v>6</v>
      </c>
      <c r="B9" s="203" t="s">
        <v>1316</v>
      </c>
      <c r="C9" s="61" t="s">
        <v>4458</v>
      </c>
      <c r="D9" s="61" t="s">
        <v>24</v>
      </c>
      <c r="E9" s="204">
        <v>1722999</v>
      </c>
      <c r="F9" s="205">
        <f t="shared" si="0"/>
        <v>1671309.03</v>
      </c>
      <c r="G9" s="206">
        <f t="shared" si="1"/>
        <v>1619619.0599999998</v>
      </c>
      <c r="H9" s="61">
        <v>1212.45</v>
      </c>
      <c r="I9" s="61">
        <v>823.01</v>
      </c>
      <c r="J9" s="61">
        <v>389.44</v>
      </c>
      <c r="K9" s="61" t="s">
        <v>1539</v>
      </c>
    </row>
    <row r="10" spans="1:11">
      <c r="A10" s="202">
        <v>7</v>
      </c>
      <c r="B10" s="203" t="s">
        <v>1317</v>
      </c>
      <c r="C10" s="61" t="s">
        <v>6</v>
      </c>
      <c r="D10" s="61" t="s">
        <v>24</v>
      </c>
      <c r="E10" s="204">
        <v>1718999</v>
      </c>
      <c r="F10" s="205">
        <f t="shared" si="0"/>
        <v>1667429.03</v>
      </c>
      <c r="G10" s="206">
        <f t="shared" si="1"/>
        <v>1615859.0599999998</v>
      </c>
      <c r="H10" s="61">
        <v>1212.45</v>
      </c>
      <c r="I10" s="61">
        <v>823.01</v>
      </c>
      <c r="J10" s="61">
        <v>389.44</v>
      </c>
      <c r="K10" s="61" t="s">
        <v>1539</v>
      </c>
    </row>
    <row r="11" spans="1:11">
      <c r="A11" s="202">
        <v>8</v>
      </c>
      <c r="B11" s="203" t="s">
        <v>1318</v>
      </c>
      <c r="C11" s="61" t="s">
        <v>8</v>
      </c>
      <c r="D11" s="61" t="s">
        <v>24</v>
      </c>
      <c r="E11" s="204">
        <v>1712999</v>
      </c>
      <c r="F11" s="205">
        <f t="shared" si="0"/>
        <v>1661609.03</v>
      </c>
      <c r="G11" s="206">
        <f t="shared" si="1"/>
        <v>1610219.0599999998</v>
      </c>
      <c r="H11" s="61">
        <v>1212.45</v>
      </c>
      <c r="I11" s="61">
        <v>823.01</v>
      </c>
      <c r="J11" s="61">
        <v>389.44</v>
      </c>
      <c r="K11" s="61" t="s">
        <v>1539</v>
      </c>
    </row>
    <row r="12" spans="1:11">
      <c r="A12" s="202">
        <v>9</v>
      </c>
      <c r="B12" s="203" t="s">
        <v>1319</v>
      </c>
      <c r="C12" s="61" t="s">
        <v>9</v>
      </c>
      <c r="D12" s="61" t="s">
        <v>24</v>
      </c>
      <c r="E12" s="204">
        <v>1708999</v>
      </c>
      <c r="F12" s="205">
        <f t="shared" si="0"/>
        <v>1657729.03</v>
      </c>
      <c r="G12" s="206">
        <f t="shared" si="1"/>
        <v>1606459.0599999998</v>
      </c>
      <c r="H12" s="61">
        <v>1212.45</v>
      </c>
      <c r="I12" s="61">
        <v>823.01</v>
      </c>
      <c r="J12" s="61">
        <v>389.44</v>
      </c>
      <c r="K12" s="61" t="s">
        <v>1539</v>
      </c>
    </row>
    <row r="13" spans="1:11">
      <c r="A13" s="202">
        <v>10</v>
      </c>
      <c r="B13" s="203" t="s">
        <v>1320</v>
      </c>
      <c r="C13" s="61" t="s">
        <v>10</v>
      </c>
      <c r="D13" s="61" t="s">
        <v>24</v>
      </c>
      <c r="E13" s="204">
        <v>1705999</v>
      </c>
      <c r="F13" s="205">
        <f t="shared" si="0"/>
        <v>1654819.03</v>
      </c>
      <c r="G13" s="206">
        <f t="shared" si="1"/>
        <v>1603639.0599999998</v>
      </c>
      <c r="H13" s="61">
        <v>1212.45</v>
      </c>
      <c r="I13" s="61">
        <v>823.01</v>
      </c>
      <c r="J13" s="61">
        <v>389.44</v>
      </c>
      <c r="K13" s="61" t="s">
        <v>1539</v>
      </c>
    </row>
    <row r="14" spans="1:11">
      <c r="A14" s="202">
        <v>11</v>
      </c>
      <c r="B14" s="203" t="s">
        <v>1321</v>
      </c>
      <c r="C14" s="61" t="s">
        <v>3</v>
      </c>
      <c r="D14" s="61" t="s">
        <v>24</v>
      </c>
      <c r="E14" s="204">
        <v>1699999</v>
      </c>
      <c r="F14" s="205">
        <f t="shared" si="0"/>
        <v>1648999.03</v>
      </c>
      <c r="G14" s="206">
        <f t="shared" si="1"/>
        <v>1597999.0599999998</v>
      </c>
      <c r="H14" s="61">
        <v>1212.45</v>
      </c>
      <c r="I14" s="61">
        <v>823.01</v>
      </c>
      <c r="J14" s="61">
        <v>389.44</v>
      </c>
      <c r="K14" s="61" t="s">
        <v>1539</v>
      </c>
    </row>
    <row r="15" spans="1:11">
      <c r="A15" s="202">
        <v>12</v>
      </c>
      <c r="B15" s="203" t="s">
        <v>1322</v>
      </c>
      <c r="C15" s="61" t="s">
        <v>4458</v>
      </c>
      <c r="D15" s="61" t="s">
        <v>36</v>
      </c>
      <c r="E15" s="204">
        <v>1298999</v>
      </c>
      <c r="F15" s="205">
        <f t="shared" si="0"/>
        <v>1260029.03</v>
      </c>
      <c r="G15" s="206">
        <f t="shared" si="1"/>
        <v>1221059.0599999998</v>
      </c>
      <c r="H15" s="61">
        <v>867.14</v>
      </c>
      <c r="I15" s="61">
        <v>622.26</v>
      </c>
      <c r="J15" s="61">
        <v>244.88</v>
      </c>
      <c r="K15" s="61" t="s">
        <v>1539</v>
      </c>
    </row>
    <row r="16" spans="1:11">
      <c r="A16" s="202">
        <v>13</v>
      </c>
      <c r="B16" s="203" t="s">
        <v>1323</v>
      </c>
      <c r="C16" s="61" t="s">
        <v>6</v>
      </c>
      <c r="D16" s="61" t="s">
        <v>36</v>
      </c>
      <c r="E16" s="204">
        <v>1295999</v>
      </c>
      <c r="F16" s="205">
        <f t="shared" si="0"/>
        <v>1257119.03</v>
      </c>
      <c r="G16" s="206">
        <f t="shared" si="1"/>
        <v>1218239.0599999998</v>
      </c>
      <c r="H16" s="61">
        <v>867.14</v>
      </c>
      <c r="I16" s="61">
        <v>622.26</v>
      </c>
      <c r="J16" s="61">
        <v>244.88</v>
      </c>
      <c r="K16" s="61" t="s">
        <v>1539</v>
      </c>
    </row>
    <row r="17" spans="1:11">
      <c r="A17" s="202">
        <v>14</v>
      </c>
      <c r="B17" s="203" t="s">
        <v>4351</v>
      </c>
      <c r="C17" s="61" t="s">
        <v>7</v>
      </c>
      <c r="D17" s="61" t="s">
        <v>36</v>
      </c>
      <c r="E17" s="204">
        <v>1293999</v>
      </c>
      <c r="F17" s="205">
        <f t="shared" si="0"/>
        <v>1255179.03</v>
      </c>
      <c r="G17" s="206">
        <f t="shared" si="1"/>
        <v>1216359.0599999998</v>
      </c>
      <c r="H17" s="61">
        <v>867.14</v>
      </c>
      <c r="I17" s="61">
        <v>622.26</v>
      </c>
      <c r="J17" s="61">
        <v>244.88</v>
      </c>
      <c r="K17" s="61" t="s">
        <v>1539</v>
      </c>
    </row>
    <row r="18" spans="1:11">
      <c r="A18" s="202">
        <v>15</v>
      </c>
      <c r="B18" s="203" t="s">
        <v>1324</v>
      </c>
      <c r="C18" s="61" t="s">
        <v>8</v>
      </c>
      <c r="D18" s="61" t="s">
        <v>36</v>
      </c>
      <c r="E18" s="204">
        <v>1290999</v>
      </c>
      <c r="F18" s="205">
        <f t="shared" si="0"/>
        <v>1252269.03</v>
      </c>
      <c r="G18" s="206">
        <f t="shared" si="1"/>
        <v>1213539.0599999998</v>
      </c>
      <c r="H18" s="61">
        <v>867.14</v>
      </c>
      <c r="I18" s="61">
        <v>622.26</v>
      </c>
      <c r="J18" s="61">
        <v>244.88</v>
      </c>
      <c r="K18" s="61" t="s">
        <v>1539</v>
      </c>
    </row>
    <row r="19" spans="1:11">
      <c r="A19" s="202">
        <v>16</v>
      </c>
      <c r="B19" s="203" t="s">
        <v>1325</v>
      </c>
      <c r="C19" s="61" t="s">
        <v>9</v>
      </c>
      <c r="D19" s="61" t="s">
        <v>36</v>
      </c>
      <c r="E19" s="204">
        <v>1288999</v>
      </c>
      <c r="F19" s="205">
        <f t="shared" si="0"/>
        <v>1250329.03</v>
      </c>
      <c r="G19" s="206">
        <f t="shared" si="1"/>
        <v>1211659.0599999998</v>
      </c>
      <c r="H19" s="61">
        <v>867.14</v>
      </c>
      <c r="I19" s="61">
        <v>622.26</v>
      </c>
      <c r="J19" s="61">
        <v>244.88</v>
      </c>
      <c r="K19" s="61" t="s">
        <v>1539</v>
      </c>
    </row>
    <row r="20" spans="1:11">
      <c r="A20" s="202">
        <v>17</v>
      </c>
      <c r="B20" s="203" t="s">
        <v>1326</v>
      </c>
      <c r="C20" s="61" t="s">
        <v>10</v>
      </c>
      <c r="D20" s="61" t="s">
        <v>36</v>
      </c>
      <c r="E20" s="204">
        <v>1285999</v>
      </c>
      <c r="F20" s="205">
        <f t="shared" si="0"/>
        <v>1247419.03</v>
      </c>
      <c r="G20" s="206">
        <f t="shared" si="1"/>
        <v>1208839.0599999998</v>
      </c>
      <c r="H20" s="61">
        <v>867.14</v>
      </c>
      <c r="I20" s="61">
        <v>622.26</v>
      </c>
      <c r="J20" s="61">
        <v>244.88</v>
      </c>
      <c r="K20" s="61" t="s">
        <v>1539</v>
      </c>
    </row>
    <row r="21" spans="1:11">
      <c r="A21" s="202">
        <v>18</v>
      </c>
      <c r="B21" s="203" t="s">
        <v>1327</v>
      </c>
      <c r="C21" s="61" t="s">
        <v>3</v>
      </c>
      <c r="D21" s="61" t="s">
        <v>36</v>
      </c>
      <c r="E21" s="204">
        <v>1283999</v>
      </c>
      <c r="F21" s="205">
        <f t="shared" si="0"/>
        <v>1245479.03</v>
      </c>
      <c r="G21" s="206">
        <f t="shared" si="1"/>
        <v>1206959.0599999998</v>
      </c>
      <c r="H21" s="61">
        <v>867.14</v>
      </c>
      <c r="I21" s="61">
        <v>622.26</v>
      </c>
      <c r="J21" s="61">
        <v>244.88</v>
      </c>
      <c r="K21" s="61" t="s">
        <v>1539</v>
      </c>
    </row>
    <row r="22" spans="1:11">
      <c r="A22" s="202">
        <v>19</v>
      </c>
      <c r="B22" s="203" t="s">
        <v>1328</v>
      </c>
      <c r="C22" s="61" t="s">
        <v>4461</v>
      </c>
      <c r="D22" s="61" t="s">
        <v>36</v>
      </c>
      <c r="E22" s="204">
        <v>1245999</v>
      </c>
      <c r="F22" s="205">
        <f t="shared" si="0"/>
        <v>1208619.03</v>
      </c>
      <c r="G22" s="206">
        <f t="shared" si="1"/>
        <v>1171239.0599999998</v>
      </c>
      <c r="H22" s="61">
        <v>841.95</v>
      </c>
      <c r="I22" s="61">
        <v>596.42999999999995</v>
      </c>
      <c r="J22" s="61">
        <v>245.52</v>
      </c>
      <c r="K22" s="61" t="s">
        <v>1540</v>
      </c>
    </row>
    <row r="23" spans="1:11">
      <c r="A23" s="202">
        <v>20</v>
      </c>
      <c r="B23" s="203" t="s">
        <v>4603</v>
      </c>
      <c r="C23" s="61" t="s">
        <v>4460</v>
      </c>
      <c r="D23" s="61" t="s">
        <v>36</v>
      </c>
      <c r="E23" s="204">
        <v>1243999</v>
      </c>
      <c r="F23" s="205">
        <f t="shared" si="0"/>
        <v>1206679.03</v>
      </c>
      <c r="G23" s="206">
        <f t="shared" si="1"/>
        <v>1169359.0599999998</v>
      </c>
      <c r="H23" s="61">
        <v>841.95</v>
      </c>
      <c r="I23" s="61">
        <v>596.42999999999995</v>
      </c>
      <c r="J23" s="61">
        <v>245.52</v>
      </c>
      <c r="K23" s="61" t="s">
        <v>1540</v>
      </c>
    </row>
    <row r="24" spans="1:11">
      <c r="A24" s="202">
        <v>21</v>
      </c>
      <c r="B24" s="203" t="s">
        <v>4604</v>
      </c>
      <c r="C24" s="61" t="s">
        <v>11</v>
      </c>
      <c r="D24" s="61" t="s">
        <v>36</v>
      </c>
      <c r="E24" s="204">
        <v>1241999</v>
      </c>
      <c r="F24" s="205">
        <f t="shared" si="0"/>
        <v>1204739.03</v>
      </c>
      <c r="G24" s="206">
        <f t="shared" si="1"/>
        <v>1167479.0599999998</v>
      </c>
      <c r="H24" s="61">
        <v>841.95</v>
      </c>
      <c r="I24" s="61">
        <v>596.42999999999995</v>
      </c>
      <c r="J24" s="61">
        <v>245.52</v>
      </c>
      <c r="K24" s="61" t="s">
        <v>1540</v>
      </c>
    </row>
    <row r="25" spans="1:11">
      <c r="A25" s="202">
        <v>22</v>
      </c>
      <c r="B25" s="203" t="s">
        <v>4378</v>
      </c>
      <c r="C25" s="61" t="s">
        <v>4464</v>
      </c>
      <c r="D25" s="61" t="s">
        <v>36</v>
      </c>
      <c r="E25" s="204">
        <v>1238999</v>
      </c>
      <c r="F25" s="205">
        <f t="shared" si="0"/>
        <v>1201829.03</v>
      </c>
      <c r="G25" s="206">
        <f t="shared" si="1"/>
        <v>1164659.0599999998</v>
      </c>
      <c r="H25" s="61">
        <v>723.87</v>
      </c>
      <c r="I25" s="61">
        <v>575.65</v>
      </c>
      <c r="J25" s="61">
        <v>148.22</v>
      </c>
      <c r="K25" s="61" t="s">
        <v>1539</v>
      </c>
    </row>
    <row r="26" spans="1:11">
      <c r="A26" s="202">
        <v>23</v>
      </c>
      <c r="B26" s="203" t="s">
        <v>1329</v>
      </c>
      <c r="C26" s="61" t="s">
        <v>12</v>
      </c>
      <c r="D26" s="61" t="s">
        <v>36</v>
      </c>
      <c r="E26" s="204">
        <v>1238999</v>
      </c>
      <c r="F26" s="205">
        <f t="shared" si="0"/>
        <v>1201829.03</v>
      </c>
      <c r="G26" s="206">
        <f t="shared" si="1"/>
        <v>1164659.0599999998</v>
      </c>
      <c r="H26" s="61">
        <v>841.95</v>
      </c>
      <c r="I26" s="61">
        <v>596.42999999999995</v>
      </c>
      <c r="J26" s="61">
        <v>245.52</v>
      </c>
      <c r="K26" s="61" t="s">
        <v>1540</v>
      </c>
    </row>
    <row r="27" spans="1:11">
      <c r="A27" s="202">
        <v>24</v>
      </c>
      <c r="B27" s="203" t="s">
        <v>4379</v>
      </c>
      <c r="C27" s="61" t="s">
        <v>4464</v>
      </c>
      <c r="D27" s="61" t="s">
        <v>36</v>
      </c>
      <c r="E27" s="204">
        <v>1238999</v>
      </c>
      <c r="F27" s="205">
        <f t="shared" si="0"/>
        <v>1201829.03</v>
      </c>
      <c r="G27" s="206">
        <f t="shared" si="1"/>
        <v>1164659.0599999998</v>
      </c>
      <c r="H27" s="61">
        <v>723.66</v>
      </c>
      <c r="I27" s="61">
        <v>575.44000000000005</v>
      </c>
      <c r="J27" s="61">
        <v>148.22</v>
      </c>
      <c r="K27" s="61" t="s">
        <v>1539</v>
      </c>
    </row>
    <row r="28" spans="1:11">
      <c r="A28" s="202">
        <v>25</v>
      </c>
      <c r="B28" s="203" t="s">
        <v>4380</v>
      </c>
      <c r="C28" s="61" t="s">
        <v>4464</v>
      </c>
      <c r="D28" s="61" t="s">
        <v>36</v>
      </c>
      <c r="E28" s="204">
        <v>1237999</v>
      </c>
      <c r="F28" s="205">
        <f t="shared" si="0"/>
        <v>1200859.03</v>
      </c>
      <c r="G28" s="206">
        <f t="shared" si="1"/>
        <v>1163719.0599999998</v>
      </c>
      <c r="H28" s="61">
        <v>722.8</v>
      </c>
      <c r="I28" s="61">
        <v>575.33000000000004</v>
      </c>
      <c r="J28" s="61">
        <v>147.47</v>
      </c>
      <c r="K28" s="61" t="s">
        <v>1539</v>
      </c>
    </row>
    <row r="29" spans="1:11">
      <c r="A29" s="202">
        <v>26</v>
      </c>
      <c r="B29" s="203" t="s">
        <v>1330</v>
      </c>
      <c r="C29" s="61" t="s">
        <v>32</v>
      </c>
      <c r="D29" s="61" t="s">
        <v>36</v>
      </c>
      <c r="E29" s="204">
        <v>1236999</v>
      </c>
      <c r="F29" s="205">
        <f t="shared" si="0"/>
        <v>1199889.03</v>
      </c>
      <c r="G29" s="206">
        <f t="shared" si="1"/>
        <v>1162779.0599999998</v>
      </c>
      <c r="H29" s="61">
        <v>841.95</v>
      </c>
      <c r="I29" s="61">
        <v>596.42999999999995</v>
      </c>
      <c r="J29" s="61">
        <v>245.52</v>
      </c>
      <c r="K29" s="61" t="s">
        <v>1540</v>
      </c>
    </row>
    <row r="30" spans="1:11">
      <c r="A30" s="202">
        <v>27</v>
      </c>
      <c r="B30" s="203" t="s">
        <v>1331</v>
      </c>
      <c r="C30" s="61" t="s">
        <v>4462</v>
      </c>
      <c r="D30" s="61" t="s">
        <v>36</v>
      </c>
      <c r="E30" s="204">
        <v>1234999</v>
      </c>
      <c r="F30" s="205">
        <f t="shared" si="0"/>
        <v>1197949.03</v>
      </c>
      <c r="G30" s="206">
        <f t="shared" si="1"/>
        <v>1160899.0599999998</v>
      </c>
      <c r="H30" s="61">
        <v>723.98</v>
      </c>
      <c r="I30" s="61">
        <v>575.76</v>
      </c>
      <c r="J30" s="61">
        <v>148.22</v>
      </c>
      <c r="K30" s="61" t="s">
        <v>1539</v>
      </c>
    </row>
    <row r="31" spans="1:11">
      <c r="A31" s="202">
        <v>28</v>
      </c>
      <c r="B31" s="203" t="s">
        <v>1332</v>
      </c>
      <c r="C31" s="61" t="s">
        <v>4459</v>
      </c>
      <c r="D31" s="61" t="s">
        <v>36</v>
      </c>
      <c r="E31" s="204">
        <v>1234999</v>
      </c>
      <c r="F31" s="205">
        <f t="shared" si="0"/>
        <v>1197949.03</v>
      </c>
      <c r="G31" s="206">
        <f t="shared" si="1"/>
        <v>1160899.0599999998</v>
      </c>
      <c r="H31" s="61">
        <v>841.95</v>
      </c>
      <c r="I31" s="61">
        <v>596.42999999999995</v>
      </c>
      <c r="J31" s="61">
        <v>245.52</v>
      </c>
      <c r="K31" s="61" t="s">
        <v>1540</v>
      </c>
    </row>
    <row r="32" spans="1:11">
      <c r="A32" s="202">
        <v>29</v>
      </c>
      <c r="B32" s="203" t="s">
        <v>1333</v>
      </c>
      <c r="C32" s="61" t="s">
        <v>4462</v>
      </c>
      <c r="D32" s="61" t="s">
        <v>36</v>
      </c>
      <c r="E32" s="204">
        <v>1233999</v>
      </c>
      <c r="F32" s="205">
        <f t="shared" si="0"/>
        <v>1196979.03</v>
      </c>
      <c r="G32" s="206">
        <f t="shared" si="1"/>
        <v>1159959.0599999998</v>
      </c>
      <c r="H32" s="61">
        <v>723.87</v>
      </c>
      <c r="I32" s="61">
        <v>575.65</v>
      </c>
      <c r="J32" s="61">
        <v>148.22</v>
      </c>
      <c r="K32" s="61" t="s">
        <v>1539</v>
      </c>
    </row>
    <row r="33" spans="1:11">
      <c r="A33" s="202">
        <v>30</v>
      </c>
      <c r="B33" s="203" t="s">
        <v>1334</v>
      </c>
      <c r="C33" s="61" t="s">
        <v>4462</v>
      </c>
      <c r="D33" s="61" t="s">
        <v>36</v>
      </c>
      <c r="E33" s="204">
        <v>1233999</v>
      </c>
      <c r="F33" s="205">
        <f t="shared" si="0"/>
        <v>1196979.03</v>
      </c>
      <c r="G33" s="206">
        <f t="shared" si="1"/>
        <v>1159959.0599999998</v>
      </c>
      <c r="H33" s="61">
        <v>723.66</v>
      </c>
      <c r="I33" s="61">
        <v>575.44000000000005</v>
      </c>
      <c r="J33" s="61">
        <v>148.22</v>
      </c>
      <c r="K33" s="61" t="s">
        <v>1539</v>
      </c>
    </row>
    <row r="34" spans="1:11">
      <c r="A34" s="202">
        <v>31</v>
      </c>
      <c r="B34" s="203" t="s">
        <v>1335</v>
      </c>
      <c r="C34" s="61" t="s">
        <v>5</v>
      </c>
      <c r="D34" s="61" t="s">
        <v>36</v>
      </c>
      <c r="E34" s="204">
        <v>1231999</v>
      </c>
      <c r="F34" s="205">
        <f t="shared" si="0"/>
        <v>1195039.03</v>
      </c>
      <c r="G34" s="206">
        <f t="shared" si="1"/>
        <v>1158079.0599999998</v>
      </c>
      <c r="H34" s="61">
        <v>841.95</v>
      </c>
      <c r="I34" s="61">
        <v>596.42999999999995</v>
      </c>
      <c r="J34" s="61">
        <v>245.52</v>
      </c>
      <c r="K34" s="61" t="s">
        <v>1540</v>
      </c>
    </row>
    <row r="35" spans="1:11">
      <c r="A35" s="202">
        <v>32</v>
      </c>
      <c r="B35" s="203" t="s">
        <v>1336</v>
      </c>
      <c r="C35" s="61" t="s">
        <v>4</v>
      </c>
      <c r="D35" s="61" t="s">
        <v>36</v>
      </c>
      <c r="E35" s="204">
        <v>1229999</v>
      </c>
      <c r="F35" s="205">
        <f t="shared" si="0"/>
        <v>1193099.03</v>
      </c>
      <c r="G35" s="206">
        <f t="shared" si="1"/>
        <v>1156199.0599999998</v>
      </c>
      <c r="H35" s="61">
        <v>841.95</v>
      </c>
      <c r="I35" s="61">
        <v>596.42999999999995</v>
      </c>
      <c r="J35" s="61">
        <v>245.52</v>
      </c>
      <c r="K35" s="61" t="s">
        <v>1540</v>
      </c>
    </row>
    <row r="36" spans="1:11">
      <c r="A36" s="202">
        <v>33</v>
      </c>
      <c r="B36" s="203" t="s">
        <v>1337</v>
      </c>
      <c r="C36" s="61" t="s">
        <v>33</v>
      </c>
      <c r="D36" s="61" t="s">
        <v>36</v>
      </c>
      <c r="E36" s="204">
        <v>1227999</v>
      </c>
      <c r="F36" s="205">
        <f t="shared" si="0"/>
        <v>1191159.03</v>
      </c>
      <c r="G36" s="206">
        <f t="shared" si="1"/>
        <v>1154319.0599999998</v>
      </c>
      <c r="H36" s="61">
        <v>723.87</v>
      </c>
      <c r="I36" s="61">
        <v>575.65</v>
      </c>
      <c r="J36" s="61">
        <v>148.22</v>
      </c>
      <c r="K36" s="61" t="s">
        <v>1539</v>
      </c>
    </row>
    <row r="37" spans="1:11">
      <c r="A37" s="202">
        <v>34</v>
      </c>
      <c r="B37" s="203" t="s">
        <v>1338</v>
      </c>
      <c r="C37" s="61" t="s">
        <v>4458</v>
      </c>
      <c r="D37" s="61" t="s">
        <v>36</v>
      </c>
      <c r="E37" s="204">
        <v>1226999</v>
      </c>
      <c r="F37" s="205">
        <f t="shared" si="0"/>
        <v>1190189.03</v>
      </c>
      <c r="G37" s="206">
        <f t="shared" si="1"/>
        <v>1153379.0599999998</v>
      </c>
      <c r="H37" s="61">
        <v>841.95</v>
      </c>
      <c r="I37" s="61">
        <v>596.42999999999995</v>
      </c>
      <c r="J37" s="61">
        <v>245.52</v>
      </c>
      <c r="K37" s="61" t="s">
        <v>1540</v>
      </c>
    </row>
    <row r="38" spans="1:11">
      <c r="A38" s="202">
        <v>35</v>
      </c>
      <c r="B38" s="203" t="s">
        <v>4381</v>
      </c>
      <c r="C38" s="61" t="s">
        <v>4464</v>
      </c>
      <c r="D38" s="61" t="s">
        <v>36</v>
      </c>
      <c r="E38" s="204">
        <v>1225999</v>
      </c>
      <c r="F38" s="205">
        <f t="shared" si="0"/>
        <v>1189219.03</v>
      </c>
      <c r="G38" s="206">
        <f t="shared" si="1"/>
        <v>1152439.0599999998</v>
      </c>
      <c r="H38" s="61">
        <v>721.18</v>
      </c>
      <c r="I38" s="61">
        <v>572.96</v>
      </c>
      <c r="J38" s="61">
        <v>148.22</v>
      </c>
      <c r="K38" s="61" t="s">
        <v>1539</v>
      </c>
    </row>
    <row r="39" spans="1:11">
      <c r="A39" s="202">
        <v>36</v>
      </c>
      <c r="B39" s="203" t="s">
        <v>1339</v>
      </c>
      <c r="C39" s="61" t="s">
        <v>33</v>
      </c>
      <c r="D39" s="61" t="s">
        <v>36</v>
      </c>
      <c r="E39" s="204">
        <v>1225999</v>
      </c>
      <c r="F39" s="205">
        <f t="shared" si="0"/>
        <v>1189219.03</v>
      </c>
      <c r="G39" s="206">
        <f t="shared" si="1"/>
        <v>1152439.0599999998</v>
      </c>
      <c r="H39" s="61">
        <v>722.8</v>
      </c>
      <c r="I39" s="61">
        <v>575.33000000000004</v>
      </c>
      <c r="J39" s="61">
        <v>147.47</v>
      </c>
      <c r="K39" s="61" t="s">
        <v>1539</v>
      </c>
    </row>
    <row r="40" spans="1:11">
      <c r="A40" s="202">
        <v>37</v>
      </c>
      <c r="B40" s="203" t="s">
        <v>1340</v>
      </c>
      <c r="C40" s="61" t="s">
        <v>34</v>
      </c>
      <c r="D40" s="61" t="s">
        <v>36</v>
      </c>
      <c r="E40" s="204">
        <v>1224999</v>
      </c>
      <c r="F40" s="205">
        <f t="shared" si="0"/>
        <v>1188249.03</v>
      </c>
      <c r="G40" s="206">
        <f t="shared" si="1"/>
        <v>1151499.0599999998</v>
      </c>
      <c r="H40" s="61">
        <v>723.87</v>
      </c>
      <c r="I40" s="61">
        <v>575.65</v>
      </c>
      <c r="J40" s="61">
        <v>148.22</v>
      </c>
      <c r="K40" s="61" t="s">
        <v>1539</v>
      </c>
    </row>
    <row r="41" spans="1:11">
      <c r="A41" s="202">
        <v>38</v>
      </c>
      <c r="B41" s="203" t="s">
        <v>1341</v>
      </c>
      <c r="C41" s="61" t="s">
        <v>34</v>
      </c>
      <c r="D41" s="61" t="s">
        <v>36</v>
      </c>
      <c r="E41" s="204">
        <v>1224999</v>
      </c>
      <c r="F41" s="205">
        <f t="shared" si="0"/>
        <v>1188249.03</v>
      </c>
      <c r="G41" s="206">
        <f t="shared" si="1"/>
        <v>1151499.0599999998</v>
      </c>
      <c r="H41" s="61">
        <v>723.87</v>
      </c>
      <c r="I41" s="61">
        <v>575.65</v>
      </c>
      <c r="J41" s="61">
        <v>148.22</v>
      </c>
      <c r="K41" s="61" t="s">
        <v>1539</v>
      </c>
    </row>
    <row r="42" spans="1:11">
      <c r="A42" s="202">
        <v>39</v>
      </c>
      <c r="B42" s="203" t="s">
        <v>1342</v>
      </c>
      <c r="C42" s="61" t="s">
        <v>34</v>
      </c>
      <c r="D42" s="61" t="s">
        <v>36</v>
      </c>
      <c r="E42" s="204">
        <v>1225999</v>
      </c>
      <c r="F42" s="205">
        <f t="shared" si="0"/>
        <v>1189219.03</v>
      </c>
      <c r="G42" s="206">
        <f t="shared" si="1"/>
        <v>1152439.0599999998</v>
      </c>
      <c r="H42" s="61">
        <v>723.98</v>
      </c>
      <c r="I42" s="61">
        <v>575.76</v>
      </c>
      <c r="J42" s="61">
        <v>148.22</v>
      </c>
      <c r="K42" s="61" t="s">
        <v>1539</v>
      </c>
    </row>
    <row r="43" spans="1:11">
      <c r="A43" s="202">
        <v>40</v>
      </c>
      <c r="B43" s="203" t="s">
        <v>1343</v>
      </c>
      <c r="C43" s="61" t="s">
        <v>34</v>
      </c>
      <c r="D43" s="61" t="s">
        <v>36</v>
      </c>
      <c r="E43" s="204">
        <v>1224999</v>
      </c>
      <c r="F43" s="205">
        <f t="shared" si="0"/>
        <v>1188249.03</v>
      </c>
      <c r="G43" s="206">
        <f t="shared" si="1"/>
        <v>1151499.0599999998</v>
      </c>
      <c r="H43" s="61">
        <v>723.87</v>
      </c>
      <c r="I43" s="61">
        <v>575.65</v>
      </c>
      <c r="J43" s="61">
        <v>148.22</v>
      </c>
      <c r="K43" s="61" t="s">
        <v>1539</v>
      </c>
    </row>
    <row r="44" spans="1:11">
      <c r="A44" s="202">
        <v>41</v>
      </c>
      <c r="B44" s="203" t="s">
        <v>1344</v>
      </c>
      <c r="C44" s="61" t="s">
        <v>6</v>
      </c>
      <c r="D44" s="61" t="s">
        <v>36</v>
      </c>
      <c r="E44" s="204">
        <v>1224999</v>
      </c>
      <c r="F44" s="205">
        <f t="shared" si="0"/>
        <v>1188249.03</v>
      </c>
      <c r="G44" s="206">
        <f t="shared" si="1"/>
        <v>1151499.0599999998</v>
      </c>
      <c r="H44" s="61">
        <v>841.95</v>
      </c>
      <c r="I44" s="61">
        <v>596.42999999999995</v>
      </c>
      <c r="J44" s="61">
        <v>245.52</v>
      </c>
      <c r="K44" s="61" t="s">
        <v>1540</v>
      </c>
    </row>
    <row r="45" spans="1:11">
      <c r="A45" s="202">
        <v>42</v>
      </c>
      <c r="B45" s="203" t="s">
        <v>1345</v>
      </c>
      <c r="C45" s="61" t="s">
        <v>4463</v>
      </c>
      <c r="D45" s="61" t="s">
        <v>36</v>
      </c>
      <c r="E45" s="204">
        <v>1223999</v>
      </c>
      <c r="F45" s="205">
        <f t="shared" si="0"/>
        <v>1187279.03</v>
      </c>
      <c r="G45" s="206">
        <f t="shared" si="1"/>
        <v>1150559.0599999998</v>
      </c>
      <c r="H45" s="61">
        <v>721.18</v>
      </c>
      <c r="I45" s="61">
        <v>572.96</v>
      </c>
      <c r="J45" s="61">
        <v>148.22</v>
      </c>
      <c r="K45" s="61" t="s">
        <v>1539</v>
      </c>
    </row>
    <row r="46" spans="1:11">
      <c r="A46" s="202">
        <v>43</v>
      </c>
      <c r="B46" s="203" t="s">
        <v>1346</v>
      </c>
      <c r="C46" s="61" t="s">
        <v>34</v>
      </c>
      <c r="D46" s="61" t="s">
        <v>36</v>
      </c>
      <c r="E46" s="204">
        <v>1223999</v>
      </c>
      <c r="F46" s="205">
        <f t="shared" si="0"/>
        <v>1187279.03</v>
      </c>
      <c r="G46" s="206">
        <f t="shared" si="1"/>
        <v>1150559.0599999998</v>
      </c>
      <c r="H46" s="61">
        <v>722.69</v>
      </c>
      <c r="I46" s="61">
        <v>575.33000000000004</v>
      </c>
      <c r="J46" s="61">
        <v>147.36000000000001</v>
      </c>
      <c r="K46" s="61" t="s">
        <v>1539</v>
      </c>
    </row>
    <row r="47" spans="1:11">
      <c r="A47" s="202">
        <v>44</v>
      </c>
      <c r="B47" s="203" t="s">
        <v>1347</v>
      </c>
      <c r="C47" s="61" t="s">
        <v>4461</v>
      </c>
      <c r="D47" s="61" t="s">
        <v>36</v>
      </c>
      <c r="E47" s="204">
        <v>1222999</v>
      </c>
      <c r="F47" s="205">
        <f t="shared" si="0"/>
        <v>1186309.03</v>
      </c>
      <c r="G47" s="206">
        <f t="shared" si="1"/>
        <v>1149619.0599999998</v>
      </c>
      <c r="H47" s="61">
        <v>723.98</v>
      </c>
      <c r="I47" s="61">
        <v>575.76</v>
      </c>
      <c r="J47" s="61">
        <v>148.22</v>
      </c>
      <c r="K47" s="61" t="s">
        <v>1539</v>
      </c>
    </row>
    <row r="48" spans="1:11">
      <c r="A48" s="202">
        <v>45</v>
      </c>
      <c r="B48" s="203" t="s">
        <v>1348</v>
      </c>
      <c r="C48" s="61" t="s">
        <v>4461</v>
      </c>
      <c r="D48" s="61" t="s">
        <v>36</v>
      </c>
      <c r="E48" s="204">
        <v>1222999</v>
      </c>
      <c r="F48" s="205">
        <f t="shared" si="0"/>
        <v>1186309.03</v>
      </c>
      <c r="G48" s="206">
        <f t="shared" si="1"/>
        <v>1149619.0599999998</v>
      </c>
      <c r="H48" s="61">
        <v>723.87</v>
      </c>
      <c r="I48" s="61">
        <v>575.65</v>
      </c>
      <c r="J48" s="61">
        <v>148.22</v>
      </c>
      <c r="K48" s="61" t="s">
        <v>1539</v>
      </c>
    </row>
    <row r="49" spans="1:11">
      <c r="A49" s="202">
        <v>46</v>
      </c>
      <c r="B49" s="203" t="s">
        <v>1349</v>
      </c>
      <c r="C49" s="61" t="s">
        <v>4461</v>
      </c>
      <c r="D49" s="61" t="s">
        <v>36</v>
      </c>
      <c r="E49" s="204">
        <v>1222999</v>
      </c>
      <c r="F49" s="205">
        <f t="shared" si="0"/>
        <v>1186309.03</v>
      </c>
      <c r="G49" s="206">
        <f t="shared" si="1"/>
        <v>1149619.0599999998</v>
      </c>
      <c r="H49" s="61">
        <v>723.87</v>
      </c>
      <c r="I49" s="61">
        <v>575.65</v>
      </c>
      <c r="J49" s="61">
        <v>148.22</v>
      </c>
      <c r="K49" s="61" t="s">
        <v>1539</v>
      </c>
    </row>
    <row r="50" spans="1:11">
      <c r="A50" s="202">
        <v>47</v>
      </c>
      <c r="B50" s="203" t="s">
        <v>1350</v>
      </c>
      <c r="C50" s="61" t="s">
        <v>4461</v>
      </c>
      <c r="D50" s="61" t="s">
        <v>36</v>
      </c>
      <c r="E50" s="204">
        <v>1222999</v>
      </c>
      <c r="F50" s="205">
        <f t="shared" si="0"/>
        <v>1186309.03</v>
      </c>
      <c r="G50" s="206">
        <f t="shared" si="1"/>
        <v>1149619.0599999998</v>
      </c>
      <c r="H50" s="61">
        <v>723.87</v>
      </c>
      <c r="I50" s="61">
        <v>575.65</v>
      </c>
      <c r="J50" s="61">
        <v>148.22</v>
      </c>
      <c r="K50" s="61" t="s">
        <v>1539</v>
      </c>
    </row>
    <row r="51" spans="1:11">
      <c r="A51" s="202">
        <v>48</v>
      </c>
      <c r="B51" s="203" t="s">
        <v>4352</v>
      </c>
      <c r="C51" s="61" t="s">
        <v>7</v>
      </c>
      <c r="D51" s="61" t="s">
        <v>36</v>
      </c>
      <c r="E51" s="204">
        <v>1222999</v>
      </c>
      <c r="F51" s="205">
        <f t="shared" si="0"/>
        <v>1186309.03</v>
      </c>
      <c r="G51" s="206">
        <f t="shared" si="1"/>
        <v>1149619.0599999998</v>
      </c>
      <c r="H51" s="61">
        <v>841.95</v>
      </c>
      <c r="I51" s="61">
        <v>596.42999999999995</v>
      </c>
      <c r="J51" s="61">
        <v>245.52</v>
      </c>
      <c r="K51" s="61" t="s">
        <v>1540</v>
      </c>
    </row>
    <row r="52" spans="1:11">
      <c r="A52" s="202">
        <v>49</v>
      </c>
      <c r="B52" s="203" t="s">
        <v>1351</v>
      </c>
      <c r="C52" s="61" t="s">
        <v>4461</v>
      </c>
      <c r="D52" s="61" t="s">
        <v>36</v>
      </c>
      <c r="E52" s="204">
        <v>1222999</v>
      </c>
      <c r="F52" s="205">
        <f t="shared" si="0"/>
        <v>1186309.03</v>
      </c>
      <c r="G52" s="206">
        <f t="shared" si="1"/>
        <v>1149619.0599999998</v>
      </c>
      <c r="H52" s="61">
        <v>723.66</v>
      </c>
      <c r="I52" s="61">
        <v>575.44000000000005</v>
      </c>
      <c r="J52" s="61">
        <v>148.22</v>
      </c>
      <c r="K52" s="61" t="s">
        <v>1539</v>
      </c>
    </row>
    <row r="53" spans="1:11">
      <c r="A53" s="202">
        <v>50</v>
      </c>
      <c r="B53" s="203" t="s">
        <v>1352</v>
      </c>
      <c r="C53" s="61" t="s">
        <v>4462</v>
      </c>
      <c r="D53" s="61" t="s">
        <v>36</v>
      </c>
      <c r="E53" s="204">
        <v>1221999</v>
      </c>
      <c r="F53" s="205">
        <f t="shared" si="0"/>
        <v>1185339.03</v>
      </c>
      <c r="G53" s="206">
        <f t="shared" si="1"/>
        <v>1148679.0599999998</v>
      </c>
      <c r="H53" s="61">
        <v>721.18</v>
      </c>
      <c r="I53" s="61">
        <v>572.96</v>
      </c>
      <c r="J53" s="61">
        <v>148.22</v>
      </c>
      <c r="K53" s="61" t="s">
        <v>1539</v>
      </c>
    </row>
    <row r="54" spans="1:11">
      <c r="A54" s="202">
        <v>51</v>
      </c>
      <c r="B54" s="203" t="s">
        <v>1353</v>
      </c>
      <c r="C54" s="61" t="s">
        <v>4462</v>
      </c>
      <c r="D54" s="61" t="s">
        <v>36</v>
      </c>
      <c r="E54" s="204">
        <v>1221999</v>
      </c>
      <c r="F54" s="205">
        <f t="shared" si="0"/>
        <v>1185339.03</v>
      </c>
      <c r="G54" s="206">
        <f t="shared" si="1"/>
        <v>1148679.0599999998</v>
      </c>
      <c r="H54" s="61">
        <v>721.18</v>
      </c>
      <c r="I54" s="61">
        <v>572.96</v>
      </c>
      <c r="J54" s="61">
        <v>148.22</v>
      </c>
      <c r="K54" s="61" t="s">
        <v>1539</v>
      </c>
    </row>
    <row r="55" spans="1:11">
      <c r="A55" s="202">
        <v>52</v>
      </c>
      <c r="B55" s="203" t="s">
        <v>1354</v>
      </c>
      <c r="C55" s="61" t="s">
        <v>4461</v>
      </c>
      <c r="D55" s="61" t="s">
        <v>36</v>
      </c>
      <c r="E55" s="204">
        <v>1221999</v>
      </c>
      <c r="F55" s="205">
        <f t="shared" si="0"/>
        <v>1185339.03</v>
      </c>
      <c r="G55" s="206">
        <f t="shared" si="1"/>
        <v>1148679.0599999998</v>
      </c>
      <c r="H55" s="61">
        <v>722.8</v>
      </c>
      <c r="I55" s="61">
        <v>575.33000000000004</v>
      </c>
      <c r="J55" s="61">
        <v>147.47</v>
      </c>
      <c r="K55" s="61" t="s">
        <v>1539</v>
      </c>
    </row>
    <row r="56" spans="1:11">
      <c r="A56" s="202">
        <v>53</v>
      </c>
      <c r="B56" s="203" t="s">
        <v>1355</v>
      </c>
      <c r="C56" s="61" t="s">
        <v>4460</v>
      </c>
      <c r="D56" s="61" t="s">
        <v>36</v>
      </c>
      <c r="E56" s="204">
        <v>1220999</v>
      </c>
      <c r="F56" s="205">
        <f t="shared" si="0"/>
        <v>1184369.03</v>
      </c>
      <c r="G56" s="206">
        <f t="shared" si="1"/>
        <v>1147739.0599999998</v>
      </c>
      <c r="H56" s="61">
        <v>723.87</v>
      </c>
      <c r="I56" s="61">
        <v>575.65</v>
      </c>
      <c r="J56" s="61">
        <v>148.22</v>
      </c>
      <c r="K56" s="61" t="s">
        <v>1539</v>
      </c>
    </row>
    <row r="57" spans="1:11">
      <c r="A57" s="202">
        <v>54</v>
      </c>
      <c r="B57" s="203" t="s">
        <v>1356</v>
      </c>
      <c r="C57" s="61" t="s">
        <v>4460</v>
      </c>
      <c r="D57" s="61" t="s">
        <v>36</v>
      </c>
      <c r="E57" s="204">
        <v>1220999</v>
      </c>
      <c r="F57" s="205">
        <f t="shared" si="0"/>
        <v>1184369.03</v>
      </c>
      <c r="G57" s="206">
        <f t="shared" si="1"/>
        <v>1147739.0599999998</v>
      </c>
      <c r="H57" s="61">
        <v>723.87</v>
      </c>
      <c r="I57" s="61">
        <v>575.65</v>
      </c>
      <c r="J57" s="61">
        <v>148.22</v>
      </c>
      <c r="K57" s="61" t="s">
        <v>1539</v>
      </c>
    </row>
    <row r="58" spans="1:11">
      <c r="A58" s="202">
        <v>55</v>
      </c>
      <c r="B58" s="203" t="s">
        <v>1357</v>
      </c>
      <c r="C58" s="61" t="s">
        <v>4460</v>
      </c>
      <c r="D58" s="61" t="s">
        <v>36</v>
      </c>
      <c r="E58" s="204">
        <v>1220999</v>
      </c>
      <c r="F58" s="205">
        <f t="shared" si="0"/>
        <v>1184369.03</v>
      </c>
      <c r="G58" s="206">
        <f t="shared" si="1"/>
        <v>1147739.0599999998</v>
      </c>
      <c r="H58" s="61">
        <v>723.98</v>
      </c>
      <c r="I58" s="61">
        <v>575.76</v>
      </c>
      <c r="J58" s="61">
        <v>148.22</v>
      </c>
      <c r="K58" s="61" t="s">
        <v>1539</v>
      </c>
    </row>
    <row r="59" spans="1:11">
      <c r="A59" s="202">
        <v>56</v>
      </c>
      <c r="B59" s="203" t="s">
        <v>1358</v>
      </c>
      <c r="C59" s="61" t="s">
        <v>4460</v>
      </c>
      <c r="D59" s="61" t="s">
        <v>36</v>
      </c>
      <c r="E59" s="204">
        <v>1220999</v>
      </c>
      <c r="F59" s="205">
        <f t="shared" si="0"/>
        <v>1184369.03</v>
      </c>
      <c r="G59" s="206">
        <f t="shared" si="1"/>
        <v>1147739.0599999998</v>
      </c>
      <c r="H59" s="61">
        <v>723.87</v>
      </c>
      <c r="I59" s="61">
        <v>575.65</v>
      </c>
      <c r="J59" s="61">
        <v>148.22</v>
      </c>
      <c r="K59" s="61" t="s">
        <v>1539</v>
      </c>
    </row>
    <row r="60" spans="1:11">
      <c r="A60" s="202">
        <v>57</v>
      </c>
      <c r="B60" s="203" t="s">
        <v>1359</v>
      </c>
      <c r="C60" s="61" t="s">
        <v>8</v>
      </c>
      <c r="D60" s="61" t="s">
        <v>36</v>
      </c>
      <c r="E60" s="204">
        <v>1219999</v>
      </c>
      <c r="F60" s="205">
        <f t="shared" si="0"/>
        <v>1183399.03</v>
      </c>
      <c r="G60" s="206">
        <f t="shared" si="1"/>
        <v>1146799.0599999998</v>
      </c>
      <c r="H60" s="61">
        <v>841.95</v>
      </c>
      <c r="I60" s="61">
        <v>596.42999999999995</v>
      </c>
      <c r="J60" s="61">
        <v>245.52</v>
      </c>
      <c r="K60" s="61" t="s">
        <v>1540</v>
      </c>
    </row>
    <row r="61" spans="1:11">
      <c r="A61" s="202">
        <v>58</v>
      </c>
      <c r="B61" s="203" t="s">
        <v>1360</v>
      </c>
      <c r="C61" s="61" t="s">
        <v>4460</v>
      </c>
      <c r="D61" s="61" t="s">
        <v>36</v>
      </c>
      <c r="E61" s="204">
        <v>1219999</v>
      </c>
      <c r="F61" s="205">
        <f t="shared" si="0"/>
        <v>1183399.03</v>
      </c>
      <c r="G61" s="206">
        <f t="shared" si="1"/>
        <v>1146799.0599999998</v>
      </c>
      <c r="H61" s="61">
        <v>723.66</v>
      </c>
      <c r="I61" s="61">
        <v>575.44000000000005</v>
      </c>
      <c r="J61" s="61">
        <v>148.22</v>
      </c>
      <c r="K61" s="61" t="s">
        <v>1539</v>
      </c>
    </row>
    <row r="62" spans="1:11">
      <c r="A62" s="202">
        <v>59</v>
      </c>
      <c r="B62" s="203" t="s">
        <v>4353</v>
      </c>
      <c r="C62" s="61" t="s">
        <v>4495</v>
      </c>
      <c r="D62" s="61" t="s">
        <v>36</v>
      </c>
      <c r="E62" s="204">
        <v>1219999</v>
      </c>
      <c r="F62" s="205">
        <f t="shared" si="0"/>
        <v>1183399.03</v>
      </c>
      <c r="G62" s="206">
        <f t="shared" si="1"/>
        <v>1146799.0599999998</v>
      </c>
      <c r="H62" s="61">
        <v>721.18</v>
      </c>
      <c r="I62" s="61">
        <v>572.96</v>
      </c>
      <c r="J62" s="61">
        <v>148.22</v>
      </c>
      <c r="K62" s="61" t="s">
        <v>1539</v>
      </c>
    </row>
    <row r="63" spans="1:11">
      <c r="A63" s="202">
        <v>60</v>
      </c>
      <c r="B63" s="203" t="s">
        <v>1361</v>
      </c>
      <c r="C63" s="61" t="s">
        <v>4460</v>
      </c>
      <c r="D63" s="61" t="s">
        <v>36</v>
      </c>
      <c r="E63" s="204">
        <v>1219999</v>
      </c>
      <c r="F63" s="205">
        <f t="shared" si="0"/>
        <v>1183399.03</v>
      </c>
      <c r="G63" s="206">
        <f t="shared" si="1"/>
        <v>1146799.0599999998</v>
      </c>
      <c r="H63" s="61">
        <v>722.8</v>
      </c>
      <c r="I63" s="61">
        <v>575.33000000000004</v>
      </c>
      <c r="J63" s="61">
        <v>147.47</v>
      </c>
      <c r="K63" s="61" t="s">
        <v>1539</v>
      </c>
    </row>
    <row r="64" spans="1:11">
      <c r="A64" s="202">
        <v>61</v>
      </c>
      <c r="B64" s="203" t="s">
        <v>1362</v>
      </c>
      <c r="C64" s="61" t="s">
        <v>11</v>
      </c>
      <c r="D64" s="61" t="s">
        <v>36</v>
      </c>
      <c r="E64" s="204">
        <v>1218999</v>
      </c>
      <c r="F64" s="205">
        <f t="shared" si="0"/>
        <v>1182429.03</v>
      </c>
      <c r="G64" s="206">
        <f t="shared" si="1"/>
        <v>1145859.0599999998</v>
      </c>
      <c r="H64" s="61">
        <v>723.98</v>
      </c>
      <c r="I64" s="61">
        <v>575.76</v>
      </c>
      <c r="J64" s="61">
        <v>148.22</v>
      </c>
      <c r="K64" s="61" t="s">
        <v>1539</v>
      </c>
    </row>
    <row r="65" spans="1:11">
      <c r="A65" s="202">
        <v>62</v>
      </c>
      <c r="B65" s="203" t="s">
        <v>1363</v>
      </c>
      <c r="C65" s="61" t="s">
        <v>11</v>
      </c>
      <c r="D65" s="61" t="s">
        <v>36</v>
      </c>
      <c r="E65" s="204">
        <v>1217999</v>
      </c>
      <c r="F65" s="205">
        <f t="shared" si="0"/>
        <v>1181459.03</v>
      </c>
      <c r="G65" s="206">
        <f t="shared" si="1"/>
        <v>1144919.0599999998</v>
      </c>
      <c r="H65" s="61">
        <v>723.87</v>
      </c>
      <c r="I65" s="61">
        <v>575.65</v>
      </c>
      <c r="J65" s="61">
        <v>148.22</v>
      </c>
      <c r="K65" s="61" t="s">
        <v>1539</v>
      </c>
    </row>
    <row r="66" spans="1:11">
      <c r="A66" s="202">
        <v>63</v>
      </c>
      <c r="B66" s="203" t="s">
        <v>1364</v>
      </c>
      <c r="C66" s="61" t="s">
        <v>11</v>
      </c>
      <c r="D66" s="61" t="s">
        <v>36</v>
      </c>
      <c r="E66" s="204">
        <v>1217999</v>
      </c>
      <c r="F66" s="205">
        <f t="shared" si="0"/>
        <v>1181459.03</v>
      </c>
      <c r="G66" s="206">
        <f t="shared" si="1"/>
        <v>1144919.0599999998</v>
      </c>
      <c r="H66" s="61">
        <v>723.87</v>
      </c>
      <c r="I66" s="61">
        <v>575.65</v>
      </c>
      <c r="J66" s="61">
        <v>148.22</v>
      </c>
      <c r="K66" s="61" t="s">
        <v>1539</v>
      </c>
    </row>
    <row r="67" spans="1:11">
      <c r="A67" s="202">
        <v>64</v>
      </c>
      <c r="B67" s="203" t="s">
        <v>1365</v>
      </c>
      <c r="C67" s="61" t="s">
        <v>11</v>
      </c>
      <c r="D67" s="61" t="s">
        <v>36</v>
      </c>
      <c r="E67" s="204">
        <v>1217999</v>
      </c>
      <c r="F67" s="205">
        <f t="shared" si="0"/>
        <v>1181459.03</v>
      </c>
      <c r="G67" s="206">
        <f t="shared" si="1"/>
        <v>1144919.0599999998</v>
      </c>
      <c r="H67" s="61">
        <v>723.87</v>
      </c>
      <c r="I67" s="61">
        <v>575.65</v>
      </c>
      <c r="J67" s="61">
        <v>148.22</v>
      </c>
      <c r="K67" s="61" t="s">
        <v>1539</v>
      </c>
    </row>
    <row r="68" spans="1:11">
      <c r="A68" s="202">
        <v>65</v>
      </c>
      <c r="B68" s="203" t="s">
        <v>1366</v>
      </c>
      <c r="C68" s="61" t="s">
        <v>11</v>
      </c>
      <c r="D68" s="61" t="s">
        <v>36</v>
      </c>
      <c r="E68" s="204">
        <v>1217999</v>
      </c>
      <c r="F68" s="205">
        <f t="shared" ref="F68:F131" si="2">E68*0.97</f>
        <v>1181459.03</v>
      </c>
      <c r="G68" s="206">
        <f t="shared" ref="G68:G131" si="3">E68*0.94</f>
        <v>1144919.0599999998</v>
      </c>
      <c r="H68" s="61">
        <v>723.66</v>
      </c>
      <c r="I68" s="61">
        <v>575.44000000000005</v>
      </c>
      <c r="J68" s="61">
        <v>148.22</v>
      </c>
      <c r="K68" s="61" t="s">
        <v>1539</v>
      </c>
    </row>
    <row r="69" spans="1:11">
      <c r="A69" s="202">
        <v>66</v>
      </c>
      <c r="B69" s="203" t="s">
        <v>1367</v>
      </c>
      <c r="C69" s="61" t="s">
        <v>9</v>
      </c>
      <c r="D69" s="61" t="s">
        <v>36</v>
      </c>
      <c r="E69" s="204">
        <v>1217999</v>
      </c>
      <c r="F69" s="205">
        <f t="shared" si="2"/>
        <v>1181459.03</v>
      </c>
      <c r="G69" s="206">
        <f t="shared" si="3"/>
        <v>1144919.0599999998</v>
      </c>
      <c r="H69" s="61">
        <v>841.95</v>
      </c>
      <c r="I69" s="61">
        <v>596.42999999999995</v>
      </c>
      <c r="J69" s="61">
        <v>245.52</v>
      </c>
      <c r="K69" s="61" t="s">
        <v>1540</v>
      </c>
    </row>
    <row r="70" spans="1:11">
      <c r="A70" s="202">
        <v>67</v>
      </c>
      <c r="B70" s="203" t="s">
        <v>1368</v>
      </c>
      <c r="C70" s="61" t="s">
        <v>11</v>
      </c>
      <c r="D70" s="61" t="s">
        <v>36</v>
      </c>
      <c r="E70" s="204">
        <v>1216999</v>
      </c>
      <c r="F70" s="205">
        <f t="shared" si="2"/>
        <v>1180489.03</v>
      </c>
      <c r="G70" s="206">
        <f t="shared" si="3"/>
        <v>1143979.0599999998</v>
      </c>
      <c r="H70" s="61">
        <v>722.8</v>
      </c>
      <c r="I70" s="61">
        <v>575.33000000000004</v>
      </c>
      <c r="J70" s="61">
        <v>147.47</v>
      </c>
      <c r="K70" s="61" t="s">
        <v>1539</v>
      </c>
    </row>
    <row r="71" spans="1:11">
      <c r="A71" s="202">
        <v>68</v>
      </c>
      <c r="B71" s="203" t="s">
        <v>1369</v>
      </c>
      <c r="C71" s="61" t="s">
        <v>12</v>
      </c>
      <c r="D71" s="61" t="s">
        <v>36</v>
      </c>
      <c r="E71" s="204">
        <v>1215999</v>
      </c>
      <c r="F71" s="205">
        <f t="shared" si="2"/>
        <v>1179519.03</v>
      </c>
      <c r="G71" s="206">
        <f t="shared" si="3"/>
        <v>1143039.0599999998</v>
      </c>
      <c r="H71" s="61">
        <v>723.98</v>
      </c>
      <c r="I71" s="61">
        <v>575.76</v>
      </c>
      <c r="J71" s="61">
        <v>148.22</v>
      </c>
      <c r="K71" s="61" t="s">
        <v>1539</v>
      </c>
    </row>
    <row r="72" spans="1:11">
      <c r="A72" s="202">
        <v>69</v>
      </c>
      <c r="B72" s="203" t="s">
        <v>1370</v>
      </c>
      <c r="C72" s="61" t="s">
        <v>12</v>
      </c>
      <c r="D72" s="61" t="s">
        <v>36</v>
      </c>
      <c r="E72" s="204">
        <v>1215999</v>
      </c>
      <c r="F72" s="205">
        <f t="shared" si="2"/>
        <v>1179519.03</v>
      </c>
      <c r="G72" s="206">
        <f t="shared" si="3"/>
        <v>1143039.0599999998</v>
      </c>
      <c r="H72" s="61">
        <v>723.87</v>
      </c>
      <c r="I72" s="61">
        <v>575.65</v>
      </c>
      <c r="J72" s="61">
        <v>148.22</v>
      </c>
      <c r="K72" s="61" t="s">
        <v>1539</v>
      </c>
    </row>
    <row r="73" spans="1:11">
      <c r="A73" s="202">
        <v>70</v>
      </c>
      <c r="B73" s="203" t="s">
        <v>1371</v>
      </c>
      <c r="C73" s="61" t="s">
        <v>12</v>
      </c>
      <c r="D73" s="61" t="s">
        <v>36</v>
      </c>
      <c r="E73" s="204">
        <v>1215999</v>
      </c>
      <c r="F73" s="205">
        <f t="shared" si="2"/>
        <v>1179519.03</v>
      </c>
      <c r="G73" s="206">
        <f t="shared" si="3"/>
        <v>1143039.0599999998</v>
      </c>
      <c r="H73" s="61">
        <v>723.87</v>
      </c>
      <c r="I73" s="61">
        <v>575.65</v>
      </c>
      <c r="J73" s="61">
        <v>148.22</v>
      </c>
      <c r="K73" s="61" t="s">
        <v>1539</v>
      </c>
    </row>
    <row r="74" spans="1:11">
      <c r="A74" s="202">
        <v>71</v>
      </c>
      <c r="B74" s="203" t="s">
        <v>1372</v>
      </c>
      <c r="C74" s="61" t="s">
        <v>12</v>
      </c>
      <c r="D74" s="61" t="s">
        <v>36</v>
      </c>
      <c r="E74" s="204">
        <v>1215999</v>
      </c>
      <c r="F74" s="205">
        <f t="shared" si="2"/>
        <v>1179519.03</v>
      </c>
      <c r="G74" s="206">
        <f t="shared" si="3"/>
        <v>1143039.0599999998</v>
      </c>
      <c r="H74" s="61">
        <v>723.66</v>
      </c>
      <c r="I74" s="61">
        <v>575.44000000000005</v>
      </c>
      <c r="J74" s="61">
        <v>148.22</v>
      </c>
      <c r="K74" s="61" t="s">
        <v>1539</v>
      </c>
    </row>
    <row r="75" spans="1:11">
      <c r="A75" s="202">
        <v>72</v>
      </c>
      <c r="B75" s="203" t="s">
        <v>1373</v>
      </c>
      <c r="C75" s="61" t="s">
        <v>12</v>
      </c>
      <c r="D75" s="61" t="s">
        <v>36</v>
      </c>
      <c r="E75" s="204">
        <v>1215999</v>
      </c>
      <c r="F75" s="205">
        <f t="shared" si="2"/>
        <v>1179519.03</v>
      </c>
      <c r="G75" s="206">
        <f t="shared" si="3"/>
        <v>1143039.0599999998</v>
      </c>
      <c r="H75" s="61">
        <v>723.87</v>
      </c>
      <c r="I75" s="61">
        <v>575.65</v>
      </c>
      <c r="J75" s="61">
        <v>148.22</v>
      </c>
      <c r="K75" s="61" t="s">
        <v>1539</v>
      </c>
    </row>
    <row r="76" spans="1:11">
      <c r="A76" s="202">
        <v>73</v>
      </c>
      <c r="B76" s="203" t="s">
        <v>1374</v>
      </c>
      <c r="C76" s="61" t="s">
        <v>10</v>
      </c>
      <c r="D76" s="61" t="s">
        <v>36</v>
      </c>
      <c r="E76" s="204">
        <v>1215999</v>
      </c>
      <c r="F76" s="205">
        <f t="shared" si="2"/>
        <v>1179519.03</v>
      </c>
      <c r="G76" s="206">
        <f t="shared" si="3"/>
        <v>1143039.0599999998</v>
      </c>
      <c r="H76" s="61">
        <v>841.95</v>
      </c>
      <c r="I76" s="61">
        <v>596.42999999999995</v>
      </c>
      <c r="J76" s="61">
        <v>245.52</v>
      </c>
      <c r="K76" s="61" t="s">
        <v>1540</v>
      </c>
    </row>
    <row r="77" spans="1:11">
      <c r="A77" s="202">
        <v>74</v>
      </c>
      <c r="B77" s="203" t="s">
        <v>1375</v>
      </c>
      <c r="C77" s="61" t="s">
        <v>33</v>
      </c>
      <c r="D77" s="61" t="s">
        <v>36</v>
      </c>
      <c r="E77" s="204">
        <v>1214999</v>
      </c>
      <c r="F77" s="205">
        <f t="shared" si="2"/>
        <v>1178549.03</v>
      </c>
      <c r="G77" s="206">
        <f t="shared" si="3"/>
        <v>1142099.0599999998</v>
      </c>
      <c r="H77" s="61">
        <v>721.18</v>
      </c>
      <c r="I77" s="61">
        <v>572.96</v>
      </c>
      <c r="J77" s="61">
        <v>148.22</v>
      </c>
      <c r="K77" s="61" t="s">
        <v>1539</v>
      </c>
    </row>
    <row r="78" spans="1:11">
      <c r="A78" s="202">
        <v>75</v>
      </c>
      <c r="B78" s="203" t="s">
        <v>1376</v>
      </c>
      <c r="C78" s="61" t="s">
        <v>33</v>
      </c>
      <c r="D78" s="61" t="s">
        <v>36</v>
      </c>
      <c r="E78" s="204">
        <v>1214999</v>
      </c>
      <c r="F78" s="205">
        <f t="shared" si="2"/>
        <v>1178549.03</v>
      </c>
      <c r="G78" s="206">
        <f t="shared" si="3"/>
        <v>1142099.0599999998</v>
      </c>
      <c r="H78" s="61">
        <v>721.29</v>
      </c>
      <c r="I78" s="61">
        <v>573.07000000000005</v>
      </c>
      <c r="J78" s="61">
        <v>148.22</v>
      </c>
      <c r="K78" s="61" t="s">
        <v>1539</v>
      </c>
    </row>
    <row r="79" spans="1:11">
      <c r="A79" s="202">
        <v>76</v>
      </c>
      <c r="B79" s="203" t="s">
        <v>1377</v>
      </c>
      <c r="C79" s="61" t="s">
        <v>33</v>
      </c>
      <c r="D79" s="61" t="s">
        <v>36</v>
      </c>
      <c r="E79" s="204">
        <v>1214999</v>
      </c>
      <c r="F79" s="205">
        <f t="shared" si="2"/>
        <v>1178549.03</v>
      </c>
      <c r="G79" s="206">
        <f t="shared" si="3"/>
        <v>1142099.0599999998</v>
      </c>
      <c r="H79" s="61">
        <v>721.18</v>
      </c>
      <c r="I79" s="61">
        <v>572.96</v>
      </c>
      <c r="J79" s="61">
        <v>148.22</v>
      </c>
      <c r="K79" s="61" t="s">
        <v>1539</v>
      </c>
    </row>
    <row r="80" spans="1:11">
      <c r="A80" s="202">
        <v>77</v>
      </c>
      <c r="B80" s="203" t="s">
        <v>4605</v>
      </c>
      <c r="C80" s="61" t="s">
        <v>33</v>
      </c>
      <c r="D80" s="61" t="s">
        <v>36</v>
      </c>
      <c r="E80" s="204">
        <v>1214999</v>
      </c>
      <c r="F80" s="205">
        <f t="shared" si="2"/>
        <v>1178549.03</v>
      </c>
      <c r="G80" s="206">
        <f t="shared" si="3"/>
        <v>1142099.0599999998</v>
      </c>
      <c r="H80" s="61">
        <v>721.18</v>
      </c>
      <c r="I80" s="61">
        <v>572.96</v>
      </c>
      <c r="J80" s="61">
        <v>148.22</v>
      </c>
      <c r="K80" s="61" t="s">
        <v>1539</v>
      </c>
    </row>
    <row r="81" spans="1:11">
      <c r="A81" s="202">
        <v>78</v>
      </c>
      <c r="B81" s="203" t="s">
        <v>1378</v>
      </c>
      <c r="C81" s="61" t="s">
        <v>12</v>
      </c>
      <c r="D81" s="61" t="s">
        <v>36</v>
      </c>
      <c r="E81" s="204">
        <v>1214999</v>
      </c>
      <c r="F81" s="205">
        <f t="shared" si="2"/>
        <v>1178549.03</v>
      </c>
      <c r="G81" s="206">
        <f t="shared" si="3"/>
        <v>1142099.0599999998</v>
      </c>
      <c r="H81" s="61">
        <v>722.8</v>
      </c>
      <c r="I81" s="61">
        <v>575.33000000000004</v>
      </c>
      <c r="J81" s="61">
        <v>147.47</v>
      </c>
      <c r="K81" s="61" t="s">
        <v>1539</v>
      </c>
    </row>
    <row r="82" spans="1:11">
      <c r="A82" s="202">
        <v>79</v>
      </c>
      <c r="B82" s="203" t="s">
        <v>1379</v>
      </c>
      <c r="C82" s="61" t="s">
        <v>32</v>
      </c>
      <c r="D82" s="61" t="s">
        <v>36</v>
      </c>
      <c r="E82" s="204">
        <v>1213999</v>
      </c>
      <c r="F82" s="205">
        <f t="shared" si="2"/>
        <v>1177579.03</v>
      </c>
      <c r="G82" s="206">
        <f t="shared" si="3"/>
        <v>1141159.0599999998</v>
      </c>
      <c r="H82" s="61">
        <v>723.87</v>
      </c>
      <c r="I82" s="61">
        <v>575.65</v>
      </c>
      <c r="J82" s="61">
        <v>148.22</v>
      </c>
      <c r="K82" s="61" t="s">
        <v>1539</v>
      </c>
    </row>
    <row r="83" spans="1:11">
      <c r="A83" s="202">
        <v>80</v>
      </c>
      <c r="B83" s="203" t="s">
        <v>1380</v>
      </c>
      <c r="C83" s="61" t="s">
        <v>32</v>
      </c>
      <c r="D83" s="61" t="s">
        <v>36</v>
      </c>
      <c r="E83" s="204">
        <v>1213999</v>
      </c>
      <c r="F83" s="205">
        <f t="shared" si="2"/>
        <v>1177579.03</v>
      </c>
      <c r="G83" s="206">
        <f t="shared" si="3"/>
        <v>1141159.0599999998</v>
      </c>
      <c r="H83" s="61">
        <v>723.87</v>
      </c>
      <c r="I83" s="61">
        <v>575.65</v>
      </c>
      <c r="J83" s="61">
        <v>148.22</v>
      </c>
      <c r="K83" s="61" t="s">
        <v>1539</v>
      </c>
    </row>
    <row r="84" spans="1:11">
      <c r="A84" s="202">
        <v>81</v>
      </c>
      <c r="B84" s="203" t="s">
        <v>1381</v>
      </c>
      <c r="C84" s="61" t="s">
        <v>32</v>
      </c>
      <c r="D84" s="61" t="s">
        <v>36</v>
      </c>
      <c r="E84" s="204">
        <v>1213999</v>
      </c>
      <c r="F84" s="205">
        <f t="shared" si="2"/>
        <v>1177579.03</v>
      </c>
      <c r="G84" s="206">
        <f t="shared" si="3"/>
        <v>1141159.0599999998</v>
      </c>
      <c r="H84" s="61">
        <v>723.98</v>
      </c>
      <c r="I84" s="61">
        <v>575.76</v>
      </c>
      <c r="J84" s="61">
        <v>148.22</v>
      </c>
      <c r="K84" s="61" t="s">
        <v>1539</v>
      </c>
    </row>
    <row r="85" spans="1:11">
      <c r="A85" s="202">
        <v>82</v>
      </c>
      <c r="B85" s="203" t="s">
        <v>1382</v>
      </c>
      <c r="C85" s="61" t="s">
        <v>32</v>
      </c>
      <c r="D85" s="61" t="s">
        <v>36</v>
      </c>
      <c r="E85" s="204">
        <v>1213999</v>
      </c>
      <c r="F85" s="205">
        <f t="shared" si="2"/>
        <v>1177579.03</v>
      </c>
      <c r="G85" s="206">
        <f t="shared" si="3"/>
        <v>1141159.0599999998</v>
      </c>
      <c r="H85" s="61">
        <v>723.87</v>
      </c>
      <c r="I85" s="61">
        <v>575.65</v>
      </c>
      <c r="J85" s="61">
        <v>148.22</v>
      </c>
      <c r="K85" s="61" t="s">
        <v>1539</v>
      </c>
    </row>
    <row r="86" spans="1:11">
      <c r="A86" s="202">
        <v>83</v>
      </c>
      <c r="B86" s="203" t="s">
        <v>4631</v>
      </c>
      <c r="C86" s="61" t="s">
        <v>32</v>
      </c>
      <c r="D86" s="61" t="s">
        <v>36</v>
      </c>
      <c r="E86" s="204">
        <v>1212999</v>
      </c>
      <c r="F86" s="205">
        <f t="shared" si="2"/>
        <v>1176609.03</v>
      </c>
      <c r="G86" s="206">
        <f t="shared" si="3"/>
        <v>1140219.0599999998</v>
      </c>
      <c r="H86" s="61">
        <v>723.66</v>
      </c>
      <c r="I86" s="61">
        <v>575.44000000000005</v>
      </c>
      <c r="J86" s="61">
        <v>148.22</v>
      </c>
      <c r="K86" s="61" t="s">
        <v>1539</v>
      </c>
    </row>
    <row r="87" spans="1:11">
      <c r="A87" s="202">
        <v>84</v>
      </c>
      <c r="B87" s="203" t="s">
        <v>1383</v>
      </c>
      <c r="C87" s="61" t="s">
        <v>34</v>
      </c>
      <c r="D87" s="61" t="s">
        <v>36</v>
      </c>
      <c r="E87" s="204">
        <v>1212999</v>
      </c>
      <c r="F87" s="205">
        <f t="shared" si="2"/>
        <v>1176609.03</v>
      </c>
      <c r="G87" s="206">
        <f t="shared" si="3"/>
        <v>1140219.0599999998</v>
      </c>
      <c r="H87" s="61">
        <v>721.29</v>
      </c>
      <c r="I87" s="61">
        <v>573.07000000000005</v>
      </c>
      <c r="J87" s="61">
        <v>148.22</v>
      </c>
      <c r="K87" s="61" t="s">
        <v>1539</v>
      </c>
    </row>
    <row r="88" spans="1:11">
      <c r="A88" s="202">
        <v>85</v>
      </c>
      <c r="B88" s="203" t="s">
        <v>1384</v>
      </c>
      <c r="C88" s="61" t="s">
        <v>34</v>
      </c>
      <c r="D88" s="61" t="s">
        <v>36</v>
      </c>
      <c r="E88" s="204">
        <v>1212999</v>
      </c>
      <c r="F88" s="205">
        <f t="shared" si="2"/>
        <v>1176609.03</v>
      </c>
      <c r="G88" s="206">
        <f t="shared" si="3"/>
        <v>1140219.0599999998</v>
      </c>
      <c r="H88" s="61">
        <v>721.18</v>
      </c>
      <c r="I88" s="61">
        <v>572.96</v>
      </c>
      <c r="J88" s="61">
        <v>148.22</v>
      </c>
      <c r="K88" s="61" t="s">
        <v>1539</v>
      </c>
    </row>
    <row r="89" spans="1:11">
      <c r="A89" s="202">
        <v>86</v>
      </c>
      <c r="B89" s="203" t="s">
        <v>4606</v>
      </c>
      <c r="C89" s="61" t="s">
        <v>34</v>
      </c>
      <c r="D89" s="61" t="s">
        <v>36</v>
      </c>
      <c r="E89" s="204">
        <v>1212999</v>
      </c>
      <c r="F89" s="205">
        <f t="shared" si="2"/>
        <v>1176609.03</v>
      </c>
      <c r="G89" s="206">
        <f t="shared" si="3"/>
        <v>1140219.0599999998</v>
      </c>
      <c r="H89" s="61">
        <v>721.18</v>
      </c>
      <c r="I89" s="61">
        <v>572.96</v>
      </c>
      <c r="J89" s="61">
        <v>148.22</v>
      </c>
      <c r="K89" s="61" t="s">
        <v>1539</v>
      </c>
    </row>
    <row r="90" spans="1:11">
      <c r="A90" s="202">
        <v>87</v>
      </c>
      <c r="B90" s="203" t="s">
        <v>4354</v>
      </c>
      <c r="C90" s="61" t="s">
        <v>32</v>
      </c>
      <c r="D90" s="61" t="s">
        <v>36</v>
      </c>
      <c r="E90" s="204">
        <v>1212999</v>
      </c>
      <c r="F90" s="205">
        <f t="shared" si="2"/>
        <v>1176609.03</v>
      </c>
      <c r="G90" s="206">
        <f t="shared" si="3"/>
        <v>1140219.0599999998</v>
      </c>
      <c r="H90" s="61">
        <v>722.8</v>
      </c>
      <c r="I90" s="61">
        <v>575.33000000000004</v>
      </c>
      <c r="J90" s="61">
        <v>147.47</v>
      </c>
      <c r="K90" s="61" t="s">
        <v>1539</v>
      </c>
    </row>
    <row r="91" spans="1:11">
      <c r="A91" s="202">
        <v>88</v>
      </c>
      <c r="B91" s="203" t="s">
        <v>1385</v>
      </c>
      <c r="C91" s="61" t="s">
        <v>3</v>
      </c>
      <c r="D91" s="61" t="s">
        <v>36</v>
      </c>
      <c r="E91" s="204">
        <v>1212999</v>
      </c>
      <c r="F91" s="205">
        <f t="shared" si="2"/>
        <v>1176609.03</v>
      </c>
      <c r="G91" s="206">
        <f t="shared" si="3"/>
        <v>1140219.0599999998</v>
      </c>
      <c r="H91" s="61">
        <v>841.95</v>
      </c>
      <c r="I91" s="61">
        <v>596.42999999999995</v>
      </c>
      <c r="J91" s="61">
        <v>245.52</v>
      </c>
      <c r="K91" s="61" t="s">
        <v>1540</v>
      </c>
    </row>
    <row r="92" spans="1:11">
      <c r="A92" s="202">
        <v>89</v>
      </c>
      <c r="B92" s="203" t="s">
        <v>4362</v>
      </c>
      <c r="C92" s="61" t="s">
        <v>4459</v>
      </c>
      <c r="D92" s="61" t="s">
        <v>36</v>
      </c>
      <c r="E92" s="204">
        <v>1211999</v>
      </c>
      <c r="F92" s="205">
        <f t="shared" si="2"/>
        <v>1175639.03</v>
      </c>
      <c r="G92" s="206">
        <f t="shared" si="3"/>
        <v>1139279.0599999998</v>
      </c>
      <c r="H92" s="61">
        <v>723.87</v>
      </c>
      <c r="I92" s="61">
        <v>575.65</v>
      </c>
      <c r="J92" s="61">
        <v>148.22</v>
      </c>
      <c r="K92" s="61" t="s">
        <v>1539</v>
      </c>
    </row>
    <row r="93" spans="1:11">
      <c r="A93" s="202">
        <v>90</v>
      </c>
      <c r="B93" s="203" t="s">
        <v>4363</v>
      </c>
      <c r="C93" s="61" t="s">
        <v>4459</v>
      </c>
      <c r="D93" s="61" t="s">
        <v>36</v>
      </c>
      <c r="E93" s="204">
        <v>1211999</v>
      </c>
      <c r="F93" s="205">
        <f t="shared" si="2"/>
        <v>1175639.03</v>
      </c>
      <c r="G93" s="206">
        <f t="shared" si="3"/>
        <v>1139279.0599999998</v>
      </c>
      <c r="H93" s="61">
        <v>723.87</v>
      </c>
      <c r="I93" s="61">
        <v>575.65</v>
      </c>
      <c r="J93" s="61">
        <v>148.22</v>
      </c>
      <c r="K93" s="61" t="s">
        <v>1539</v>
      </c>
    </row>
    <row r="94" spans="1:11">
      <c r="A94" s="202">
        <v>91</v>
      </c>
      <c r="B94" s="203" t="s">
        <v>4364</v>
      </c>
      <c r="C94" s="61" t="s">
        <v>4459</v>
      </c>
      <c r="D94" s="61" t="s">
        <v>36</v>
      </c>
      <c r="E94" s="204">
        <v>1211999</v>
      </c>
      <c r="F94" s="205">
        <f t="shared" si="2"/>
        <v>1175639.03</v>
      </c>
      <c r="G94" s="206">
        <f t="shared" si="3"/>
        <v>1139279.0599999998</v>
      </c>
      <c r="H94" s="61">
        <v>723.98</v>
      </c>
      <c r="I94" s="61">
        <v>575.76</v>
      </c>
      <c r="J94" s="61">
        <v>148.22</v>
      </c>
      <c r="K94" s="61" t="s">
        <v>1539</v>
      </c>
    </row>
    <row r="95" spans="1:11">
      <c r="A95" s="202">
        <v>92</v>
      </c>
      <c r="B95" s="203" t="s">
        <v>4365</v>
      </c>
      <c r="C95" s="61" t="s">
        <v>4459</v>
      </c>
      <c r="D95" s="61" t="s">
        <v>36</v>
      </c>
      <c r="E95" s="204">
        <v>1211999</v>
      </c>
      <c r="F95" s="205">
        <f t="shared" si="2"/>
        <v>1175639.03</v>
      </c>
      <c r="G95" s="206">
        <f t="shared" si="3"/>
        <v>1139279.0599999998</v>
      </c>
      <c r="H95" s="61">
        <v>723.87</v>
      </c>
      <c r="I95" s="61">
        <v>575.65</v>
      </c>
      <c r="J95" s="61">
        <v>148.22</v>
      </c>
      <c r="K95" s="61" t="s">
        <v>1539</v>
      </c>
    </row>
    <row r="96" spans="1:11">
      <c r="A96" s="202">
        <v>93</v>
      </c>
      <c r="B96" s="203" t="s">
        <v>1386</v>
      </c>
      <c r="C96" s="61" t="s">
        <v>4461</v>
      </c>
      <c r="D96" s="61" t="s">
        <v>36</v>
      </c>
      <c r="E96" s="204">
        <v>1210999</v>
      </c>
      <c r="F96" s="205">
        <f t="shared" si="2"/>
        <v>1174669.03</v>
      </c>
      <c r="G96" s="206">
        <f t="shared" si="3"/>
        <v>1138339.0599999998</v>
      </c>
      <c r="H96" s="61">
        <v>721.29</v>
      </c>
      <c r="I96" s="61">
        <v>573.07000000000005</v>
      </c>
      <c r="J96" s="61">
        <v>148.22</v>
      </c>
      <c r="K96" s="61" t="s">
        <v>1539</v>
      </c>
    </row>
    <row r="97" spans="1:11">
      <c r="A97" s="202">
        <v>94</v>
      </c>
      <c r="B97" s="203" t="s">
        <v>4366</v>
      </c>
      <c r="C97" s="61" t="s">
        <v>4459</v>
      </c>
      <c r="D97" s="61" t="s">
        <v>36</v>
      </c>
      <c r="E97" s="204">
        <v>1210999</v>
      </c>
      <c r="F97" s="205">
        <f t="shared" si="2"/>
        <v>1174669.03</v>
      </c>
      <c r="G97" s="206">
        <f t="shared" si="3"/>
        <v>1138339.0599999998</v>
      </c>
      <c r="H97" s="61">
        <v>723.66</v>
      </c>
      <c r="I97" s="61">
        <v>575.44000000000005</v>
      </c>
      <c r="J97" s="61">
        <v>148.22</v>
      </c>
      <c r="K97" s="61" t="s">
        <v>1539</v>
      </c>
    </row>
    <row r="98" spans="1:11">
      <c r="A98" s="202">
        <v>95</v>
      </c>
      <c r="B98" s="203" t="s">
        <v>1387</v>
      </c>
      <c r="C98" s="61" t="s">
        <v>4461</v>
      </c>
      <c r="D98" s="61" t="s">
        <v>36</v>
      </c>
      <c r="E98" s="204">
        <v>1210999</v>
      </c>
      <c r="F98" s="205">
        <f t="shared" si="2"/>
        <v>1174669.03</v>
      </c>
      <c r="G98" s="206">
        <f t="shared" si="3"/>
        <v>1138339.0599999998</v>
      </c>
      <c r="H98" s="61">
        <v>721.18</v>
      </c>
      <c r="I98" s="61">
        <v>572.96</v>
      </c>
      <c r="J98" s="61">
        <v>148.22</v>
      </c>
      <c r="K98" s="61" t="s">
        <v>1539</v>
      </c>
    </row>
    <row r="99" spans="1:11">
      <c r="A99" s="202">
        <v>96</v>
      </c>
      <c r="B99" s="203" t="s">
        <v>1388</v>
      </c>
      <c r="C99" s="61" t="s">
        <v>4461</v>
      </c>
      <c r="D99" s="61" t="s">
        <v>36</v>
      </c>
      <c r="E99" s="204">
        <v>1210999</v>
      </c>
      <c r="F99" s="205">
        <f t="shared" si="2"/>
        <v>1174669.03</v>
      </c>
      <c r="G99" s="206">
        <f t="shared" si="3"/>
        <v>1138339.0599999998</v>
      </c>
      <c r="H99" s="61">
        <v>721.18</v>
      </c>
      <c r="I99" s="61">
        <v>572.96</v>
      </c>
      <c r="J99" s="61">
        <v>148.22</v>
      </c>
      <c r="K99" s="61" t="s">
        <v>1539</v>
      </c>
    </row>
    <row r="100" spans="1:11">
      <c r="A100" s="202">
        <v>97</v>
      </c>
      <c r="B100" s="203" t="s">
        <v>1389</v>
      </c>
      <c r="C100" s="61" t="s">
        <v>4461</v>
      </c>
      <c r="D100" s="61" t="s">
        <v>36</v>
      </c>
      <c r="E100" s="204">
        <v>1209999</v>
      </c>
      <c r="F100" s="205">
        <f t="shared" si="2"/>
        <v>1173699.03</v>
      </c>
      <c r="G100" s="206">
        <f t="shared" si="3"/>
        <v>1137399.0599999998</v>
      </c>
      <c r="H100" s="61">
        <v>720.86</v>
      </c>
      <c r="I100" s="61">
        <v>572.64</v>
      </c>
      <c r="J100" s="61">
        <v>148.22</v>
      </c>
      <c r="K100" s="61" t="s">
        <v>1539</v>
      </c>
    </row>
    <row r="101" spans="1:11">
      <c r="A101" s="202">
        <v>98</v>
      </c>
      <c r="B101" s="203" t="s">
        <v>4367</v>
      </c>
      <c r="C101" s="61" t="s">
        <v>4459</v>
      </c>
      <c r="D101" s="61" t="s">
        <v>36</v>
      </c>
      <c r="E101" s="204">
        <v>1209999</v>
      </c>
      <c r="F101" s="205">
        <f t="shared" si="2"/>
        <v>1173699.03</v>
      </c>
      <c r="G101" s="206">
        <f t="shared" si="3"/>
        <v>1137399.0599999998</v>
      </c>
      <c r="H101" s="61">
        <v>722.8</v>
      </c>
      <c r="I101" s="61">
        <v>575.33000000000004</v>
      </c>
      <c r="J101" s="61">
        <v>147.47</v>
      </c>
      <c r="K101" s="61" t="s">
        <v>1539</v>
      </c>
    </row>
    <row r="102" spans="1:11">
      <c r="A102" s="202">
        <v>99</v>
      </c>
      <c r="B102" s="203" t="s">
        <v>1390</v>
      </c>
      <c r="C102" s="61" t="s">
        <v>4460</v>
      </c>
      <c r="D102" s="61" t="s">
        <v>36</v>
      </c>
      <c r="E102" s="204">
        <v>1208999</v>
      </c>
      <c r="F102" s="205">
        <f t="shared" si="2"/>
        <v>1172729.03</v>
      </c>
      <c r="G102" s="206">
        <f t="shared" si="3"/>
        <v>1136459.0599999998</v>
      </c>
      <c r="H102" s="61">
        <v>721.5</v>
      </c>
      <c r="I102" s="61">
        <v>573.17999999999995</v>
      </c>
      <c r="J102" s="61">
        <v>148.33000000000001</v>
      </c>
      <c r="K102" s="61" t="s">
        <v>1539</v>
      </c>
    </row>
    <row r="103" spans="1:11">
      <c r="A103" s="202">
        <v>100</v>
      </c>
      <c r="B103" s="203" t="s">
        <v>1391</v>
      </c>
      <c r="C103" s="61" t="s">
        <v>5</v>
      </c>
      <c r="D103" s="61" t="s">
        <v>36</v>
      </c>
      <c r="E103" s="204">
        <v>1208999</v>
      </c>
      <c r="F103" s="205">
        <f t="shared" si="2"/>
        <v>1172729.03</v>
      </c>
      <c r="G103" s="206">
        <f t="shared" si="3"/>
        <v>1136459.0599999998</v>
      </c>
      <c r="H103" s="61">
        <v>723.87</v>
      </c>
      <c r="I103" s="61">
        <v>575.65</v>
      </c>
      <c r="J103" s="61">
        <v>148.22</v>
      </c>
      <c r="K103" s="61" t="s">
        <v>1539</v>
      </c>
    </row>
    <row r="104" spans="1:11">
      <c r="A104" s="202">
        <v>101</v>
      </c>
      <c r="B104" s="203" t="s">
        <v>1392</v>
      </c>
      <c r="C104" s="61" t="s">
        <v>5</v>
      </c>
      <c r="D104" s="61" t="s">
        <v>36</v>
      </c>
      <c r="E104" s="204">
        <v>1208999</v>
      </c>
      <c r="F104" s="205">
        <f t="shared" si="2"/>
        <v>1172729.03</v>
      </c>
      <c r="G104" s="206">
        <f t="shared" si="3"/>
        <v>1136459.0599999998</v>
      </c>
      <c r="H104" s="61">
        <v>723.87</v>
      </c>
      <c r="I104" s="61">
        <v>575.65</v>
      </c>
      <c r="J104" s="61">
        <v>148.22</v>
      </c>
      <c r="K104" s="61" t="s">
        <v>1539</v>
      </c>
    </row>
    <row r="105" spans="1:11">
      <c r="A105" s="202">
        <v>102</v>
      </c>
      <c r="B105" s="203" t="s">
        <v>1393</v>
      </c>
      <c r="C105" s="61" t="s">
        <v>5</v>
      </c>
      <c r="D105" s="61" t="s">
        <v>36</v>
      </c>
      <c r="E105" s="204">
        <v>1208999</v>
      </c>
      <c r="F105" s="205">
        <f t="shared" si="2"/>
        <v>1172729.03</v>
      </c>
      <c r="G105" s="206">
        <f t="shared" si="3"/>
        <v>1136459.0599999998</v>
      </c>
      <c r="H105" s="61">
        <v>723.66</v>
      </c>
      <c r="I105" s="61">
        <v>575.44000000000005</v>
      </c>
      <c r="J105" s="61">
        <v>148.22</v>
      </c>
      <c r="K105" s="61" t="s">
        <v>1539</v>
      </c>
    </row>
    <row r="106" spans="1:11">
      <c r="A106" s="202">
        <v>103</v>
      </c>
      <c r="B106" s="203" t="s">
        <v>1394</v>
      </c>
      <c r="C106" s="61" t="s">
        <v>5</v>
      </c>
      <c r="D106" s="61" t="s">
        <v>36</v>
      </c>
      <c r="E106" s="204">
        <v>1208999</v>
      </c>
      <c r="F106" s="205">
        <f t="shared" si="2"/>
        <v>1172729.03</v>
      </c>
      <c r="G106" s="206">
        <f t="shared" si="3"/>
        <v>1136459.0599999998</v>
      </c>
      <c r="H106" s="61">
        <v>723.98</v>
      </c>
      <c r="I106" s="61">
        <v>575.76</v>
      </c>
      <c r="J106" s="61">
        <v>148.22</v>
      </c>
      <c r="K106" s="61" t="s">
        <v>1539</v>
      </c>
    </row>
    <row r="107" spans="1:11">
      <c r="A107" s="202">
        <v>104</v>
      </c>
      <c r="B107" s="203" t="s">
        <v>1395</v>
      </c>
      <c r="C107" s="61" t="s">
        <v>5</v>
      </c>
      <c r="D107" s="61" t="s">
        <v>36</v>
      </c>
      <c r="E107" s="204">
        <v>1208999</v>
      </c>
      <c r="F107" s="205">
        <f t="shared" si="2"/>
        <v>1172729.03</v>
      </c>
      <c r="G107" s="206">
        <f t="shared" si="3"/>
        <v>1136459.0599999998</v>
      </c>
      <c r="H107" s="61">
        <v>723.87</v>
      </c>
      <c r="I107" s="61">
        <v>575.65</v>
      </c>
      <c r="J107" s="61">
        <v>148.22</v>
      </c>
      <c r="K107" s="61" t="s">
        <v>1539</v>
      </c>
    </row>
    <row r="108" spans="1:11">
      <c r="A108" s="202">
        <v>105</v>
      </c>
      <c r="B108" s="203" t="s">
        <v>1396</v>
      </c>
      <c r="C108" s="61" t="s">
        <v>4460</v>
      </c>
      <c r="D108" s="61" t="s">
        <v>36</v>
      </c>
      <c r="E108" s="204">
        <v>1207999</v>
      </c>
      <c r="F108" s="205">
        <f t="shared" si="2"/>
        <v>1171759.03</v>
      </c>
      <c r="G108" s="206">
        <f t="shared" si="3"/>
        <v>1135519.0599999998</v>
      </c>
      <c r="H108" s="61">
        <v>721.29</v>
      </c>
      <c r="I108" s="61">
        <v>573.07000000000005</v>
      </c>
      <c r="J108" s="61">
        <v>148.22</v>
      </c>
      <c r="K108" s="61" t="s">
        <v>1539</v>
      </c>
    </row>
    <row r="109" spans="1:11">
      <c r="A109" s="202">
        <v>106</v>
      </c>
      <c r="B109" s="203" t="s">
        <v>1397</v>
      </c>
      <c r="C109" s="61" t="s">
        <v>4460</v>
      </c>
      <c r="D109" s="61" t="s">
        <v>36</v>
      </c>
      <c r="E109" s="204">
        <v>1207999</v>
      </c>
      <c r="F109" s="205">
        <f t="shared" si="2"/>
        <v>1171759.03</v>
      </c>
      <c r="G109" s="206">
        <f t="shared" si="3"/>
        <v>1135519.0599999998</v>
      </c>
      <c r="H109" s="61">
        <v>720.86</v>
      </c>
      <c r="I109" s="61">
        <v>572.64</v>
      </c>
      <c r="J109" s="61">
        <v>148.22</v>
      </c>
      <c r="K109" s="61" t="s">
        <v>1539</v>
      </c>
    </row>
    <row r="110" spans="1:11">
      <c r="A110" s="202">
        <v>107</v>
      </c>
      <c r="B110" s="203" t="s">
        <v>1398</v>
      </c>
      <c r="C110" s="61" t="s">
        <v>4460</v>
      </c>
      <c r="D110" s="61" t="s">
        <v>36</v>
      </c>
      <c r="E110" s="204">
        <v>1207999</v>
      </c>
      <c r="F110" s="205">
        <f t="shared" si="2"/>
        <v>1171759.03</v>
      </c>
      <c r="G110" s="206">
        <f t="shared" si="3"/>
        <v>1135519.0599999998</v>
      </c>
      <c r="H110" s="61">
        <v>721.18</v>
      </c>
      <c r="I110" s="61">
        <v>572.96</v>
      </c>
      <c r="J110" s="61">
        <v>148.22</v>
      </c>
      <c r="K110" s="61" t="s">
        <v>1539</v>
      </c>
    </row>
    <row r="111" spans="1:11">
      <c r="A111" s="202">
        <v>108</v>
      </c>
      <c r="B111" s="203" t="s">
        <v>1399</v>
      </c>
      <c r="C111" s="61" t="s">
        <v>4460</v>
      </c>
      <c r="D111" s="61" t="s">
        <v>36</v>
      </c>
      <c r="E111" s="204">
        <v>1207999</v>
      </c>
      <c r="F111" s="205">
        <f t="shared" si="2"/>
        <v>1171759.03</v>
      </c>
      <c r="G111" s="206">
        <f t="shared" si="3"/>
        <v>1135519.0599999998</v>
      </c>
      <c r="H111" s="61">
        <v>721.18</v>
      </c>
      <c r="I111" s="61">
        <v>572.96</v>
      </c>
      <c r="J111" s="61">
        <v>148.22</v>
      </c>
      <c r="K111" s="61" t="s">
        <v>1539</v>
      </c>
    </row>
    <row r="112" spans="1:11">
      <c r="A112" s="202">
        <v>109</v>
      </c>
      <c r="B112" s="203" t="s">
        <v>1400</v>
      </c>
      <c r="C112" s="61" t="s">
        <v>5</v>
      </c>
      <c r="D112" s="61" t="s">
        <v>36</v>
      </c>
      <c r="E112" s="204">
        <v>1207999</v>
      </c>
      <c r="F112" s="205">
        <f t="shared" si="2"/>
        <v>1171759.03</v>
      </c>
      <c r="G112" s="206">
        <f t="shared" si="3"/>
        <v>1135519.0599999998</v>
      </c>
      <c r="H112" s="61">
        <v>722.8</v>
      </c>
      <c r="I112" s="61">
        <v>575.33000000000004</v>
      </c>
      <c r="J112" s="61">
        <v>147.47</v>
      </c>
      <c r="K112" s="61" t="s">
        <v>1539</v>
      </c>
    </row>
    <row r="113" spans="1:11">
      <c r="A113" s="202">
        <v>110</v>
      </c>
      <c r="B113" s="203" t="s">
        <v>1401</v>
      </c>
      <c r="C113" s="61" t="s">
        <v>11</v>
      </c>
      <c r="D113" s="61" t="s">
        <v>36</v>
      </c>
      <c r="E113" s="204">
        <v>1205999</v>
      </c>
      <c r="F113" s="205">
        <f t="shared" si="2"/>
        <v>1169819.03</v>
      </c>
      <c r="G113" s="206">
        <f t="shared" si="3"/>
        <v>1133639.0599999998</v>
      </c>
      <c r="H113" s="61">
        <v>721.5</v>
      </c>
      <c r="I113" s="61">
        <v>573.17999999999995</v>
      </c>
      <c r="J113" s="61">
        <v>148.33000000000001</v>
      </c>
      <c r="K113" s="61" t="s">
        <v>1539</v>
      </c>
    </row>
    <row r="114" spans="1:11">
      <c r="A114" s="202">
        <v>111</v>
      </c>
      <c r="B114" s="203" t="s">
        <v>1402</v>
      </c>
      <c r="C114" s="61" t="s">
        <v>11</v>
      </c>
      <c r="D114" s="61" t="s">
        <v>36</v>
      </c>
      <c r="E114" s="204">
        <v>1205999</v>
      </c>
      <c r="F114" s="205">
        <f t="shared" si="2"/>
        <v>1169819.03</v>
      </c>
      <c r="G114" s="206">
        <f t="shared" si="3"/>
        <v>1133639.0599999998</v>
      </c>
      <c r="H114" s="61">
        <v>721.29</v>
      </c>
      <c r="I114" s="61">
        <v>573.07000000000005</v>
      </c>
      <c r="J114" s="61">
        <v>148.22</v>
      </c>
      <c r="K114" s="61" t="s">
        <v>1539</v>
      </c>
    </row>
    <row r="115" spans="1:11">
      <c r="A115" s="202">
        <v>112</v>
      </c>
      <c r="B115" s="203" t="s">
        <v>1403</v>
      </c>
      <c r="C115" s="61" t="s">
        <v>11</v>
      </c>
      <c r="D115" s="61" t="s">
        <v>36</v>
      </c>
      <c r="E115" s="204">
        <v>1205999</v>
      </c>
      <c r="F115" s="205">
        <f t="shared" si="2"/>
        <v>1169819.03</v>
      </c>
      <c r="G115" s="206">
        <f t="shared" si="3"/>
        <v>1133639.0599999998</v>
      </c>
      <c r="H115" s="61">
        <v>721.18</v>
      </c>
      <c r="I115" s="61">
        <v>572.96</v>
      </c>
      <c r="J115" s="61">
        <v>148.22</v>
      </c>
      <c r="K115" s="61" t="s">
        <v>1539</v>
      </c>
    </row>
    <row r="116" spans="1:11">
      <c r="A116" s="202">
        <v>113</v>
      </c>
      <c r="B116" s="203" t="s">
        <v>1404</v>
      </c>
      <c r="C116" s="61" t="s">
        <v>11</v>
      </c>
      <c r="D116" s="61" t="s">
        <v>36</v>
      </c>
      <c r="E116" s="204">
        <v>1205999</v>
      </c>
      <c r="F116" s="205">
        <f t="shared" si="2"/>
        <v>1169819.03</v>
      </c>
      <c r="G116" s="206">
        <f t="shared" si="3"/>
        <v>1133639.0599999998</v>
      </c>
      <c r="H116" s="61">
        <v>721.18</v>
      </c>
      <c r="I116" s="61">
        <v>572.96</v>
      </c>
      <c r="J116" s="61">
        <v>148.22</v>
      </c>
      <c r="K116" s="61" t="s">
        <v>1539</v>
      </c>
    </row>
    <row r="117" spans="1:11">
      <c r="A117" s="202">
        <v>114</v>
      </c>
      <c r="B117" s="203" t="s">
        <v>1405</v>
      </c>
      <c r="C117" s="61" t="s">
        <v>11</v>
      </c>
      <c r="D117" s="61" t="s">
        <v>36</v>
      </c>
      <c r="E117" s="204">
        <v>1204999</v>
      </c>
      <c r="F117" s="205">
        <f t="shared" si="2"/>
        <v>1168849.03</v>
      </c>
      <c r="G117" s="206">
        <f t="shared" si="3"/>
        <v>1132699.0599999998</v>
      </c>
      <c r="H117" s="61">
        <v>720.86</v>
      </c>
      <c r="I117" s="61">
        <v>572.64</v>
      </c>
      <c r="J117" s="61">
        <v>148.22</v>
      </c>
      <c r="K117" s="61" t="s">
        <v>1539</v>
      </c>
    </row>
    <row r="118" spans="1:11">
      <c r="A118" s="202">
        <v>115</v>
      </c>
      <c r="B118" s="203" t="s">
        <v>1406</v>
      </c>
      <c r="C118" s="61" t="s">
        <v>4458</v>
      </c>
      <c r="D118" s="61" t="s">
        <v>36</v>
      </c>
      <c r="E118" s="204">
        <v>1204999</v>
      </c>
      <c r="F118" s="205">
        <f t="shared" si="2"/>
        <v>1168849.03</v>
      </c>
      <c r="G118" s="206">
        <f t="shared" si="3"/>
        <v>1132699.0599999998</v>
      </c>
      <c r="H118" s="61">
        <v>723.98</v>
      </c>
      <c r="I118" s="61">
        <v>575.76</v>
      </c>
      <c r="J118" s="61">
        <v>148.22</v>
      </c>
      <c r="K118" s="61" t="s">
        <v>1539</v>
      </c>
    </row>
    <row r="119" spans="1:11">
      <c r="A119" s="202">
        <v>116</v>
      </c>
      <c r="B119" s="203" t="s">
        <v>1407</v>
      </c>
      <c r="C119" s="61" t="s">
        <v>4458</v>
      </c>
      <c r="D119" s="61" t="s">
        <v>36</v>
      </c>
      <c r="E119" s="204">
        <v>1204999</v>
      </c>
      <c r="F119" s="205">
        <f t="shared" si="2"/>
        <v>1168849.03</v>
      </c>
      <c r="G119" s="206">
        <f t="shared" si="3"/>
        <v>1132699.0599999998</v>
      </c>
      <c r="H119" s="61">
        <v>723.87</v>
      </c>
      <c r="I119" s="61">
        <v>575.65</v>
      </c>
      <c r="J119" s="61">
        <v>148.22</v>
      </c>
      <c r="K119" s="61" t="s">
        <v>1539</v>
      </c>
    </row>
    <row r="120" spans="1:11">
      <c r="A120" s="202">
        <v>117</v>
      </c>
      <c r="B120" s="203" t="s">
        <v>1408</v>
      </c>
      <c r="C120" s="61" t="s">
        <v>4458</v>
      </c>
      <c r="D120" s="61" t="s">
        <v>36</v>
      </c>
      <c r="E120" s="204">
        <v>1204999</v>
      </c>
      <c r="F120" s="205">
        <f t="shared" si="2"/>
        <v>1168849.03</v>
      </c>
      <c r="G120" s="206">
        <f t="shared" si="3"/>
        <v>1132699.0599999998</v>
      </c>
      <c r="H120" s="61">
        <v>723.87</v>
      </c>
      <c r="I120" s="61">
        <v>575.65</v>
      </c>
      <c r="J120" s="61">
        <v>148.22</v>
      </c>
      <c r="K120" s="61" t="s">
        <v>1539</v>
      </c>
    </row>
    <row r="121" spans="1:11">
      <c r="A121" s="202">
        <v>118</v>
      </c>
      <c r="B121" s="203" t="s">
        <v>1409</v>
      </c>
      <c r="C121" s="61" t="s">
        <v>12</v>
      </c>
      <c r="D121" s="61" t="s">
        <v>36</v>
      </c>
      <c r="E121" s="204">
        <v>1203999</v>
      </c>
      <c r="F121" s="205">
        <f t="shared" si="2"/>
        <v>1167879.03</v>
      </c>
      <c r="G121" s="206">
        <f t="shared" si="3"/>
        <v>1131759.0599999998</v>
      </c>
      <c r="H121" s="61">
        <v>721.5</v>
      </c>
      <c r="I121" s="61">
        <v>573.17999999999995</v>
      </c>
      <c r="J121" s="61">
        <v>148.33000000000001</v>
      </c>
      <c r="K121" s="61" t="s">
        <v>1539</v>
      </c>
    </row>
    <row r="122" spans="1:11">
      <c r="A122" s="202">
        <v>119</v>
      </c>
      <c r="B122" s="203" t="s">
        <v>1410</v>
      </c>
      <c r="C122" s="61" t="s">
        <v>12</v>
      </c>
      <c r="D122" s="61" t="s">
        <v>36</v>
      </c>
      <c r="E122" s="204">
        <v>1203999</v>
      </c>
      <c r="F122" s="205">
        <f t="shared" si="2"/>
        <v>1167879.03</v>
      </c>
      <c r="G122" s="206">
        <f t="shared" si="3"/>
        <v>1131759.0599999998</v>
      </c>
      <c r="H122" s="61">
        <v>721.29</v>
      </c>
      <c r="I122" s="61">
        <v>573.07000000000005</v>
      </c>
      <c r="J122" s="61">
        <v>148.22</v>
      </c>
      <c r="K122" s="61" t="s">
        <v>1539</v>
      </c>
    </row>
    <row r="123" spans="1:11">
      <c r="A123" s="202">
        <v>120</v>
      </c>
      <c r="B123" s="203" t="s">
        <v>1411</v>
      </c>
      <c r="C123" s="61" t="s">
        <v>12</v>
      </c>
      <c r="D123" s="61" t="s">
        <v>36</v>
      </c>
      <c r="E123" s="204">
        <v>1203999</v>
      </c>
      <c r="F123" s="205">
        <f t="shared" si="2"/>
        <v>1167879.03</v>
      </c>
      <c r="G123" s="206">
        <f t="shared" si="3"/>
        <v>1131759.0599999998</v>
      </c>
      <c r="H123" s="61">
        <v>721.18</v>
      </c>
      <c r="I123" s="61">
        <v>572.96</v>
      </c>
      <c r="J123" s="61">
        <v>148.22</v>
      </c>
      <c r="K123" s="61" t="s">
        <v>1539</v>
      </c>
    </row>
    <row r="124" spans="1:11">
      <c r="A124" s="202">
        <v>121</v>
      </c>
      <c r="B124" s="203" t="s">
        <v>1412</v>
      </c>
      <c r="C124" s="61" t="s">
        <v>12</v>
      </c>
      <c r="D124" s="61" t="s">
        <v>36</v>
      </c>
      <c r="E124" s="204">
        <v>1203999</v>
      </c>
      <c r="F124" s="205">
        <f t="shared" si="2"/>
        <v>1167879.03</v>
      </c>
      <c r="G124" s="206">
        <f t="shared" si="3"/>
        <v>1131759.0599999998</v>
      </c>
      <c r="H124" s="61">
        <v>721.18</v>
      </c>
      <c r="I124" s="61">
        <v>572.96</v>
      </c>
      <c r="J124" s="61">
        <v>148.22</v>
      </c>
      <c r="K124" s="61" t="s">
        <v>1539</v>
      </c>
    </row>
    <row r="125" spans="1:11">
      <c r="A125" s="202">
        <v>122</v>
      </c>
      <c r="B125" s="203" t="s">
        <v>1413</v>
      </c>
      <c r="C125" s="61" t="s">
        <v>4458</v>
      </c>
      <c r="D125" s="61" t="s">
        <v>36</v>
      </c>
      <c r="E125" s="204">
        <v>1203999</v>
      </c>
      <c r="F125" s="205">
        <f t="shared" si="2"/>
        <v>1167879.03</v>
      </c>
      <c r="G125" s="206">
        <f t="shared" si="3"/>
        <v>1131759.0599999998</v>
      </c>
      <c r="H125" s="61">
        <v>723.66</v>
      </c>
      <c r="I125" s="61">
        <v>575.44000000000005</v>
      </c>
      <c r="J125" s="61">
        <v>148.22</v>
      </c>
      <c r="K125" s="61" t="s">
        <v>1539</v>
      </c>
    </row>
    <row r="126" spans="1:11">
      <c r="A126" s="202">
        <v>123</v>
      </c>
      <c r="B126" s="203" t="s">
        <v>4355</v>
      </c>
      <c r="C126" s="61" t="s">
        <v>4458</v>
      </c>
      <c r="D126" s="61" t="s">
        <v>36</v>
      </c>
      <c r="E126" s="204">
        <v>1202999</v>
      </c>
      <c r="F126" s="205">
        <f t="shared" si="2"/>
        <v>1166909.03</v>
      </c>
      <c r="G126" s="206">
        <f t="shared" si="3"/>
        <v>1130819.0599999998</v>
      </c>
      <c r="H126" s="61">
        <v>722.8</v>
      </c>
      <c r="I126" s="61">
        <v>575.33000000000004</v>
      </c>
      <c r="J126" s="61">
        <v>147.47</v>
      </c>
      <c r="K126" s="61" t="s">
        <v>1539</v>
      </c>
    </row>
    <row r="127" spans="1:11">
      <c r="A127" s="202">
        <v>124</v>
      </c>
      <c r="B127" s="203" t="s">
        <v>1414</v>
      </c>
      <c r="C127" s="61" t="s">
        <v>12</v>
      </c>
      <c r="D127" s="61" t="s">
        <v>36</v>
      </c>
      <c r="E127" s="204">
        <v>1202999</v>
      </c>
      <c r="F127" s="205">
        <f t="shared" si="2"/>
        <v>1166909.03</v>
      </c>
      <c r="G127" s="206">
        <f t="shared" si="3"/>
        <v>1130819.0599999998</v>
      </c>
      <c r="H127" s="61">
        <v>720.86</v>
      </c>
      <c r="I127" s="61">
        <v>572.64</v>
      </c>
      <c r="J127" s="61">
        <v>148.22</v>
      </c>
      <c r="K127" s="61" t="s">
        <v>1539</v>
      </c>
    </row>
    <row r="128" spans="1:11">
      <c r="A128" s="202">
        <v>125</v>
      </c>
      <c r="B128" s="203" t="s">
        <v>1415</v>
      </c>
      <c r="C128" s="61" t="s">
        <v>6</v>
      </c>
      <c r="D128" s="61" t="s">
        <v>36</v>
      </c>
      <c r="E128" s="204">
        <v>1202999</v>
      </c>
      <c r="F128" s="205">
        <f t="shared" si="2"/>
        <v>1166909.03</v>
      </c>
      <c r="G128" s="206">
        <f t="shared" si="3"/>
        <v>1130819.0599999998</v>
      </c>
      <c r="H128" s="61">
        <v>723.98</v>
      </c>
      <c r="I128" s="61">
        <v>575.76</v>
      </c>
      <c r="J128" s="61">
        <v>148.22</v>
      </c>
      <c r="K128" s="61" t="s">
        <v>1539</v>
      </c>
    </row>
    <row r="129" spans="1:11">
      <c r="A129" s="202">
        <v>126</v>
      </c>
      <c r="B129" s="203" t="s">
        <v>1416</v>
      </c>
      <c r="C129" s="61" t="s">
        <v>32</v>
      </c>
      <c r="D129" s="61" t="s">
        <v>36</v>
      </c>
      <c r="E129" s="204">
        <v>1201999</v>
      </c>
      <c r="F129" s="205">
        <f t="shared" si="2"/>
        <v>1165939.03</v>
      </c>
      <c r="G129" s="206">
        <f t="shared" si="3"/>
        <v>1129879.0599999998</v>
      </c>
      <c r="H129" s="61">
        <v>721.5</v>
      </c>
      <c r="I129" s="61">
        <v>573.17999999999995</v>
      </c>
      <c r="J129" s="61">
        <v>148.33000000000001</v>
      </c>
      <c r="K129" s="61" t="s">
        <v>1539</v>
      </c>
    </row>
    <row r="130" spans="1:11">
      <c r="A130" s="202">
        <v>127</v>
      </c>
      <c r="B130" s="203" t="s">
        <v>1417</v>
      </c>
      <c r="C130" s="61" t="s">
        <v>32</v>
      </c>
      <c r="D130" s="61" t="s">
        <v>36</v>
      </c>
      <c r="E130" s="204">
        <v>1201999</v>
      </c>
      <c r="F130" s="205">
        <f t="shared" si="2"/>
        <v>1165939.03</v>
      </c>
      <c r="G130" s="206">
        <f t="shared" si="3"/>
        <v>1129879.0599999998</v>
      </c>
      <c r="H130" s="61">
        <v>721.29</v>
      </c>
      <c r="I130" s="61">
        <v>573.07000000000005</v>
      </c>
      <c r="J130" s="61">
        <v>148.22</v>
      </c>
      <c r="K130" s="61" t="s">
        <v>1539</v>
      </c>
    </row>
    <row r="131" spans="1:11">
      <c r="A131" s="202">
        <v>128</v>
      </c>
      <c r="B131" s="203" t="s">
        <v>1418</v>
      </c>
      <c r="C131" s="61" t="s">
        <v>6</v>
      </c>
      <c r="D131" s="61" t="s">
        <v>36</v>
      </c>
      <c r="E131" s="204">
        <v>1201999</v>
      </c>
      <c r="F131" s="205">
        <f t="shared" si="2"/>
        <v>1165939.03</v>
      </c>
      <c r="G131" s="206">
        <f t="shared" si="3"/>
        <v>1129879.0599999998</v>
      </c>
      <c r="H131" s="61">
        <v>723.87</v>
      </c>
      <c r="I131" s="61">
        <v>575.65</v>
      </c>
      <c r="J131" s="61">
        <v>148.22</v>
      </c>
      <c r="K131" s="61" t="s">
        <v>1539</v>
      </c>
    </row>
    <row r="132" spans="1:11">
      <c r="A132" s="202">
        <v>129</v>
      </c>
      <c r="B132" s="203" t="s">
        <v>1419</v>
      </c>
      <c r="C132" s="61" t="s">
        <v>6</v>
      </c>
      <c r="D132" s="61" t="s">
        <v>36</v>
      </c>
      <c r="E132" s="204">
        <v>1201999</v>
      </c>
      <c r="F132" s="205">
        <f t="shared" ref="F132:F195" si="4">E132*0.97</f>
        <v>1165939.03</v>
      </c>
      <c r="G132" s="206">
        <f t="shared" ref="G132:G195" si="5">E132*0.94</f>
        <v>1129879.0599999998</v>
      </c>
      <c r="H132" s="61">
        <v>723.87</v>
      </c>
      <c r="I132" s="61">
        <v>575.65</v>
      </c>
      <c r="J132" s="61">
        <v>148.22</v>
      </c>
      <c r="K132" s="61" t="s">
        <v>1539</v>
      </c>
    </row>
    <row r="133" spans="1:11">
      <c r="A133" s="202">
        <v>130</v>
      </c>
      <c r="B133" s="203" t="s">
        <v>1420</v>
      </c>
      <c r="C133" s="61" t="s">
        <v>6</v>
      </c>
      <c r="D133" s="61" t="s">
        <v>36</v>
      </c>
      <c r="E133" s="204">
        <v>1201999</v>
      </c>
      <c r="F133" s="205">
        <f t="shared" si="4"/>
        <v>1165939.03</v>
      </c>
      <c r="G133" s="206">
        <f t="shared" si="5"/>
        <v>1129879.0599999998</v>
      </c>
      <c r="H133" s="61">
        <v>723.66</v>
      </c>
      <c r="I133" s="61">
        <v>575.44000000000005</v>
      </c>
      <c r="J133" s="61">
        <v>148.22</v>
      </c>
      <c r="K133" s="61" t="s">
        <v>1539</v>
      </c>
    </row>
    <row r="134" spans="1:11">
      <c r="A134" s="202">
        <v>131</v>
      </c>
      <c r="B134" s="203" t="s">
        <v>1421</v>
      </c>
      <c r="C134" s="61" t="s">
        <v>6</v>
      </c>
      <c r="D134" s="61" t="s">
        <v>36</v>
      </c>
      <c r="E134" s="204">
        <v>1201999</v>
      </c>
      <c r="F134" s="205">
        <f t="shared" si="4"/>
        <v>1165939.03</v>
      </c>
      <c r="G134" s="206">
        <f t="shared" si="5"/>
        <v>1129879.0599999998</v>
      </c>
      <c r="H134" s="61">
        <v>723.87</v>
      </c>
      <c r="I134" s="61">
        <v>575.65</v>
      </c>
      <c r="J134" s="61">
        <v>148.22</v>
      </c>
      <c r="K134" s="61" t="s">
        <v>1539</v>
      </c>
    </row>
    <row r="135" spans="1:11">
      <c r="A135" s="202">
        <v>132</v>
      </c>
      <c r="B135" s="203" t="s">
        <v>1422</v>
      </c>
      <c r="C135" s="61" t="s">
        <v>32</v>
      </c>
      <c r="D135" s="61" t="s">
        <v>36</v>
      </c>
      <c r="E135" s="204">
        <v>1200999</v>
      </c>
      <c r="F135" s="205">
        <f t="shared" si="4"/>
        <v>1164969.03</v>
      </c>
      <c r="G135" s="206">
        <f t="shared" si="5"/>
        <v>1128939.0599999998</v>
      </c>
      <c r="H135" s="61">
        <v>720.86</v>
      </c>
      <c r="I135" s="61">
        <v>572.64</v>
      </c>
      <c r="J135" s="61">
        <v>148.22</v>
      </c>
      <c r="K135" s="61" t="s">
        <v>1539</v>
      </c>
    </row>
    <row r="136" spans="1:11">
      <c r="A136" s="202">
        <v>133</v>
      </c>
      <c r="B136" s="203" t="s">
        <v>1423</v>
      </c>
      <c r="C136" s="61" t="s">
        <v>32</v>
      </c>
      <c r="D136" s="61" t="s">
        <v>36</v>
      </c>
      <c r="E136" s="204">
        <v>1200999</v>
      </c>
      <c r="F136" s="205">
        <f t="shared" si="4"/>
        <v>1164969.03</v>
      </c>
      <c r="G136" s="206">
        <f t="shared" si="5"/>
        <v>1128939.0599999998</v>
      </c>
      <c r="H136" s="61">
        <v>721.18</v>
      </c>
      <c r="I136" s="61">
        <v>572.96</v>
      </c>
      <c r="J136" s="61">
        <v>148.22</v>
      </c>
      <c r="K136" s="61" t="s">
        <v>1539</v>
      </c>
    </row>
    <row r="137" spans="1:11">
      <c r="A137" s="202">
        <v>134</v>
      </c>
      <c r="B137" s="203" t="s">
        <v>1424</v>
      </c>
      <c r="C137" s="61" t="s">
        <v>32</v>
      </c>
      <c r="D137" s="61" t="s">
        <v>36</v>
      </c>
      <c r="E137" s="204">
        <v>1200999</v>
      </c>
      <c r="F137" s="205">
        <f t="shared" si="4"/>
        <v>1164969.03</v>
      </c>
      <c r="G137" s="206">
        <f t="shared" si="5"/>
        <v>1128939.0599999998</v>
      </c>
      <c r="H137" s="61">
        <v>721.18</v>
      </c>
      <c r="I137" s="61">
        <v>572.96</v>
      </c>
      <c r="J137" s="61">
        <v>148.22</v>
      </c>
      <c r="K137" s="61" t="s">
        <v>1539</v>
      </c>
    </row>
    <row r="138" spans="1:11">
      <c r="A138" s="202">
        <v>135</v>
      </c>
      <c r="B138" s="203" t="s">
        <v>1425</v>
      </c>
      <c r="C138" s="61" t="s">
        <v>6</v>
      </c>
      <c r="D138" s="61" t="s">
        <v>36</v>
      </c>
      <c r="E138" s="204">
        <v>1200999</v>
      </c>
      <c r="F138" s="205">
        <f t="shared" si="4"/>
        <v>1164969.03</v>
      </c>
      <c r="G138" s="206">
        <f t="shared" si="5"/>
        <v>1128939.0599999998</v>
      </c>
      <c r="H138" s="61">
        <v>722.8</v>
      </c>
      <c r="I138" s="61">
        <v>575.33000000000004</v>
      </c>
      <c r="J138" s="61">
        <v>147.47</v>
      </c>
      <c r="K138" s="61" t="s">
        <v>1539</v>
      </c>
    </row>
    <row r="139" spans="1:11">
      <c r="A139" s="202">
        <v>136</v>
      </c>
      <c r="B139" s="203" t="s">
        <v>4368</v>
      </c>
      <c r="C139" s="61" t="s">
        <v>4459</v>
      </c>
      <c r="D139" s="61" t="s">
        <v>36</v>
      </c>
      <c r="E139" s="204">
        <v>1199999</v>
      </c>
      <c r="F139" s="205">
        <f t="shared" si="4"/>
        <v>1163999.03</v>
      </c>
      <c r="G139" s="206">
        <f t="shared" si="5"/>
        <v>1127999.0599999998</v>
      </c>
      <c r="H139" s="61">
        <v>721.5</v>
      </c>
      <c r="I139" s="61">
        <v>573.17999999999995</v>
      </c>
      <c r="J139" s="61">
        <v>148.33000000000001</v>
      </c>
      <c r="K139" s="61" t="s">
        <v>1539</v>
      </c>
    </row>
    <row r="140" spans="1:11">
      <c r="A140" s="202">
        <v>137</v>
      </c>
      <c r="B140" s="203" t="s">
        <v>1426</v>
      </c>
      <c r="C140" s="61" t="s">
        <v>7</v>
      </c>
      <c r="D140" s="61" t="s">
        <v>36</v>
      </c>
      <c r="E140" s="204">
        <v>1199999</v>
      </c>
      <c r="F140" s="205">
        <f t="shared" si="4"/>
        <v>1163999.03</v>
      </c>
      <c r="G140" s="206">
        <f t="shared" si="5"/>
        <v>1127999.0599999998</v>
      </c>
      <c r="H140" s="61">
        <v>723.87</v>
      </c>
      <c r="I140" s="61">
        <v>575.65</v>
      </c>
      <c r="J140" s="61">
        <v>148.22</v>
      </c>
      <c r="K140" s="61" t="s">
        <v>1539</v>
      </c>
    </row>
    <row r="141" spans="1:11">
      <c r="A141" s="202">
        <v>138</v>
      </c>
      <c r="B141" s="203" t="s">
        <v>1427</v>
      </c>
      <c r="C141" s="61" t="s">
        <v>7</v>
      </c>
      <c r="D141" s="61" t="s">
        <v>36</v>
      </c>
      <c r="E141" s="204">
        <v>1199999</v>
      </c>
      <c r="F141" s="205">
        <f t="shared" si="4"/>
        <v>1163999.03</v>
      </c>
      <c r="G141" s="206">
        <f t="shared" si="5"/>
        <v>1127999.0599999998</v>
      </c>
      <c r="H141" s="61">
        <v>723.87</v>
      </c>
      <c r="I141" s="61">
        <v>575.65</v>
      </c>
      <c r="J141" s="61">
        <v>148.22</v>
      </c>
      <c r="K141" s="61" t="s">
        <v>1539</v>
      </c>
    </row>
    <row r="142" spans="1:11">
      <c r="A142" s="202">
        <v>139</v>
      </c>
      <c r="B142" s="203" t="s">
        <v>4356</v>
      </c>
      <c r="C142" s="61" t="s">
        <v>7</v>
      </c>
      <c r="D142" s="61" t="s">
        <v>36</v>
      </c>
      <c r="E142" s="204">
        <v>1199999</v>
      </c>
      <c r="F142" s="205">
        <f t="shared" si="4"/>
        <v>1163999.03</v>
      </c>
      <c r="G142" s="206">
        <f t="shared" si="5"/>
        <v>1127999.0599999998</v>
      </c>
      <c r="H142" s="61">
        <v>723.87</v>
      </c>
      <c r="I142" s="61">
        <v>575.65</v>
      </c>
      <c r="J142" s="61">
        <v>148.22</v>
      </c>
      <c r="K142" s="61" t="s">
        <v>1539</v>
      </c>
    </row>
    <row r="143" spans="1:11">
      <c r="A143" s="202">
        <v>140</v>
      </c>
      <c r="B143" s="203" t="s">
        <v>4369</v>
      </c>
      <c r="C143" s="61" t="s">
        <v>4459</v>
      </c>
      <c r="D143" s="61" t="s">
        <v>36</v>
      </c>
      <c r="E143" s="204">
        <v>1198999</v>
      </c>
      <c r="F143" s="205">
        <f t="shared" si="4"/>
        <v>1163029.03</v>
      </c>
      <c r="G143" s="206">
        <f t="shared" si="5"/>
        <v>1127059.0599999998</v>
      </c>
      <c r="H143" s="61">
        <v>721.29</v>
      </c>
      <c r="I143" s="61">
        <v>573.07000000000005</v>
      </c>
      <c r="J143" s="61">
        <v>148.22</v>
      </c>
      <c r="K143" s="61" t="s">
        <v>1539</v>
      </c>
    </row>
    <row r="144" spans="1:11">
      <c r="A144" s="202">
        <v>141</v>
      </c>
      <c r="B144" s="203" t="s">
        <v>4370</v>
      </c>
      <c r="C144" s="61" t="s">
        <v>4459</v>
      </c>
      <c r="D144" s="61" t="s">
        <v>36</v>
      </c>
      <c r="E144" s="204">
        <v>1198999</v>
      </c>
      <c r="F144" s="205">
        <f t="shared" si="4"/>
        <v>1163029.03</v>
      </c>
      <c r="G144" s="206">
        <f t="shared" si="5"/>
        <v>1127059.0599999998</v>
      </c>
      <c r="H144" s="61">
        <v>721.18</v>
      </c>
      <c r="I144" s="61">
        <v>572.96</v>
      </c>
      <c r="J144" s="61">
        <v>148.22</v>
      </c>
      <c r="K144" s="61" t="s">
        <v>1539</v>
      </c>
    </row>
    <row r="145" spans="1:11">
      <c r="A145" s="202">
        <v>142</v>
      </c>
      <c r="B145" s="203" t="s">
        <v>4371</v>
      </c>
      <c r="C145" s="61" t="s">
        <v>4459</v>
      </c>
      <c r="D145" s="61" t="s">
        <v>36</v>
      </c>
      <c r="E145" s="204">
        <v>1198999</v>
      </c>
      <c r="F145" s="205">
        <f t="shared" si="4"/>
        <v>1163029.03</v>
      </c>
      <c r="G145" s="206">
        <f t="shared" si="5"/>
        <v>1127059.0599999998</v>
      </c>
      <c r="H145" s="61">
        <v>721.18</v>
      </c>
      <c r="I145" s="61">
        <v>572.96</v>
      </c>
      <c r="J145" s="61">
        <v>148.22</v>
      </c>
      <c r="K145" s="61" t="s">
        <v>1539</v>
      </c>
    </row>
    <row r="146" spans="1:11">
      <c r="A146" s="202">
        <v>143</v>
      </c>
      <c r="B146" s="203" t="s">
        <v>4357</v>
      </c>
      <c r="C146" s="61" t="s">
        <v>7</v>
      </c>
      <c r="D146" s="61" t="s">
        <v>36</v>
      </c>
      <c r="E146" s="204">
        <v>1198999</v>
      </c>
      <c r="F146" s="205">
        <f t="shared" si="4"/>
        <v>1163029.03</v>
      </c>
      <c r="G146" s="206">
        <f t="shared" si="5"/>
        <v>1127059.0599999998</v>
      </c>
      <c r="H146" s="61">
        <v>722.8</v>
      </c>
      <c r="I146" s="61">
        <v>575.33000000000004</v>
      </c>
      <c r="J146" s="61">
        <v>147.47</v>
      </c>
      <c r="K146" s="61" t="s">
        <v>1539</v>
      </c>
    </row>
    <row r="147" spans="1:11">
      <c r="A147" s="202">
        <v>144</v>
      </c>
      <c r="B147" s="203" t="s">
        <v>4372</v>
      </c>
      <c r="C147" s="61" t="s">
        <v>4459</v>
      </c>
      <c r="D147" s="61" t="s">
        <v>36</v>
      </c>
      <c r="E147" s="204">
        <v>1198999</v>
      </c>
      <c r="F147" s="205">
        <f t="shared" si="4"/>
        <v>1163029.03</v>
      </c>
      <c r="G147" s="206">
        <f t="shared" si="5"/>
        <v>1127059.0599999998</v>
      </c>
      <c r="H147" s="61">
        <v>720.86</v>
      </c>
      <c r="I147" s="61">
        <v>572.64</v>
      </c>
      <c r="J147" s="61">
        <v>148.22</v>
      </c>
      <c r="K147" s="61" t="s">
        <v>1539</v>
      </c>
    </row>
    <row r="148" spans="1:11">
      <c r="A148" s="202">
        <v>145</v>
      </c>
      <c r="B148" s="203" t="s">
        <v>1428</v>
      </c>
      <c r="C148" s="61" t="s">
        <v>8</v>
      </c>
      <c r="D148" s="61" t="s">
        <v>36</v>
      </c>
      <c r="E148" s="204">
        <v>1197999</v>
      </c>
      <c r="F148" s="205">
        <f t="shared" si="4"/>
        <v>1162059.03</v>
      </c>
      <c r="G148" s="206">
        <f t="shared" si="5"/>
        <v>1126119.0599999998</v>
      </c>
      <c r="H148" s="61">
        <v>723.98</v>
      </c>
      <c r="I148" s="61">
        <v>575.76</v>
      </c>
      <c r="J148" s="61">
        <v>148.22</v>
      </c>
      <c r="K148" s="61" t="s">
        <v>1539</v>
      </c>
    </row>
    <row r="149" spans="1:11">
      <c r="A149" s="202">
        <v>146</v>
      </c>
      <c r="B149" s="203" t="s">
        <v>1429</v>
      </c>
      <c r="C149" s="61" t="s">
        <v>8</v>
      </c>
      <c r="D149" s="61" t="s">
        <v>36</v>
      </c>
      <c r="E149" s="204">
        <v>1197999</v>
      </c>
      <c r="F149" s="205">
        <f t="shared" si="4"/>
        <v>1162059.03</v>
      </c>
      <c r="G149" s="206">
        <f t="shared" si="5"/>
        <v>1126119.0599999998</v>
      </c>
      <c r="H149" s="61">
        <v>723.87</v>
      </c>
      <c r="I149" s="61">
        <v>575.65</v>
      </c>
      <c r="J149" s="61">
        <v>148.22</v>
      </c>
      <c r="K149" s="61" t="s">
        <v>1539</v>
      </c>
    </row>
    <row r="150" spans="1:11">
      <c r="A150" s="202">
        <v>147</v>
      </c>
      <c r="B150" s="203" t="s">
        <v>1430</v>
      </c>
      <c r="C150" s="61" t="s">
        <v>8</v>
      </c>
      <c r="D150" s="61" t="s">
        <v>36</v>
      </c>
      <c r="E150" s="204">
        <v>1197999</v>
      </c>
      <c r="F150" s="205">
        <f t="shared" si="4"/>
        <v>1162059.03</v>
      </c>
      <c r="G150" s="206">
        <f t="shared" si="5"/>
        <v>1126119.0599999998</v>
      </c>
      <c r="H150" s="61">
        <v>723.87</v>
      </c>
      <c r="I150" s="61">
        <v>575.65</v>
      </c>
      <c r="J150" s="61">
        <v>148.22</v>
      </c>
      <c r="K150" s="61" t="s">
        <v>1539</v>
      </c>
    </row>
    <row r="151" spans="1:11">
      <c r="A151" s="202">
        <v>148</v>
      </c>
      <c r="B151" s="203" t="s">
        <v>1431</v>
      </c>
      <c r="C151" s="61" t="s">
        <v>8</v>
      </c>
      <c r="D151" s="61" t="s">
        <v>36</v>
      </c>
      <c r="E151" s="204">
        <v>1197999</v>
      </c>
      <c r="F151" s="205">
        <f t="shared" si="4"/>
        <v>1162059.03</v>
      </c>
      <c r="G151" s="206">
        <f t="shared" si="5"/>
        <v>1126119.0599999998</v>
      </c>
      <c r="H151" s="61">
        <v>723.87</v>
      </c>
      <c r="I151" s="61">
        <v>575.65</v>
      </c>
      <c r="J151" s="61">
        <v>148.22</v>
      </c>
      <c r="K151" s="61" t="s">
        <v>1539</v>
      </c>
    </row>
    <row r="152" spans="1:11">
      <c r="A152" s="202">
        <v>149</v>
      </c>
      <c r="B152" s="203" t="s">
        <v>1432</v>
      </c>
      <c r="C152" s="61" t="s">
        <v>5</v>
      </c>
      <c r="D152" s="61" t="s">
        <v>36</v>
      </c>
      <c r="E152" s="204">
        <v>1196999</v>
      </c>
      <c r="F152" s="205">
        <f t="shared" si="4"/>
        <v>1161089.03</v>
      </c>
      <c r="G152" s="206">
        <f t="shared" si="5"/>
        <v>1125179.0599999998</v>
      </c>
      <c r="H152" s="61">
        <v>721.5</v>
      </c>
      <c r="I152" s="61">
        <v>573.17999999999995</v>
      </c>
      <c r="J152" s="61">
        <v>148.33000000000001</v>
      </c>
      <c r="K152" s="61" t="s">
        <v>1539</v>
      </c>
    </row>
    <row r="153" spans="1:11">
      <c r="A153" s="202">
        <v>150</v>
      </c>
      <c r="B153" s="203" t="s">
        <v>1433</v>
      </c>
      <c r="C153" s="61" t="s">
        <v>5</v>
      </c>
      <c r="D153" s="61" t="s">
        <v>36</v>
      </c>
      <c r="E153" s="204">
        <v>1196999</v>
      </c>
      <c r="F153" s="205">
        <f t="shared" si="4"/>
        <v>1161089.03</v>
      </c>
      <c r="G153" s="206">
        <f t="shared" si="5"/>
        <v>1125179.0599999998</v>
      </c>
      <c r="H153" s="61">
        <v>721.29</v>
      </c>
      <c r="I153" s="61">
        <v>573.07000000000005</v>
      </c>
      <c r="J153" s="61">
        <v>148.22</v>
      </c>
      <c r="K153" s="61" t="s">
        <v>1539</v>
      </c>
    </row>
    <row r="154" spans="1:11">
      <c r="A154" s="202">
        <v>151</v>
      </c>
      <c r="B154" s="203" t="s">
        <v>1434</v>
      </c>
      <c r="C154" s="61" t="s">
        <v>5</v>
      </c>
      <c r="D154" s="61" t="s">
        <v>36</v>
      </c>
      <c r="E154" s="204">
        <v>1196999</v>
      </c>
      <c r="F154" s="205">
        <f t="shared" si="4"/>
        <v>1161089.03</v>
      </c>
      <c r="G154" s="206">
        <f t="shared" si="5"/>
        <v>1125179.0599999998</v>
      </c>
      <c r="H154" s="61">
        <v>721.18</v>
      </c>
      <c r="I154" s="61">
        <v>572.96</v>
      </c>
      <c r="J154" s="61">
        <v>148.22</v>
      </c>
      <c r="K154" s="61" t="s">
        <v>1539</v>
      </c>
    </row>
    <row r="155" spans="1:11">
      <c r="A155" s="202">
        <v>152</v>
      </c>
      <c r="B155" s="203" t="s">
        <v>1435</v>
      </c>
      <c r="C155" s="61" t="s">
        <v>5</v>
      </c>
      <c r="D155" s="61" t="s">
        <v>36</v>
      </c>
      <c r="E155" s="204">
        <v>1196999</v>
      </c>
      <c r="F155" s="205">
        <f t="shared" si="4"/>
        <v>1161089.03</v>
      </c>
      <c r="G155" s="206">
        <f t="shared" si="5"/>
        <v>1125179.0599999998</v>
      </c>
      <c r="H155" s="61">
        <v>721.18</v>
      </c>
      <c r="I155" s="61">
        <v>572.96</v>
      </c>
      <c r="J155" s="61">
        <v>148.22</v>
      </c>
      <c r="K155" s="61" t="s">
        <v>1539</v>
      </c>
    </row>
    <row r="156" spans="1:11">
      <c r="A156" s="202">
        <v>153</v>
      </c>
      <c r="B156" s="203" t="s">
        <v>1436</v>
      </c>
      <c r="C156" s="61" t="s">
        <v>8</v>
      </c>
      <c r="D156" s="61" t="s">
        <v>36</v>
      </c>
      <c r="E156" s="204">
        <v>1196999</v>
      </c>
      <c r="F156" s="205">
        <f t="shared" si="4"/>
        <v>1161089.03</v>
      </c>
      <c r="G156" s="206">
        <f t="shared" si="5"/>
        <v>1125179.0599999998</v>
      </c>
      <c r="H156" s="61">
        <v>723.66</v>
      </c>
      <c r="I156" s="61">
        <v>575.44000000000005</v>
      </c>
      <c r="J156" s="61">
        <v>148.22</v>
      </c>
      <c r="K156" s="61" t="s">
        <v>1539</v>
      </c>
    </row>
    <row r="157" spans="1:11">
      <c r="A157" s="202">
        <v>154</v>
      </c>
      <c r="B157" s="203" t="s">
        <v>1437</v>
      </c>
      <c r="C157" s="61" t="s">
        <v>10</v>
      </c>
      <c r="D157" s="61" t="s">
        <v>36</v>
      </c>
      <c r="E157" s="204">
        <v>1196999</v>
      </c>
      <c r="F157" s="205">
        <f t="shared" si="4"/>
        <v>1161089.03</v>
      </c>
      <c r="G157" s="206">
        <f t="shared" si="5"/>
        <v>1125179.0599999998</v>
      </c>
      <c r="H157" s="61">
        <v>724.95</v>
      </c>
      <c r="I157" s="61">
        <v>578.66999999999996</v>
      </c>
      <c r="J157" s="61">
        <v>146.28</v>
      </c>
      <c r="K157" s="61" t="s">
        <v>1539</v>
      </c>
    </row>
    <row r="158" spans="1:11">
      <c r="A158" s="202">
        <v>155</v>
      </c>
      <c r="B158" s="203" t="s">
        <v>1438</v>
      </c>
      <c r="C158" s="61" t="s">
        <v>8</v>
      </c>
      <c r="D158" s="61" t="s">
        <v>36</v>
      </c>
      <c r="E158" s="204">
        <v>1196999</v>
      </c>
      <c r="F158" s="205">
        <f t="shared" si="4"/>
        <v>1161089.03</v>
      </c>
      <c r="G158" s="206">
        <f t="shared" si="5"/>
        <v>1125179.0599999998</v>
      </c>
      <c r="H158" s="61">
        <v>722.8</v>
      </c>
      <c r="I158" s="61">
        <v>575.33000000000004</v>
      </c>
      <c r="J158" s="61">
        <v>147.47</v>
      </c>
      <c r="K158" s="61" t="s">
        <v>1539</v>
      </c>
    </row>
    <row r="159" spans="1:11">
      <c r="A159" s="202">
        <v>156</v>
      </c>
      <c r="B159" s="203" t="s">
        <v>1439</v>
      </c>
      <c r="C159" s="61" t="s">
        <v>5</v>
      </c>
      <c r="D159" s="61" t="s">
        <v>36</v>
      </c>
      <c r="E159" s="204">
        <v>1195999</v>
      </c>
      <c r="F159" s="205">
        <f t="shared" si="4"/>
        <v>1160119.03</v>
      </c>
      <c r="G159" s="206">
        <f t="shared" si="5"/>
        <v>1124239.0599999998</v>
      </c>
      <c r="H159" s="61">
        <v>720.86</v>
      </c>
      <c r="I159" s="61">
        <v>572.64</v>
      </c>
      <c r="J159" s="61">
        <v>148.22</v>
      </c>
      <c r="K159" s="61" t="s">
        <v>1539</v>
      </c>
    </row>
    <row r="160" spans="1:11">
      <c r="A160" s="202">
        <v>157</v>
      </c>
      <c r="B160" s="203" t="s">
        <v>1440</v>
      </c>
      <c r="C160" s="61" t="s">
        <v>9</v>
      </c>
      <c r="D160" s="61" t="s">
        <v>36</v>
      </c>
      <c r="E160" s="204">
        <v>1194999</v>
      </c>
      <c r="F160" s="205">
        <f t="shared" si="4"/>
        <v>1159149.03</v>
      </c>
      <c r="G160" s="206">
        <f t="shared" si="5"/>
        <v>1123299.0599999998</v>
      </c>
      <c r="H160" s="61">
        <v>723.87</v>
      </c>
      <c r="I160" s="61">
        <v>575.65</v>
      </c>
      <c r="J160" s="61">
        <v>148.22</v>
      </c>
      <c r="K160" s="61" t="s">
        <v>1539</v>
      </c>
    </row>
    <row r="161" spans="1:11">
      <c r="A161" s="202">
        <v>158</v>
      </c>
      <c r="B161" s="203" t="s">
        <v>1441</v>
      </c>
      <c r="C161" s="61" t="s">
        <v>9</v>
      </c>
      <c r="D161" s="61" t="s">
        <v>36</v>
      </c>
      <c r="E161" s="204">
        <v>1194999</v>
      </c>
      <c r="F161" s="205">
        <f t="shared" si="4"/>
        <v>1159149.03</v>
      </c>
      <c r="G161" s="206">
        <f t="shared" si="5"/>
        <v>1123299.0599999998</v>
      </c>
      <c r="H161" s="61">
        <v>723.87</v>
      </c>
      <c r="I161" s="61">
        <v>575.65</v>
      </c>
      <c r="J161" s="61">
        <v>148.22</v>
      </c>
      <c r="K161" s="61" t="s">
        <v>1539</v>
      </c>
    </row>
    <row r="162" spans="1:11">
      <c r="A162" s="202">
        <v>159</v>
      </c>
      <c r="B162" s="203" t="s">
        <v>1442</v>
      </c>
      <c r="C162" s="61" t="s">
        <v>9</v>
      </c>
      <c r="D162" s="61" t="s">
        <v>36</v>
      </c>
      <c r="E162" s="204">
        <v>1195999</v>
      </c>
      <c r="F162" s="205">
        <f t="shared" si="4"/>
        <v>1160119.03</v>
      </c>
      <c r="G162" s="206">
        <f t="shared" si="5"/>
        <v>1124239.0599999998</v>
      </c>
      <c r="H162" s="61">
        <v>723.98</v>
      </c>
      <c r="I162" s="61">
        <v>575.76</v>
      </c>
      <c r="J162" s="61">
        <v>148.22</v>
      </c>
      <c r="K162" s="61" t="s">
        <v>1539</v>
      </c>
    </row>
    <row r="163" spans="1:11">
      <c r="A163" s="202">
        <v>160</v>
      </c>
      <c r="B163" s="203" t="s">
        <v>1443</v>
      </c>
      <c r="C163" s="61" t="s">
        <v>9</v>
      </c>
      <c r="D163" s="61" t="s">
        <v>36</v>
      </c>
      <c r="E163" s="204">
        <v>1194999</v>
      </c>
      <c r="F163" s="205">
        <f t="shared" si="4"/>
        <v>1159149.03</v>
      </c>
      <c r="G163" s="206">
        <f t="shared" si="5"/>
        <v>1123299.0599999998</v>
      </c>
      <c r="H163" s="61">
        <v>723.87</v>
      </c>
      <c r="I163" s="61">
        <v>575.65</v>
      </c>
      <c r="J163" s="61">
        <v>148.22</v>
      </c>
      <c r="K163" s="61" t="s">
        <v>1539</v>
      </c>
    </row>
    <row r="164" spans="1:11">
      <c r="A164" s="202">
        <v>161</v>
      </c>
      <c r="B164" s="203" t="s">
        <v>1444</v>
      </c>
      <c r="C164" s="61" t="s">
        <v>9</v>
      </c>
      <c r="D164" s="61" t="s">
        <v>36</v>
      </c>
      <c r="E164" s="204">
        <v>1194999</v>
      </c>
      <c r="F164" s="205">
        <f t="shared" si="4"/>
        <v>1159149.03</v>
      </c>
      <c r="G164" s="206">
        <f t="shared" si="5"/>
        <v>1123299.0599999998</v>
      </c>
      <c r="H164" s="61">
        <v>723.66</v>
      </c>
      <c r="I164" s="61">
        <v>575.44000000000005</v>
      </c>
      <c r="J164" s="61">
        <v>148.22</v>
      </c>
      <c r="K164" s="61" t="s">
        <v>1539</v>
      </c>
    </row>
    <row r="165" spans="1:11">
      <c r="A165" s="202">
        <v>162</v>
      </c>
      <c r="B165" s="203" t="s">
        <v>1445</v>
      </c>
      <c r="C165" s="61" t="s">
        <v>9</v>
      </c>
      <c r="D165" s="61" t="s">
        <v>36</v>
      </c>
      <c r="E165" s="204">
        <v>1193999</v>
      </c>
      <c r="F165" s="205">
        <f t="shared" si="4"/>
        <v>1158179.03</v>
      </c>
      <c r="G165" s="206">
        <f t="shared" si="5"/>
        <v>1122359.0599999998</v>
      </c>
      <c r="H165" s="61">
        <v>722.8</v>
      </c>
      <c r="I165" s="61">
        <v>575.33000000000004</v>
      </c>
      <c r="J165" s="61">
        <v>147.47</v>
      </c>
      <c r="K165" s="61" t="s">
        <v>1539</v>
      </c>
    </row>
    <row r="166" spans="1:11">
      <c r="A166" s="202">
        <v>163</v>
      </c>
      <c r="B166" s="203" t="s">
        <v>1446</v>
      </c>
      <c r="C166" s="61" t="s">
        <v>10</v>
      </c>
      <c r="D166" s="61" t="s">
        <v>36</v>
      </c>
      <c r="E166" s="204">
        <v>1192999</v>
      </c>
      <c r="F166" s="205">
        <f t="shared" si="4"/>
        <v>1157209.03</v>
      </c>
      <c r="G166" s="206">
        <f t="shared" si="5"/>
        <v>1121419.0599999998</v>
      </c>
      <c r="H166" s="61">
        <v>723.87</v>
      </c>
      <c r="I166" s="61">
        <v>575.65</v>
      </c>
      <c r="J166" s="61">
        <v>148.22</v>
      </c>
      <c r="K166" s="61" t="s">
        <v>1539</v>
      </c>
    </row>
    <row r="167" spans="1:11">
      <c r="A167" s="202">
        <v>164</v>
      </c>
      <c r="B167" s="203" t="s">
        <v>1447</v>
      </c>
      <c r="C167" s="61" t="s">
        <v>10</v>
      </c>
      <c r="D167" s="61" t="s">
        <v>36</v>
      </c>
      <c r="E167" s="204">
        <v>1192999</v>
      </c>
      <c r="F167" s="205">
        <f t="shared" si="4"/>
        <v>1157209.03</v>
      </c>
      <c r="G167" s="206">
        <f t="shared" si="5"/>
        <v>1121419.0599999998</v>
      </c>
      <c r="H167" s="61">
        <v>723.87</v>
      </c>
      <c r="I167" s="61">
        <v>575.65</v>
      </c>
      <c r="J167" s="61">
        <v>148.22</v>
      </c>
      <c r="K167" s="61" t="s">
        <v>1539</v>
      </c>
    </row>
    <row r="168" spans="1:11">
      <c r="A168" s="202">
        <v>165</v>
      </c>
      <c r="B168" s="203" t="s">
        <v>1448</v>
      </c>
      <c r="C168" s="61" t="s">
        <v>4458</v>
      </c>
      <c r="D168" s="61" t="s">
        <v>36</v>
      </c>
      <c r="E168" s="204">
        <v>1192999</v>
      </c>
      <c r="F168" s="205">
        <f t="shared" si="4"/>
        <v>1157209.03</v>
      </c>
      <c r="G168" s="206">
        <f t="shared" si="5"/>
        <v>1121419.0599999998</v>
      </c>
      <c r="H168" s="61">
        <v>721.5</v>
      </c>
      <c r="I168" s="61">
        <v>573.17999999999995</v>
      </c>
      <c r="J168" s="61">
        <v>148.33000000000001</v>
      </c>
      <c r="K168" s="61" t="s">
        <v>1539</v>
      </c>
    </row>
    <row r="169" spans="1:11">
      <c r="A169" s="202">
        <v>166</v>
      </c>
      <c r="B169" s="203" t="s">
        <v>1449</v>
      </c>
      <c r="C169" s="61" t="s">
        <v>4458</v>
      </c>
      <c r="D169" s="61" t="s">
        <v>36</v>
      </c>
      <c r="E169" s="204">
        <v>1192999</v>
      </c>
      <c r="F169" s="205">
        <f t="shared" si="4"/>
        <v>1157209.03</v>
      </c>
      <c r="G169" s="206">
        <f t="shared" si="5"/>
        <v>1121419.0599999998</v>
      </c>
      <c r="H169" s="61">
        <v>721.29</v>
      </c>
      <c r="I169" s="61">
        <v>573.07000000000005</v>
      </c>
      <c r="J169" s="61">
        <v>148.22</v>
      </c>
      <c r="K169" s="61" t="s">
        <v>1539</v>
      </c>
    </row>
    <row r="170" spans="1:11">
      <c r="A170" s="202">
        <v>167</v>
      </c>
      <c r="B170" s="203" t="s">
        <v>1450</v>
      </c>
      <c r="C170" s="61" t="s">
        <v>4458</v>
      </c>
      <c r="D170" s="61" t="s">
        <v>36</v>
      </c>
      <c r="E170" s="204">
        <v>1191999</v>
      </c>
      <c r="F170" s="205">
        <f t="shared" si="4"/>
        <v>1156239.03</v>
      </c>
      <c r="G170" s="206">
        <f t="shared" si="5"/>
        <v>1120479.0599999998</v>
      </c>
      <c r="H170" s="61">
        <v>721.18</v>
      </c>
      <c r="I170" s="61">
        <v>572.96</v>
      </c>
      <c r="J170" s="61">
        <v>148.22</v>
      </c>
      <c r="K170" s="61" t="s">
        <v>1539</v>
      </c>
    </row>
    <row r="171" spans="1:11">
      <c r="A171" s="202">
        <v>168</v>
      </c>
      <c r="B171" s="203" t="s">
        <v>1451</v>
      </c>
      <c r="C171" s="61" t="s">
        <v>4458</v>
      </c>
      <c r="D171" s="61" t="s">
        <v>36</v>
      </c>
      <c r="E171" s="204">
        <v>1191999</v>
      </c>
      <c r="F171" s="205">
        <f t="shared" si="4"/>
        <v>1156239.03</v>
      </c>
      <c r="G171" s="206">
        <f t="shared" si="5"/>
        <v>1120479.0599999998</v>
      </c>
      <c r="H171" s="61">
        <v>721.18</v>
      </c>
      <c r="I171" s="61">
        <v>572.96</v>
      </c>
      <c r="J171" s="61">
        <v>148.22</v>
      </c>
      <c r="K171" s="61" t="s">
        <v>1539</v>
      </c>
    </row>
    <row r="172" spans="1:11">
      <c r="A172" s="202">
        <v>169</v>
      </c>
      <c r="B172" s="203" t="s">
        <v>1452</v>
      </c>
      <c r="C172" s="61" t="s">
        <v>10</v>
      </c>
      <c r="D172" s="61" t="s">
        <v>36</v>
      </c>
      <c r="E172" s="204">
        <v>1191999</v>
      </c>
      <c r="F172" s="205">
        <f t="shared" si="4"/>
        <v>1156239.03</v>
      </c>
      <c r="G172" s="206">
        <f t="shared" si="5"/>
        <v>1120479.0599999998</v>
      </c>
      <c r="H172" s="61">
        <v>722.8</v>
      </c>
      <c r="I172" s="61">
        <v>575.33000000000004</v>
      </c>
      <c r="J172" s="61">
        <v>147.47</v>
      </c>
      <c r="K172" s="61" t="s">
        <v>1539</v>
      </c>
    </row>
    <row r="173" spans="1:11">
      <c r="A173" s="202">
        <v>170</v>
      </c>
      <c r="B173" s="203" t="s">
        <v>1453</v>
      </c>
      <c r="C173" s="61" t="s">
        <v>3</v>
      </c>
      <c r="D173" s="61" t="s">
        <v>36</v>
      </c>
      <c r="E173" s="204">
        <v>1190999</v>
      </c>
      <c r="F173" s="205">
        <f t="shared" si="4"/>
        <v>1155269.03</v>
      </c>
      <c r="G173" s="206">
        <f t="shared" si="5"/>
        <v>1119539.0599999998</v>
      </c>
      <c r="H173" s="61">
        <v>723.87</v>
      </c>
      <c r="I173" s="61">
        <v>575.65</v>
      </c>
      <c r="J173" s="61">
        <v>148.22</v>
      </c>
      <c r="K173" s="61" t="s">
        <v>1539</v>
      </c>
    </row>
    <row r="174" spans="1:11">
      <c r="A174" s="202">
        <v>171</v>
      </c>
      <c r="B174" s="203" t="s">
        <v>1454</v>
      </c>
      <c r="C174" s="61" t="s">
        <v>6</v>
      </c>
      <c r="D174" s="61" t="s">
        <v>36</v>
      </c>
      <c r="E174" s="204">
        <v>1190999</v>
      </c>
      <c r="F174" s="205">
        <f t="shared" si="4"/>
        <v>1155269.03</v>
      </c>
      <c r="G174" s="206">
        <f t="shared" si="5"/>
        <v>1119539.0599999998</v>
      </c>
      <c r="H174" s="61">
        <v>721.5</v>
      </c>
      <c r="I174" s="61">
        <v>573.17999999999995</v>
      </c>
      <c r="J174" s="61">
        <v>148.33000000000001</v>
      </c>
      <c r="K174" s="61" t="s">
        <v>1539</v>
      </c>
    </row>
    <row r="175" spans="1:11">
      <c r="A175" s="202">
        <v>172</v>
      </c>
      <c r="B175" s="203" t="s">
        <v>1455</v>
      </c>
      <c r="C175" s="61" t="s">
        <v>3</v>
      </c>
      <c r="D175" s="61" t="s">
        <v>36</v>
      </c>
      <c r="E175" s="204">
        <v>1189999</v>
      </c>
      <c r="F175" s="205">
        <f t="shared" si="4"/>
        <v>1154299.03</v>
      </c>
      <c r="G175" s="206">
        <f t="shared" si="5"/>
        <v>1118599.0599999998</v>
      </c>
      <c r="H175" s="61">
        <v>723.33</v>
      </c>
      <c r="I175" s="61">
        <v>575.65</v>
      </c>
      <c r="J175" s="61">
        <v>147.68</v>
      </c>
      <c r="K175" s="61" t="s">
        <v>1539</v>
      </c>
    </row>
    <row r="176" spans="1:11">
      <c r="A176" s="202">
        <v>173</v>
      </c>
      <c r="B176" s="203" t="s">
        <v>1456</v>
      </c>
      <c r="C176" s="61" t="s">
        <v>6</v>
      </c>
      <c r="D176" s="61" t="s">
        <v>36</v>
      </c>
      <c r="E176" s="204">
        <v>1189999</v>
      </c>
      <c r="F176" s="205">
        <f t="shared" si="4"/>
        <v>1154299.03</v>
      </c>
      <c r="G176" s="206">
        <f t="shared" si="5"/>
        <v>1118599.0599999998</v>
      </c>
      <c r="H176" s="61">
        <v>721.29</v>
      </c>
      <c r="I176" s="61">
        <v>573.07000000000005</v>
      </c>
      <c r="J176" s="61">
        <v>148.22</v>
      </c>
      <c r="K176" s="61" t="s">
        <v>1539</v>
      </c>
    </row>
    <row r="177" spans="1:11">
      <c r="A177" s="202">
        <v>174</v>
      </c>
      <c r="B177" s="203" t="s">
        <v>1457</v>
      </c>
      <c r="C177" s="61" t="s">
        <v>6</v>
      </c>
      <c r="D177" s="61" t="s">
        <v>36</v>
      </c>
      <c r="E177" s="204">
        <v>1189999</v>
      </c>
      <c r="F177" s="205">
        <f t="shared" si="4"/>
        <v>1154299.03</v>
      </c>
      <c r="G177" s="206">
        <f t="shared" si="5"/>
        <v>1118599.0599999998</v>
      </c>
      <c r="H177" s="61">
        <v>721.18</v>
      </c>
      <c r="I177" s="61">
        <v>572.96</v>
      </c>
      <c r="J177" s="61">
        <v>148.22</v>
      </c>
      <c r="K177" s="61" t="s">
        <v>1539</v>
      </c>
    </row>
    <row r="178" spans="1:11">
      <c r="A178" s="202">
        <v>175</v>
      </c>
      <c r="B178" s="203" t="s">
        <v>1458</v>
      </c>
      <c r="C178" s="61" t="s">
        <v>6</v>
      </c>
      <c r="D178" s="61" t="s">
        <v>36</v>
      </c>
      <c r="E178" s="204">
        <v>1189999</v>
      </c>
      <c r="F178" s="205">
        <f t="shared" si="4"/>
        <v>1154299.03</v>
      </c>
      <c r="G178" s="206">
        <f t="shared" si="5"/>
        <v>1118599.0599999998</v>
      </c>
      <c r="H178" s="61">
        <v>721.18</v>
      </c>
      <c r="I178" s="61">
        <v>572.96</v>
      </c>
      <c r="J178" s="61">
        <v>148.22</v>
      </c>
      <c r="K178" s="61" t="s">
        <v>1539</v>
      </c>
    </row>
    <row r="179" spans="1:11">
      <c r="A179" s="202">
        <v>176</v>
      </c>
      <c r="B179" s="203" t="s">
        <v>1459</v>
      </c>
      <c r="C179" s="61" t="s">
        <v>6</v>
      </c>
      <c r="D179" s="61" t="s">
        <v>36</v>
      </c>
      <c r="E179" s="204">
        <v>1188999</v>
      </c>
      <c r="F179" s="205">
        <f t="shared" si="4"/>
        <v>1153329.03</v>
      </c>
      <c r="G179" s="206">
        <f t="shared" si="5"/>
        <v>1117659.0599999998</v>
      </c>
      <c r="H179" s="61">
        <v>720.86</v>
      </c>
      <c r="I179" s="61">
        <v>572.64</v>
      </c>
      <c r="J179" s="61">
        <v>148.22</v>
      </c>
      <c r="K179" s="61" t="s">
        <v>1539</v>
      </c>
    </row>
    <row r="180" spans="1:11">
      <c r="A180" s="202">
        <v>177</v>
      </c>
      <c r="B180" s="203" t="s">
        <v>1460</v>
      </c>
      <c r="C180" s="61" t="s">
        <v>3</v>
      </c>
      <c r="D180" s="61" t="s">
        <v>36</v>
      </c>
      <c r="E180" s="204">
        <v>1189999</v>
      </c>
      <c r="F180" s="205">
        <f t="shared" si="4"/>
        <v>1154299.03</v>
      </c>
      <c r="G180" s="206">
        <f t="shared" si="5"/>
        <v>1118599.0599999998</v>
      </c>
      <c r="H180" s="61">
        <v>722.8</v>
      </c>
      <c r="I180" s="61">
        <v>575.33000000000004</v>
      </c>
      <c r="J180" s="61">
        <v>147.47</v>
      </c>
      <c r="K180" s="61" t="s">
        <v>1539</v>
      </c>
    </row>
    <row r="181" spans="1:11">
      <c r="A181" s="202">
        <v>178</v>
      </c>
      <c r="B181" s="203" t="s">
        <v>1461</v>
      </c>
      <c r="C181" s="61" t="s">
        <v>7</v>
      </c>
      <c r="D181" s="61" t="s">
        <v>36</v>
      </c>
      <c r="E181" s="204">
        <v>1187999</v>
      </c>
      <c r="F181" s="205">
        <f t="shared" si="4"/>
        <v>1152359.03</v>
      </c>
      <c r="G181" s="206">
        <f t="shared" si="5"/>
        <v>1116719.0599999998</v>
      </c>
      <c r="H181" s="61">
        <v>721.5</v>
      </c>
      <c r="I181" s="61">
        <v>573.17999999999995</v>
      </c>
      <c r="J181" s="61">
        <v>148.33000000000001</v>
      </c>
      <c r="K181" s="61" t="s">
        <v>1539</v>
      </c>
    </row>
    <row r="182" spans="1:11">
      <c r="A182" s="202">
        <v>179</v>
      </c>
      <c r="B182" s="203" t="s">
        <v>1462</v>
      </c>
      <c r="C182" s="61" t="s">
        <v>7</v>
      </c>
      <c r="D182" s="61" t="s">
        <v>36</v>
      </c>
      <c r="E182" s="204">
        <v>1187999</v>
      </c>
      <c r="F182" s="205">
        <f t="shared" si="4"/>
        <v>1152359.03</v>
      </c>
      <c r="G182" s="206">
        <f t="shared" si="5"/>
        <v>1116719.0599999998</v>
      </c>
      <c r="H182" s="61">
        <v>721.29</v>
      </c>
      <c r="I182" s="61">
        <v>573.07000000000005</v>
      </c>
      <c r="J182" s="61">
        <v>148.22</v>
      </c>
      <c r="K182" s="61" t="s">
        <v>1539</v>
      </c>
    </row>
    <row r="183" spans="1:11">
      <c r="A183" s="202">
        <v>180</v>
      </c>
      <c r="B183" s="203" t="s">
        <v>4358</v>
      </c>
      <c r="C183" s="61" t="s">
        <v>4495</v>
      </c>
      <c r="D183" s="61" t="s">
        <v>36</v>
      </c>
      <c r="E183" s="204">
        <v>1187999</v>
      </c>
      <c r="F183" s="205">
        <f t="shared" si="4"/>
        <v>1152359.03</v>
      </c>
      <c r="G183" s="206">
        <f t="shared" si="5"/>
        <v>1116719.0599999998</v>
      </c>
      <c r="H183" s="61">
        <v>704.5</v>
      </c>
      <c r="I183" s="61">
        <v>556.28</v>
      </c>
      <c r="J183" s="61">
        <v>148.22</v>
      </c>
      <c r="K183" s="61" t="s">
        <v>1539</v>
      </c>
    </row>
    <row r="184" spans="1:11">
      <c r="A184" s="202">
        <v>181</v>
      </c>
      <c r="B184" s="203" t="s">
        <v>1463</v>
      </c>
      <c r="C184" s="61" t="s">
        <v>7</v>
      </c>
      <c r="D184" s="61" t="s">
        <v>36</v>
      </c>
      <c r="E184" s="204">
        <v>1186999</v>
      </c>
      <c r="F184" s="205">
        <f t="shared" si="4"/>
        <v>1151389.03</v>
      </c>
      <c r="G184" s="206">
        <f t="shared" si="5"/>
        <v>1115779.0599999998</v>
      </c>
      <c r="H184" s="61">
        <v>720.86</v>
      </c>
      <c r="I184" s="61">
        <v>572.64</v>
      </c>
      <c r="J184" s="61">
        <v>148.22</v>
      </c>
      <c r="K184" s="61" t="s">
        <v>1539</v>
      </c>
    </row>
    <row r="185" spans="1:11">
      <c r="A185" s="202">
        <v>182</v>
      </c>
      <c r="B185" s="203" t="s">
        <v>1464</v>
      </c>
      <c r="C185" s="61" t="s">
        <v>8</v>
      </c>
      <c r="D185" s="61" t="s">
        <v>36</v>
      </c>
      <c r="E185" s="204">
        <v>1185999</v>
      </c>
      <c r="F185" s="205">
        <f t="shared" si="4"/>
        <v>1150419.03</v>
      </c>
      <c r="G185" s="206">
        <f t="shared" si="5"/>
        <v>1114839.0599999998</v>
      </c>
      <c r="H185" s="61">
        <v>721.5</v>
      </c>
      <c r="I185" s="61">
        <v>573.17999999999995</v>
      </c>
      <c r="J185" s="61">
        <v>148.33000000000001</v>
      </c>
      <c r="K185" s="61" t="s">
        <v>1539</v>
      </c>
    </row>
    <row r="186" spans="1:11">
      <c r="A186" s="202">
        <v>183</v>
      </c>
      <c r="B186" s="203" t="s">
        <v>1465</v>
      </c>
      <c r="C186" s="61" t="s">
        <v>8</v>
      </c>
      <c r="D186" s="61" t="s">
        <v>36</v>
      </c>
      <c r="E186" s="204">
        <v>1185999</v>
      </c>
      <c r="F186" s="205">
        <f t="shared" si="4"/>
        <v>1150419.03</v>
      </c>
      <c r="G186" s="206">
        <f t="shared" si="5"/>
        <v>1114839.0599999998</v>
      </c>
      <c r="H186" s="61">
        <v>721.29</v>
      </c>
      <c r="I186" s="61">
        <v>573.07000000000005</v>
      </c>
      <c r="J186" s="61">
        <v>148.22</v>
      </c>
      <c r="K186" s="61" t="s">
        <v>1539</v>
      </c>
    </row>
    <row r="187" spans="1:11">
      <c r="A187" s="202">
        <v>184</v>
      </c>
      <c r="B187" s="203" t="s">
        <v>1466</v>
      </c>
      <c r="C187" s="61" t="s">
        <v>8</v>
      </c>
      <c r="D187" s="61" t="s">
        <v>36</v>
      </c>
      <c r="E187" s="204">
        <v>1185999</v>
      </c>
      <c r="F187" s="205">
        <f t="shared" si="4"/>
        <v>1150419.03</v>
      </c>
      <c r="G187" s="206">
        <f t="shared" si="5"/>
        <v>1114839.0599999998</v>
      </c>
      <c r="H187" s="61">
        <v>721.18</v>
      </c>
      <c r="I187" s="61">
        <v>572.96</v>
      </c>
      <c r="J187" s="61">
        <v>148.22</v>
      </c>
      <c r="K187" s="61" t="s">
        <v>1539</v>
      </c>
    </row>
    <row r="188" spans="1:11">
      <c r="A188" s="202">
        <v>185</v>
      </c>
      <c r="B188" s="203" t="s">
        <v>1467</v>
      </c>
      <c r="C188" s="61" t="s">
        <v>8</v>
      </c>
      <c r="D188" s="61" t="s">
        <v>36</v>
      </c>
      <c r="E188" s="204">
        <v>1185999</v>
      </c>
      <c r="F188" s="205">
        <f t="shared" si="4"/>
        <v>1150419.03</v>
      </c>
      <c r="G188" s="206">
        <f t="shared" si="5"/>
        <v>1114839.0599999998</v>
      </c>
      <c r="H188" s="61">
        <v>721.18</v>
      </c>
      <c r="I188" s="61">
        <v>572.96</v>
      </c>
      <c r="J188" s="61">
        <v>148.22</v>
      </c>
      <c r="K188" s="61" t="s">
        <v>1539</v>
      </c>
    </row>
    <row r="189" spans="1:11">
      <c r="A189" s="202">
        <v>186</v>
      </c>
      <c r="B189" s="203" t="s">
        <v>1468</v>
      </c>
      <c r="C189" s="61" t="s">
        <v>8</v>
      </c>
      <c r="D189" s="61" t="s">
        <v>36</v>
      </c>
      <c r="E189" s="204">
        <v>1184999</v>
      </c>
      <c r="F189" s="205">
        <f t="shared" si="4"/>
        <v>1149449.03</v>
      </c>
      <c r="G189" s="206">
        <f t="shared" si="5"/>
        <v>1113899.0599999998</v>
      </c>
      <c r="H189" s="61">
        <v>720.86</v>
      </c>
      <c r="I189" s="61">
        <v>572.64</v>
      </c>
      <c r="J189" s="61">
        <v>148.22</v>
      </c>
      <c r="K189" s="61" t="s">
        <v>1539</v>
      </c>
    </row>
    <row r="190" spans="1:11">
      <c r="A190" s="202">
        <v>187</v>
      </c>
      <c r="B190" s="203" t="s">
        <v>4359</v>
      </c>
      <c r="C190" s="61" t="s">
        <v>4495</v>
      </c>
      <c r="D190" s="61" t="s">
        <v>36</v>
      </c>
      <c r="E190" s="204">
        <v>1183999</v>
      </c>
      <c r="F190" s="205">
        <f t="shared" si="4"/>
        <v>1148479.03</v>
      </c>
      <c r="G190" s="206">
        <f t="shared" si="5"/>
        <v>1112959.0599999998</v>
      </c>
      <c r="H190" s="61">
        <v>702.78</v>
      </c>
      <c r="I190" s="61">
        <v>554.55999999999995</v>
      </c>
      <c r="J190" s="61">
        <v>148.22</v>
      </c>
      <c r="K190" s="61" t="s">
        <v>1539</v>
      </c>
    </row>
    <row r="191" spans="1:11">
      <c r="A191" s="202">
        <v>188</v>
      </c>
      <c r="B191" s="203" t="s">
        <v>1469</v>
      </c>
      <c r="C191" s="61" t="s">
        <v>9</v>
      </c>
      <c r="D191" s="61" t="s">
        <v>36</v>
      </c>
      <c r="E191" s="204">
        <v>1183999</v>
      </c>
      <c r="F191" s="205">
        <f t="shared" si="4"/>
        <v>1148479.03</v>
      </c>
      <c r="G191" s="206">
        <f t="shared" si="5"/>
        <v>1112959.0599999998</v>
      </c>
      <c r="H191" s="61">
        <v>721.5</v>
      </c>
      <c r="I191" s="61">
        <v>573.17999999999995</v>
      </c>
      <c r="J191" s="61">
        <v>148.33000000000001</v>
      </c>
      <c r="K191" s="61" t="s">
        <v>1539</v>
      </c>
    </row>
    <row r="192" spans="1:11">
      <c r="A192" s="202">
        <v>189</v>
      </c>
      <c r="B192" s="203" t="s">
        <v>1470</v>
      </c>
      <c r="C192" s="61" t="s">
        <v>9</v>
      </c>
      <c r="D192" s="61" t="s">
        <v>36</v>
      </c>
      <c r="E192" s="204">
        <v>1182999</v>
      </c>
      <c r="F192" s="205">
        <f t="shared" si="4"/>
        <v>1147509.03</v>
      </c>
      <c r="G192" s="206">
        <f t="shared" si="5"/>
        <v>1112019.0599999998</v>
      </c>
      <c r="H192" s="61">
        <v>721.29</v>
      </c>
      <c r="I192" s="61">
        <v>573.07000000000005</v>
      </c>
      <c r="J192" s="61">
        <v>148.22</v>
      </c>
      <c r="K192" s="61" t="s">
        <v>1539</v>
      </c>
    </row>
    <row r="193" spans="1:11">
      <c r="A193" s="202">
        <v>190</v>
      </c>
      <c r="B193" s="203" t="s">
        <v>1471</v>
      </c>
      <c r="C193" s="61" t="s">
        <v>9</v>
      </c>
      <c r="D193" s="61" t="s">
        <v>36</v>
      </c>
      <c r="E193" s="204">
        <v>1182999</v>
      </c>
      <c r="F193" s="205">
        <f t="shared" si="4"/>
        <v>1147509.03</v>
      </c>
      <c r="G193" s="206">
        <f t="shared" si="5"/>
        <v>1112019.0599999998</v>
      </c>
      <c r="H193" s="61">
        <v>721.18</v>
      </c>
      <c r="I193" s="61">
        <v>572.96</v>
      </c>
      <c r="J193" s="61">
        <v>148.22</v>
      </c>
      <c r="K193" s="61" t="s">
        <v>1539</v>
      </c>
    </row>
    <row r="194" spans="1:11">
      <c r="A194" s="202">
        <v>191</v>
      </c>
      <c r="B194" s="203" t="s">
        <v>1472</v>
      </c>
      <c r="C194" s="61" t="s">
        <v>9</v>
      </c>
      <c r="D194" s="61" t="s">
        <v>36</v>
      </c>
      <c r="E194" s="204">
        <v>1182999</v>
      </c>
      <c r="F194" s="205">
        <f t="shared" si="4"/>
        <v>1147509.03</v>
      </c>
      <c r="G194" s="206">
        <f t="shared" si="5"/>
        <v>1112019.0599999998</v>
      </c>
      <c r="H194" s="61">
        <v>721.18</v>
      </c>
      <c r="I194" s="61">
        <v>572.96</v>
      </c>
      <c r="J194" s="61">
        <v>148.22</v>
      </c>
      <c r="K194" s="61" t="s">
        <v>1539</v>
      </c>
    </row>
    <row r="195" spans="1:11">
      <c r="A195" s="202">
        <v>192</v>
      </c>
      <c r="B195" s="203" t="s">
        <v>1473</v>
      </c>
      <c r="C195" s="61" t="s">
        <v>9</v>
      </c>
      <c r="D195" s="61" t="s">
        <v>36</v>
      </c>
      <c r="E195" s="204">
        <v>1182999</v>
      </c>
      <c r="F195" s="205">
        <f t="shared" si="4"/>
        <v>1147509.03</v>
      </c>
      <c r="G195" s="206">
        <f t="shared" si="5"/>
        <v>1112019.0599999998</v>
      </c>
      <c r="H195" s="61">
        <v>720.86</v>
      </c>
      <c r="I195" s="61">
        <v>572.64</v>
      </c>
      <c r="J195" s="61">
        <v>148.22</v>
      </c>
      <c r="K195" s="61" t="s">
        <v>1539</v>
      </c>
    </row>
    <row r="196" spans="1:11">
      <c r="A196" s="202">
        <v>193</v>
      </c>
      <c r="B196" s="203" t="s">
        <v>1474</v>
      </c>
      <c r="C196" s="61" t="s">
        <v>10</v>
      </c>
      <c r="D196" s="61" t="s">
        <v>36</v>
      </c>
      <c r="E196" s="204">
        <v>1180999</v>
      </c>
      <c r="F196" s="205">
        <f t="shared" ref="F196:F259" si="6">E196*0.97</f>
        <v>1145569.03</v>
      </c>
      <c r="G196" s="206">
        <f t="shared" ref="G196:G259" si="7">E196*0.94</f>
        <v>1110139.0599999998</v>
      </c>
      <c r="H196" s="61">
        <v>721.5</v>
      </c>
      <c r="I196" s="61">
        <v>573.17999999999995</v>
      </c>
      <c r="J196" s="61">
        <v>148.33000000000001</v>
      </c>
      <c r="K196" s="61" t="s">
        <v>1539</v>
      </c>
    </row>
    <row r="197" spans="1:11">
      <c r="A197" s="202">
        <v>194</v>
      </c>
      <c r="B197" s="203" t="s">
        <v>1475</v>
      </c>
      <c r="C197" s="61" t="s">
        <v>10</v>
      </c>
      <c r="D197" s="61" t="s">
        <v>36</v>
      </c>
      <c r="E197" s="204">
        <v>1180999</v>
      </c>
      <c r="F197" s="205">
        <f t="shared" si="6"/>
        <v>1145569.03</v>
      </c>
      <c r="G197" s="206">
        <f t="shared" si="7"/>
        <v>1110139.0599999998</v>
      </c>
      <c r="H197" s="61">
        <v>721.29</v>
      </c>
      <c r="I197" s="61">
        <v>573.07000000000005</v>
      </c>
      <c r="J197" s="61">
        <v>148.22</v>
      </c>
      <c r="K197" s="61" t="s">
        <v>1539</v>
      </c>
    </row>
    <row r="198" spans="1:11">
      <c r="A198" s="202">
        <v>195</v>
      </c>
      <c r="B198" s="203" t="s">
        <v>1476</v>
      </c>
      <c r="C198" s="61" t="s">
        <v>10</v>
      </c>
      <c r="D198" s="61" t="s">
        <v>36</v>
      </c>
      <c r="E198" s="204">
        <v>1179999</v>
      </c>
      <c r="F198" s="205">
        <f t="shared" si="6"/>
        <v>1144599.03</v>
      </c>
      <c r="G198" s="206">
        <f t="shared" si="7"/>
        <v>1109199.0599999998</v>
      </c>
      <c r="H198" s="61">
        <v>720.86</v>
      </c>
      <c r="I198" s="61">
        <v>572.64</v>
      </c>
      <c r="J198" s="61">
        <v>148.22</v>
      </c>
      <c r="K198" s="61" t="s">
        <v>1539</v>
      </c>
    </row>
    <row r="199" spans="1:11">
      <c r="A199" s="202">
        <v>196</v>
      </c>
      <c r="B199" s="203" t="s">
        <v>1477</v>
      </c>
      <c r="C199" s="61" t="s">
        <v>33</v>
      </c>
      <c r="D199" s="61" t="s">
        <v>36</v>
      </c>
      <c r="E199" s="204">
        <v>1179999</v>
      </c>
      <c r="F199" s="205">
        <f t="shared" si="6"/>
        <v>1144599.03</v>
      </c>
      <c r="G199" s="206">
        <f t="shared" si="7"/>
        <v>1109199.0599999998</v>
      </c>
      <c r="H199" s="61">
        <v>702.78</v>
      </c>
      <c r="I199" s="61">
        <v>554.55999999999995</v>
      </c>
      <c r="J199" s="61">
        <v>148.22</v>
      </c>
      <c r="K199" s="61" t="s">
        <v>1539</v>
      </c>
    </row>
    <row r="200" spans="1:11">
      <c r="A200" s="202">
        <v>197</v>
      </c>
      <c r="B200" s="203" t="s">
        <v>1478</v>
      </c>
      <c r="C200" s="61" t="s">
        <v>3</v>
      </c>
      <c r="D200" s="61" t="s">
        <v>36</v>
      </c>
      <c r="E200" s="204">
        <v>1178999</v>
      </c>
      <c r="F200" s="205">
        <f t="shared" si="6"/>
        <v>1143629.03</v>
      </c>
      <c r="G200" s="206">
        <f t="shared" si="7"/>
        <v>1108259.0599999998</v>
      </c>
      <c r="H200" s="61">
        <v>721.5</v>
      </c>
      <c r="I200" s="61">
        <v>573.17999999999995</v>
      </c>
      <c r="J200" s="61">
        <v>148.33000000000001</v>
      </c>
      <c r="K200" s="61" t="s">
        <v>1539</v>
      </c>
    </row>
    <row r="201" spans="1:11">
      <c r="A201" s="202">
        <v>198</v>
      </c>
      <c r="B201" s="203" t="s">
        <v>1479</v>
      </c>
      <c r="C201" s="61" t="s">
        <v>3</v>
      </c>
      <c r="D201" s="61" t="s">
        <v>36</v>
      </c>
      <c r="E201" s="204">
        <v>1178999</v>
      </c>
      <c r="F201" s="205">
        <f t="shared" si="6"/>
        <v>1143629.03</v>
      </c>
      <c r="G201" s="206">
        <f t="shared" si="7"/>
        <v>1108259.0599999998</v>
      </c>
      <c r="H201" s="61">
        <v>721.29</v>
      </c>
      <c r="I201" s="61">
        <v>573.07000000000005</v>
      </c>
      <c r="J201" s="61">
        <v>148.22</v>
      </c>
      <c r="K201" s="61" t="s">
        <v>1539</v>
      </c>
    </row>
    <row r="202" spans="1:11">
      <c r="A202" s="202">
        <v>199</v>
      </c>
      <c r="B202" s="203" t="s">
        <v>1480</v>
      </c>
      <c r="C202" s="61" t="s">
        <v>34</v>
      </c>
      <c r="D202" s="61" t="s">
        <v>36</v>
      </c>
      <c r="E202" s="204">
        <v>1177999</v>
      </c>
      <c r="F202" s="205">
        <f t="shared" si="6"/>
        <v>1142659.03</v>
      </c>
      <c r="G202" s="206">
        <f t="shared" si="7"/>
        <v>1107319.0599999998</v>
      </c>
      <c r="H202" s="61">
        <v>702.78</v>
      </c>
      <c r="I202" s="61">
        <v>554.55999999999995</v>
      </c>
      <c r="J202" s="61">
        <v>148.22</v>
      </c>
      <c r="K202" s="61" t="s">
        <v>1539</v>
      </c>
    </row>
    <row r="203" spans="1:11">
      <c r="A203" s="202">
        <v>200</v>
      </c>
      <c r="B203" s="203" t="s">
        <v>1481</v>
      </c>
      <c r="C203" s="61" t="s">
        <v>4461</v>
      </c>
      <c r="D203" s="61" t="s">
        <v>36</v>
      </c>
      <c r="E203" s="204">
        <v>1175999</v>
      </c>
      <c r="F203" s="205">
        <f t="shared" si="6"/>
        <v>1140719.03</v>
      </c>
      <c r="G203" s="206">
        <f t="shared" si="7"/>
        <v>1105439.0599999998</v>
      </c>
      <c r="H203" s="61">
        <v>702.78</v>
      </c>
      <c r="I203" s="61">
        <v>554.55999999999995</v>
      </c>
      <c r="J203" s="61">
        <v>148.22</v>
      </c>
      <c r="K203" s="61" t="s">
        <v>1539</v>
      </c>
    </row>
    <row r="204" spans="1:11">
      <c r="A204" s="202">
        <v>201</v>
      </c>
      <c r="B204" s="203" t="s">
        <v>1482</v>
      </c>
      <c r="C204" s="61" t="s">
        <v>33</v>
      </c>
      <c r="D204" s="61" t="s">
        <v>36</v>
      </c>
      <c r="E204" s="204">
        <v>1174999</v>
      </c>
      <c r="F204" s="205">
        <f t="shared" si="6"/>
        <v>1139749.03</v>
      </c>
      <c r="G204" s="206">
        <f t="shared" si="7"/>
        <v>1104499.0599999998</v>
      </c>
      <c r="H204" s="61">
        <v>702.78</v>
      </c>
      <c r="I204" s="61">
        <v>554.55999999999995</v>
      </c>
      <c r="J204" s="61">
        <v>148.22</v>
      </c>
      <c r="K204" s="61" t="s">
        <v>1229</v>
      </c>
    </row>
    <row r="205" spans="1:11">
      <c r="A205" s="202">
        <v>202</v>
      </c>
      <c r="B205" s="203" t="s">
        <v>1483</v>
      </c>
      <c r="C205" s="61" t="s">
        <v>4460</v>
      </c>
      <c r="D205" s="61" t="s">
        <v>36</v>
      </c>
      <c r="E205" s="204">
        <v>1172999</v>
      </c>
      <c r="F205" s="205">
        <f t="shared" si="6"/>
        <v>1137809.03</v>
      </c>
      <c r="G205" s="206">
        <f t="shared" si="7"/>
        <v>1102619.0599999998</v>
      </c>
      <c r="H205" s="61">
        <v>702.78</v>
      </c>
      <c r="I205" s="61">
        <v>554.55999999999995</v>
      </c>
      <c r="J205" s="61">
        <v>148.22</v>
      </c>
      <c r="K205" s="61" t="s">
        <v>1539</v>
      </c>
    </row>
    <row r="206" spans="1:11">
      <c r="A206" s="202">
        <v>203</v>
      </c>
      <c r="B206" s="203" t="s">
        <v>4607</v>
      </c>
      <c r="C206" s="61" t="s">
        <v>34</v>
      </c>
      <c r="D206" s="61" t="s">
        <v>36</v>
      </c>
      <c r="E206" s="204">
        <v>1171999</v>
      </c>
      <c r="F206" s="205">
        <f t="shared" si="6"/>
        <v>1136839.03</v>
      </c>
      <c r="G206" s="206">
        <f t="shared" si="7"/>
        <v>1101679.0599999998</v>
      </c>
      <c r="H206" s="61">
        <v>702.78</v>
      </c>
      <c r="I206" s="61">
        <v>554.55999999999995</v>
      </c>
      <c r="J206" s="61">
        <v>148.22</v>
      </c>
      <c r="K206" s="61" t="s">
        <v>1229</v>
      </c>
    </row>
    <row r="207" spans="1:11">
      <c r="A207" s="202">
        <v>204</v>
      </c>
      <c r="B207" s="203" t="s">
        <v>1484</v>
      </c>
      <c r="C207" s="61" t="s">
        <v>11</v>
      </c>
      <c r="D207" s="61" t="s">
        <v>36</v>
      </c>
      <c r="E207" s="204">
        <v>1170999</v>
      </c>
      <c r="F207" s="205">
        <f t="shared" si="6"/>
        <v>1135869.03</v>
      </c>
      <c r="G207" s="206">
        <f t="shared" si="7"/>
        <v>1100739.0599999998</v>
      </c>
      <c r="H207" s="61">
        <v>702.78</v>
      </c>
      <c r="I207" s="61">
        <v>554.55999999999995</v>
      </c>
      <c r="J207" s="61">
        <v>148.22</v>
      </c>
      <c r="K207" s="61" t="s">
        <v>1539</v>
      </c>
    </row>
    <row r="208" spans="1:11">
      <c r="A208" s="202">
        <v>205</v>
      </c>
      <c r="B208" s="203" t="s">
        <v>4608</v>
      </c>
      <c r="C208" s="61" t="s">
        <v>4461</v>
      </c>
      <c r="D208" s="61" t="s">
        <v>36</v>
      </c>
      <c r="E208" s="204">
        <v>1169999</v>
      </c>
      <c r="F208" s="205">
        <f t="shared" si="6"/>
        <v>1134899.03</v>
      </c>
      <c r="G208" s="206">
        <f t="shared" si="7"/>
        <v>1099799.0599999998</v>
      </c>
      <c r="H208" s="61">
        <v>702.78</v>
      </c>
      <c r="I208" s="61">
        <v>554.55999999999995</v>
      </c>
      <c r="J208" s="61">
        <v>148.22</v>
      </c>
      <c r="K208" s="61" t="s">
        <v>1229</v>
      </c>
    </row>
    <row r="209" spans="1:11">
      <c r="A209" s="202">
        <v>206</v>
      </c>
      <c r="B209" s="203" t="s">
        <v>1485</v>
      </c>
      <c r="C209" s="61" t="s">
        <v>12</v>
      </c>
      <c r="D209" s="61" t="s">
        <v>36</v>
      </c>
      <c r="E209" s="204">
        <v>1168999</v>
      </c>
      <c r="F209" s="205">
        <f t="shared" si="6"/>
        <v>1133929.03</v>
      </c>
      <c r="G209" s="206">
        <f t="shared" si="7"/>
        <v>1098859.0599999998</v>
      </c>
      <c r="H209" s="61">
        <v>702.78</v>
      </c>
      <c r="I209" s="61">
        <v>554.55999999999995</v>
      </c>
      <c r="J209" s="61">
        <v>148.22</v>
      </c>
      <c r="K209" s="61" t="s">
        <v>1539</v>
      </c>
    </row>
    <row r="210" spans="1:11">
      <c r="A210" s="202">
        <v>207</v>
      </c>
      <c r="B210" s="203" t="s">
        <v>1486</v>
      </c>
      <c r="C210" s="61" t="s">
        <v>4460</v>
      </c>
      <c r="D210" s="61" t="s">
        <v>36</v>
      </c>
      <c r="E210" s="204">
        <v>1167999</v>
      </c>
      <c r="F210" s="205">
        <f t="shared" si="6"/>
        <v>1132959.03</v>
      </c>
      <c r="G210" s="206">
        <f t="shared" si="7"/>
        <v>1097919.0599999998</v>
      </c>
      <c r="H210" s="61">
        <v>702.78</v>
      </c>
      <c r="I210" s="61">
        <v>554.55999999999995</v>
      </c>
      <c r="J210" s="61">
        <v>148.22</v>
      </c>
      <c r="K210" s="61" t="s">
        <v>1229</v>
      </c>
    </row>
    <row r="211" spans="1:11">
      <c r="A211" s="202">
        <v>208</v>
      </c>
      <c r="B211" s="203" t="s">
        <v>1487</v>
      </c>
      <c r="C211" s="61" t="s">
        <v>32</v>
      </c>
      <c r="D211" s="61" t="s">
        <v>36</v>
      </c>
      <c r="E211" s="204">
        <v>1166999</v>
      </c>
      <c r="F211" s="205">
        <f t="shared" si="6"/>
        <v>1131989.03</v>
      </c>
      <c r="G211" s="206">
        <f t="shared" si="7"/>
        <v>1096979.0599999998</v>
      </c>
      <c r="H211" s="61">
        <v>702.78</v>
      </c>
      <c r="I211" s="61">
        <v>554.55999999999995</v>
      </c>
      <c r="J211" s="61">
        <v>148.22</v>
      </c>
      <c r="K211" s="61" t="s">
        <v>1539</v>
      </c>
    </row>
    <row r="212" spans="1:11">
      <c r="A212" s="202">
        <v>209</v>
      </c>
      <c r="B212" s="203" t="s">
        <v>1488</v>
      </c>
      <c r="C212" s="61" t="s">
        <v>11</v>
      </c>
      <c r="D212" s="61" t="s">
        <v>36</v>
      </c>
      <c r="E212" s="204">
        <v>1165999</v>
      </c>
      <c r="F212" s="205">
        <f t="shared" si="6"/>
        <v>1131019.03</v>
      </c>
      <c r="G212" s="206">
        <f t="shared" si="7"/>
        <v>1096039.0599999998</v>
      </c>
      <c r="H212" s="61">
        <v>702.78</v>
      </c>
      <c r="I212" s="61">
        <v>554.55999999999995</v>
      </c>
      <c r="J212" s="61">
        <v>148.22</v>
      </c>
      <c r="K212" s="61" t="s">
        <v>1229</v>
      </c>
    </row>
    <row r="213" spans="1:11">
      <c r="A213" s="202">
        <v>210</v>
      </c>
      <c r="B213" s="203" t="s">
        <v>4373</v>
      </c>
      <c r="C213" s="61" t="s">
        <v>4459</v>
      </c>
      <c r="D213" s="61" t="s">
        <v>36</v>
      </c>
      <c r="E213" s="204">
        <v>1164999</v>
      </c>
      <c r="F213" s="205">
        <f t="shared" si="6"/>
        <v>1130049.03</v>
      </c>
      <c r="G213" s="206">
        <f t="shared" si="7"/>
        <v>1095099.0599999998</v>
      </c>
      <c r="H213" s="61">
        <v>702.78</v>
      </c>
      <c r="I213" s="61">
        <v>554.55999999999995</v>
      </c>
      <c r="J213" s="61">
        <v>148.22</v>
      </c>
      <c r="K213" s="61" t="s">
        <v>1539</v>
      </c>
    </row>
    <row r="214" spans="1:11">
      <c r="A214" s="202">
        <v>211</v>
      </c>
      <c r="B214" s="203" t="s">
        <v>1489</v>
      </c>
      <c r="C214" s="61" t="s">
        <v>12</v>
      </c>
      <c r="D214" s="61" t="s">
        <v>36</v>
      </c>
      <c r="E214" s="204">
        <v>1163999</v>
      </c>
      <c r="F214" s="205">
        <f t="shared" si="6"/>
        <v>1129079.03</v>
      </c>
      <c r="G214" s="206">
        <f t="shared" si="7"/>
        <v>1094159.0599999998</v>
      </c>
      <c r="H214" s="61">
        <v>702.78</v>
      </c>
      <c r="I214" s="61">
        <v>554.55999999999995</v>
      </c>
      <c r="J214" s="61">
        <v>148.22</v>
      </c>
      <c r="K214" s="61" t="s">
        <v>1229</v>
      </c>
    </row>
    <row r="215" spans="1:11">
      <c r="A215" s="202">
        <v>212</v>
      </c>
      <c r="B215" s="203" t="s">
        <v>1490</v>
      </c>
      <c r="C215" s="61" t="s">
        <v>5</v>
      </c>
      <c r="D215" s="61" t="s">
        <v>36</v>
      </c>
      <c r="E215" s="204">
        <v>1161999</v>
      </c>
      <c r="F215" s="205">
        <f t="shared" si="6"/>
        <v>1127139.03</v>
      </c>
      <c r="G215" s="206">
        <f t="shared" si="7"/>
        <v>1092279.0599999998</v>
      </c>
      <c r="H215" s="61">
        <v>702.78</v>
      </c>
      <c r="I215" s="61">
        <v>554.55999999999995</v>
      </c>
      <c r="J215" s="61">
        <v>148.22</v>
      </c>
      <c r="K215" s="61" t="s">
        <v>1539</v>
      </c>
    </row>
    <row r="216" spans="1:11">
      <c r="A216" s="202">
        <v>213</v>
      </c>
      <c r="B216" s="203" t="s">
        <v>1491</v>
      </c>
      <c r="C216" s="61" t="s">
        <v>32</v>
      </c>
      <c r="D216" s="61" t="s">
        <v>36</v>
      </c>
      <c r="E216" s="204">
        <v>1160999</v>
      </c>
      <c r="F216" s="205">
        <f t="shared" si="6"/>
        <v>1126169.03</v>
      </c>
      <c r="G216" s="206">
        <f t="shared" si="7"/>
        <v>1091339.0599999998</v>
      </c>
      <c r="H216" s="61">
        <v>702.78</v>
      </c>
      <c r="I216" s="61">
        <v>554.55999999999995</v>
      </c>
      <c r="J216" s="61">
        <v>148.22</v>
      </c>
      <c r="K216" s="61" t="s">
        <v>1229</v>
      </c>
    </row>
    <row r="217" spans="1:11">
      <c r="A217" s="202">
        <v>214</v>
      </c>
      <c r="B217" s="203" t="s">
        <v>4374</v>
      </c>
      <c r="C217" s="61" t="s">
        <v>4459</v>
      </c>
      <c r="D217" s="61" t="s">
        <v>36</v>
      </c>
      <c r="E217" s="204">
        <v>1158999</v>
      </c>
      <c r="F217" s="205">
        <f t="shared" si="6"/>
        <v>1124229.03</v>
      </c>
      <c r="G217" s="206">
        <f t="shared" si="7"/>
        <v>1089459.0599999998</v>
      </c>
      <c r="H217" s="61">
        <v>702.78</v>
      </c>
      <c r="I217" s="61">
        <v>554.55999999999995</v>
      </c>
      <c r="J217" s="61">
        <v>148.22</v>
      </c>
      <c r="K217" s="61" t="s">
        <v>1229</v>
      </c>
    </row>
    <row r="218" spans="1:11">
      <c r="A218" s="202">
        <v>215</v>
      </c>
      <c r="B218" s="203" t="s">
        <v>1492</v>
      </c>
      <c r="C218" s="61" t="s">
        <v>4458</v>
      </c>
      <c r="D218" s="61" t="s">
        <v>36</v>
      </c>
      <c r="E218" s="204">
        <v>1157999</v>
      </c>
      <c r="F218" s="205">
        <f t="shared" si="6"/>
        <v>1123259.03</v>
      </c>
      <c r="G218" s="206">
        <f t="shared" si="7"/>
        <v>1088519.0599999998</v>
      </c>
      <c r="H218" s="61">
        <v>702.78</v>
      </c>
      <c r="I218" s="61">
        <v>554.55999999999995</v>
      </c>
      <c r="J218" s="61">
        <v>148.22</v>
      </c>
      <c r="K218" s="61" t="s">
        <v>1539</v>
      </c>
    </row>
    <row r="219" spans="1:11">
      <c r="A219" s="202">
        <v>216</v>
      </c>
      <c r="B219" s="203" t="s">
        <v>1493</v>
      </c>
      <c r="C219" s="61" t="s">
        <v>5</v>
      </c>
      <c r="D219" s="61" t="s">
        <v>36</v>
      </c>
      <c r="E219" s="204">
        <v>1156999</v>
      </c>
      <c r="F219" s="205">
        <f t="shared" si="6"/>
        <v>1122289.03</v>
      </c>
      <c r="G219" s="206">
        <f t="shared" si="7"/>
        <v>1087579.0599999998</v>
      </c>
      <c r="H219" s="61">
        <v>702.78</v>
      </c>
      <c r="I219" s="61">
        <v>554.55999999999995</v>
      </c>
      <c r="J219" s="61">
        <v>148.22</v>
      </c>
      <c r="K219" s="61" t="s">
        <v>1229</v>
      </c>
    </row>
    <row r="220" spans="1:11">
      <c r="A220" s="202">
        <v>217</v>
      </c>
      <c r="B220" s="203" t="s">
        <v>1494</v>
      </c>
      <c r="C220" s="61" t="s">
        <v>6</v>
      </c>
      <c r="D220" s="61" t="s">
        <v>36</v>
      </c>
      <c r="E220" s="204">
        <v>1155999</v>
      </c>
      <c r="F220" s="205">
        <f t="shared" si="6"/>
        <v>1121319.03</v>
      </c>
      <c r="G220" s="206">
        <f t="shared" si="7"/>
        <v>1086639.0599999998</v>
      </c>
      <c r="H220" s="61">
        <v>702.78</v>
      </c>
      <c r="I220" s="61">
        <v>554.55999999999995</v>
      </c>
      <c r="J220" s="61">
        <v>148.22</v>
      </c>
      <c r="K220" s="61" t="s">
        <v>1539</v>
      </c>
    </row>
    <row r="221" spans="1:11">
      <c r="A221" s="202">
        <v>218</v>
      </c>
      <c r="B221" s="203" t="s">
        <v>1495</v>
      </c>
      <c r="C221" s="61" t="s">
        <v>7</v>
      </c>
      <c r="D221" s="61" t="s">
        <v>36</v>
      </c>
      <c r="E221" s="204">
        <v>1153999</v>
      </c>
      <c r="F221" s="205">
        <f t="shared" si="6"/>
        <v>1119379.03</v>
      </c>
      <c r="G221" s="206">
        <f t="shared" si="7"/>
        <v>1084759.0599999998</v>
      </c>
      <c r="H221" s="61">
        <v>702.78</v>
      </c>
      <c r="I221" s="61">
        <v>554.55999999999995</v>
      </c>
      <c r="J221" s="61">
        <v>148.22</v>
      </c>
      <c r="K221" s="61" t="s">
        <v>1539</v>
      </c>
    </row>
    <row r="222" spans="1:11">
      <c r="A222" s="202">
        <v>219</v>
      </c>
      <c r="B222" s="203" t="s">
        <v>1496</v>
      </c>
      <c r="C222" s="61" t="s">
        <v>4458</v>
      </c>
      <c r="D222" s="61" t="s">
        <v>36</v>
      </c>
      <c r="E222" s="204">
        <v>1151999</v>
      </c>
      <c r="F222" s="205">
        <f t="shared" si="6"/>
        <v>1117439.03</v>
      </c>
      <c r="G222" s="206">
        <f t="shared" si="7"/>
        <v>1082879.0599999998</v>
      </c>
      <c r="H222" s="61">
        <v>702.78</v>
      </c>
      <c r="I222" s="61">
        <v>554.55999999999995</v>
      </c>
      <c r="J222" s="61">
        <v>148.22</v>
      </c>
      <c r="K222" s="61" t="s">
        <v>1229</v>
      </c>
    </row>
    <row r="223" spans="1:11">
      <c r="A223" s="202">
        <v>220</v>
      </c>
      <c r="B223" s="203" t="s">
        <v>1497</v>
      </c>
      <c r="C223" s="61" t="s">
        <v>8</v>
      </c>
      <c r="D223" s="61" t="s">
        <v>36</v>
      </c>
      <c r="E223" s="204">
        <v>1150999</v>
      </c>
      <c r="F223" s="205">
        <f t="shared" si="6"/>
        <v>1116469.03</v>
      </c>
      <c r="G223" s="206">
        <f t="shared" si="7"/>
        <v>1081939.0599999998</v>
      </c>
      <c r="H223" s="61">
        <v>702.78</v>
      </c>
      <c r="I223" s="61">
        <v>554.55999999999995</v>
      </c>
      <c r="J223" s="61">
        <v>148.22</v>
      </c>
      <c r="K223" s="61" t="s">
        <v>1539</v>
      </c>
    </row>
    <row r="224" spans="1:11">
      <c r="A224" s="202">
        <v>221</v>
      </c>
      <c r="B224" s="203" t="s">
        <v>1498</v>
      </c>
      <c r="C224" s="61" t="s">
        <v>6</v>
      </c>
      <c r="D224" s="61" t="s">
        <v>36</v>
      </c>
      <c r="E224" s="204">
        <v>1149999</v>
      </c>
      <c r="F224" s="205">
        <f t="shared" si="6"/>
        <v>1115499.03</v>
      </c>
      <c r="G224" s="206">
        <f t="shared" si="7"/>
        <v>1080999.0599999998</v>
      </c>
      <c r="H224" s="61">
        <v>702.78</v>
      </c>
      <c r="I224" s="61">
        <v>554.55999999999995</v>
      </c>
      <c r="J224" s="61">
        <v>148.22</v>
      </c>
      <c r="K224" s="61" t="s">
        <v>1229</v>
      </c>
    </row>
    <row r="225" spans="1:11">
      <c r="A225" s="202">
        <v>222</v>
      </c>
      <c r="B225" s="203" t="s">
        <v>1499</v>
      </c>
      <c r="C225" s="61" t="s">
        <v>9</v>
      </c>
      <c r="D225" s="61" t="s">
        <v>36</v>
      </c>
      <c r="E225" s="204">
        <v>1148999</v>
      </c>
      <c r="F225" s="205">
        <f t="shared" si="6"/>
        <v>1114529.03</v>
      </c>
      <c r="G225" s="206">
        <f t="shared" si="7"/>
        <v>1080059.0599999998</v>
      </c>
      <c r="H225" s="61">
        <v>702.78</v>
      </c>
      <c r="I225" s="61">
        <v>554.55999999999995</v>
      </c>
      <c r="J225" s="61">
        <v>148.22</v>
      </c>
      <c r="K225" s="61" t="s">
        <v>1539</v>
      </c>
    </row>
    <row r="226" spans="1:11">
      <c r="A226" s="202">
        <v>223</v>
      </c>
      <c r="B226" s="203" t="s">
        <v>4609</v>
      </c>
      <c r="C226" s="61" t="s">
        <v>7</v>
      </c>
      <c r="D226" s="61" t="s">
        <v>36</v>
      </c>
      <c r="E226" s="204">
        <v>1147999</v>
      </c>
      <c r="F226" s="205">
        <f t="shared" si="6"/>
        <v>1113559.03</v>
      </c>
      <c r="G226" s="206">
        <f t="shared" si="7"/>
        <v>1079119.0599999998</v>
      </c>
      <c r="H226" s="61">
        <v>702.78</v>
      </c>
      <c r="I226" s="61">
        <v>554.55999999999995</v>
      </c>
      <c r="J226" s="61">
        <v>148.22</v>
      </c>
      <c r="K226" s="61" t="s">
        <v>1229</v>
      </c>
    </row>
    <row r="227" spans="1:11">
      <c r="A227" s="202">
        <v>224</v>
      </c>
      <c r="B227" s="203" t="s">
        <v>1500</v>
      </c>
      <c r="C227" s="61" t="s">
        <v>10</v>
      </c>
      <c r="D227" s="61" t="s">
        <v>36</v>
      </c>
      <c r="E227" s="204">
        <v>1146999</v>
      </c>
      <c r="F227" s="205">
        <f t="shared" si="6"/>
        <v>1112589.03</v>
      </c>
      <c r="G227" s="206">
        <f t="shared" si="7"/>
        <v>1078179.0599999998</v>
      </c>
      <c r="H227" s="61">
        <v>702.78</v>
      </c>
      <c r="I227" s="61">
        <v>554.55999999999995</v>
      </c>
      <c r="J227" s="61">
        <v>148.22</v>
      </c>
      <c r="K227" s="61" t="s">
        <v>1539</v>
      </c>
    </row>
    <row r="228" spans="1:11">
      <c r="A228" s="202">
        <v>225</v>
      </c>
      <c r="B228" s="203" t="s">
        <v>1501</v>
      </c>
      <c r="C228" s="61" t="s">
        <v>10</v>
      </c>
      <c r="D228" s="61" t="s">
        <v>36</v>
      </c>
      <c r="E228" s="204">
        <v>1145999</v>
      </c>
      <c r="F228" s="205">
        <f t="shared" si="6"/>
        <v>1111619.03</v>
      </c>
      <c r="G228" s="206">
        <f t="shared" si="7"/>
        <v>1077239.0599999998</v>
      </c>
      <c r="H228" s="61">
        <v>704.18</v>
      </c>
      <c r="I228" s="61">
        <v>557.79</v>
      </c>
      <c r="J228" s="61">
        <v>146.38999999999999</v>
      </c>
      <c r="K228" s="61" t="s">
        <v>1229</v>
      </c>
    </row>
    <row r="229" spans="1:11">
      <c r="A229" s="202">
        <v>226</v>
      </c>
      <c r="B229" s="203" t="s">
        <v>1502</v>
      </c>
      <c r="C229" s="61" t="s">
        <v>8</v>
      </c>
      <c r="D229" s="61" t="s">
        <v>36</v>
      </c>
      <c r="E229" s="204">
        <v>1145999</v>
      </c>
      <c r="F229" s="205">
        <f t="shared" si="6"/>
        <v>1111619.03</v>
      </c>
      <c r="G229" s="206">
        <f t="shared" si="7"/>
        <v>1077239.0599999998</v>
      </c>
      <c r="H229" s="61">
        <v>702.78</v>
      </c>
      <c r="I229" s="61">
        <v>554.55999999999995</v>
      </c>
      <c r="J229" s="61">
        <v>148.22</v>
      </c>
      <c r="K229" s="61" t="s">
        <v>1229</v>
      </c>
    </row>
    <row r="230" spans="1:11">
      <c r="A230" s="202">
        <v>227</v>
      </c>
      <c r="B230" s="203" t="s">
        <v>1503</v>
      </c>
      <c r="C230" s="61" t="s">
        <v>3</v>
      </c>
      <c r="D230" s="61" t="s">
        <v>36</v>
      </c>
      <c r="E230" s="204">
        <v>1144999</v>
      </c>
      <c r="F230" s="205">
        <f t="shared" si="6"/>
        <v>1110649.03</v>
      </c>
      <c r="G230" s="206">
        <f t="shared" si="7"/>
        <v>1076299.0599999998</v>
      </c>
      <c r="H230" s="61">
        <v>702.78</v>
      </c>
      <c r="I230" s="61">
        <v>554.55999999999995</v>
      </c>
      <c r="J230" s="61">
        <v>148.22</v>
      </c>
      <c r="K230" s="61" t="s">
        <v>1539</v>
      </c>
    </row>
    <row r="231" spans="1:11">
      <c r="A231" s="202">
        <v>228</v>
      </c>
      <c r="B231" s="203" t="s">
        <v>4610</v>
      </c>
      <c r="C231" s="61" t="s">
        <v>9</v>
      </c>
      <c r="D231" s="61" t="s">
        <v>36</v>
      </c>
      <c r="E231" s="204">
        <v>1143999</v>
      </c>
      <c r="F231" s="205">
        <f t="shared" si="6"/>
        <v>1109679.03</v>
      </c>
      <c r="G231" s="206">
        <f t="shared" si="7"/>
        <v>1075359.0599999998</v>
      </c>
      <c r="H231" s="61">
        <v>702.78</v>
      </c>
      <c r="I231" s="61">
        <v>554.55999999999995</v>
      </c>
      <c r="J231" s="61">
        <v>148.22</v>
      </c>
      <c r="K231" s="61" t="s">
        <v>1229</v>
      </c>
    </row>
    <row r="232" spans="1:11">
      <c r="A232" s="202">
        <v>229</v>
      </c>
      <c r="B232" s="203" t="s">
        <v>1504</v>
      </c>
      <c r="C232" s="61" t="s">
        <v>33</v>
      </c>
      <c r="D232" s="61" t="s">
        <v>36</v>
      </c>
      <c r="E232" s="204">
        <v>1129999</v>
      </c>
      <c r="F232" s="205">
        <f t="shared" si="6"/>
        <v>1096099.03</v>
      </c>
      <c r="G232" s="206">
        <f t="shared" si="7"/>
        <v>1062199.06</v>
      </c>
      <c r="H232" s="61">
        <v>739.8</v>
      </c>
      <c r="I232" s="61">
        <v>534.86</v>
      </c>
      <c r="J232" s="61">
        <v>204.94</v>
      </c>
      <c r="K232" s="61" t="s">
        <v>1229</v>
      </c>
    </row>
    <row r="233" spans="1:11">
      <c r="A233" s="202">
        <v>230</v>
      </c>
      <c r="B233" s="203" t="s">
        <v>1505</v>
      </c>
      <c r="C233" s="61" t="s">
        <v>34</v>
      </c>
      <c r="D233" s="61" t="s">
        <v>36</v>
      </c>
      <c r="E233" s="204">
        <v>1127999</v>
      </c>
      <c r="F233" s="205">
        <f t="shared" si="6"/>
        <v>1094159.03</v>
      </c>
      <c r="G233" s="206">
        <f t="shared" si="7"/>
        <v>1060319.06</v>
      </c>
      <c r="H233" s="61">
        <v>739.8</v>
      </c>
      <c r="I233" s="61">
        <v>534.86</v>
      </c>
      <c r="J233" s="61">
        <v>204.94</v>
      </c>
      <c r="K233" s="61" t="s">
        <v>1229</v>
      </c>
    </row>
    <row r="234" spans="1:11">
      <c r="A234" s="202">
        <v>231</v>
      </c>
      <c r="B234" s="203" t="s">
        <v>4611</v>
      </c>
      <c r="C234" s="61" t="s">
        <v>4461</v>
      </c>
      <c r="D234" s="61" t="s">
        <v>36</v>
      </c>
      <c r="E234" s="204">
        <v>1125999</v>
      </c>
      <c r="F234" s="205">
        <f t="shared" si="6"/>
        <v>1092219.03</v>
      </c>
      <c r="G234" s="206">
        <f t="shared" si="7"/>
        <v>1058439.06</v>
      </c>
      <c r="H234" s="61">
        <v>739.91</v>
      </c>
      <c r="I234" s="61">
        <v>534.97</v>
      </c>
      <c r="J234" s="61">
        <v>204.94</v>
      </c>
      <c r="K234" s="61" t="s">
        <v>1229</v>
      </c>
    </row>
    <row r="235" spans="1:11">
      <c r="A235" s="202">
        <v>232</v>
      </c>
      <c r="B235" s="203" t="s">
        <v>1506</v>
      </c>
      <c r="C235" s="61" t="s">
        <v>4461</v>
      </c>
      <c r="D235" s="61" t="s">
        <v>36</v>
      </c>
      <c r="E235" s="204">
        <v>1125999</v>
      </c>
      <c r="F235" s="205">
        <f t="shared" si="6"/>
        <v>1092219.03</v>
      </c>
      <c r="G235" s="206">
        <f t="shared" si="7"/>
        <v>1058439.06</v>
      </c>
      <c r="H235" s="61">
        <v>739.8</v>
      </c>
      <c r="I235" s="61">
        <v>534.86</v>
      </c>
      <c r="J235" s="61">
        <v>204.94</v>
      </c>
      <c r="K235" s="61" t="s">
        <v>1229</v>
      </c>
    </row>
    <row r="236" spans="1:11">
      <c r="A236" s="202">
        <v>233</v>
      </c>
      <c r="B236" s="203" t="s">
        <v>1507</v>
      </c>
      <c r="C236" s="61" t="s">
        <v>4460</v>
      </c>
      <c r="D236" s="61" t="s">
        <v>36</v>
      </c>
      <c r="E236" s="204">
        <v>1123999</v>
      </c>
      <c r="F236" s="205">
        <f t="shared" si="6"/>
        <v>1090279.03</v>
      </c>
      <c r="G236" s="206">
        <f t="shared" si="7"/>
        <v>1056559.06</v>
      </c>
      <c r="H236" s="61">
        <v>739.8</v>
      </c>
      <c r="I236" s="61">
        <v>534.86</v>
      </c>
      <c r="J236" s="61">
        <v>204.94</v>
      </c>
      <c r="K236" s="61" t="s">
        <v>1229</v>
      </c>
    </row>
    <row r="237" spans="1:11">
      <c r="A237" s="202">
        <v>234</v>
      </c>
      <c r="B237" s="203" t="s">
        <v>1508</v>
      </c>
      <c r="C237" s="61" t="s">
        <v>11</v>
      </c>
      <c r="D237" s="61" t="s">
        <v>36</v>
      </c>
      <c r="E237" s="204">
        <v>1121999</v>
      </c>
      <c r="F237" s="205">
        <f t="shared" si="6"/>
        <v>1088339.03</v>
      </c>
      <c r="G237" s="206">
        <f t="shared" si="7"/>
        <v>1054679.06</v>
      </c>
      <c r="H237" s="61">
        <v>739.8</v>
      </c>
      <c r="I237" s="61">
        <v>534.86</v>
      </c>
      <c r="J237" s="61">
        <v>204.94</v>
      </c>
      <c r="K237" s="61" t="s">
        <v>1229</v>
      </c>
    </row>
    <row r="238" spans="1:11">
      <c r="A238" s="202">
        <v>235</v>
      </c>
      <c r="B238" s="203" t="s">
        <v>4612</v>
      </c>
      <c r="C238" s="61" t="s">
        <v>12</v>
      </c>
      <c r="D238" s="61" t="s">
        <v>36</v>
      </c>
      <c r="E238" s="204">
        <v>1119999</v>
      </c>
      <c r="F238" s="205">
        <f t="shared" si="6"/>
        <v>1086399.03</v>
      </c>
      <c r="G238" s="206">
        <f t="shared" si="7"/>
        <v>1052799.06</v>
      </c>
      <c r="H238" s="61">
        <v>739.91</v>
      </c>
      <c r="I238" s="61">
        <v>534.97</v>
      </c>
      <c r="J238" s="61">
        <v>204.94</v>
      </c>
      <c r="K238" s="61" t="s">
        <v>1229</v>
      </c>
    </row>
    <row r="239" spans="1:11">
      <c r="A239" s="202">
        <v>236</v>
      </c>
      <c r="B239" s="203" t="s">
        <v>1509</v>
      </c>
      <c r="C239" s="61" t="s">
        <v>12</v>
      </c>
      <c r="D239" s="61" t="s">
        <v>36</v>
      </c>
      <c r="E239" s="204">
        <v>1119999</v>
      </c>
      <c r="F239" s="205">
        <f t="shared" si="6"/>
        <v>1086399.03</v>
      </c>
      <c r="G239" s="206">
        <f t="shared" si="7"/>
        <v>1052799.06</v>
      </c>
      <c r="H239" s="61">
        <v>739.8</v>
      </c>
      <c r="I239" s="61">
        <v>534.86</v>
      </c>
      <c r="J239" s="61">
        <v>204.94</v>
      </c>
      <c r="K239" s="61" t="s">
        <v>1229</v>
      </c>
    </row>
    <row r="240" spans="1:11">
      <c r="A240" s="202">
        <v>237</v>
      </c>
      <c r="B240" s="203" t="s">
        <v>1510</v>
      </c>
      <c r="C240" s="61" t="s">
        <v>32</v>
      </c>
      <c r="D240" s="61" t="s">
        <v>36</v>
      </c>
      <c r="E240" s="204">
        <v>1117999</v>
      </c>
      <c r="F240" s="205">
        <f t="shared" si="6"/>
        <v>1084459.03</v>
      </c>
      <c r="G240" s="206">
        <f t="shared" si="7"/>
        <v>1050919.06</v>
      </c>
      <c r="H240" s="61">
        <v>739.91</v>
      </c>
      <c r="I240" s="61">
        <v>534.97</v>
      </c>
      <c r="J240" s="61">
        <v>204.94</v>
      </c>
      <c r="K240" s="61" t="s">
        <v>1229</v>
      </c>
    </row>
    <row r="241" spans="1:11">
      <c r="A241" s="202">
        <v>238</v>
      </c>
      <c r="B241" s="203" t="s">
        <v>1511</v>
      </c>
      <c r="C241" s="61" t="s">
        <v>32</v>
      </c>
      <c r="D241" s="61" t="s">
        <v>36</v>
      </c>
      <c r="E241" s="204">
        <v>1116999</v>
      </c>
      <c r="F241" s="205">
        <f t="shared" si="6"/>
        <v>1083489.03</v>
      </c>
      <c r="G241" s="206">
        <f t="shared" si="7"/>
        <v>1049979.06</v>
      </c>
      <c r="H241" s="61">
        <v>739.8</v>
      </c>
      <c r="I241" s="61">
        <v>534.86</v>
      </c>
      <c r="J241" s="61">
        <v>204.94</v>
      </c>
      <c r="K241" s="61" t="s">
        <v>1229</v>
      </c>
    </row>
    <row r="242" spans="1:11">
      <c r="A242" s="202">
        <v>239</v>
      </c>
      <c r="B242" s="203" t="s">
        <v>4613</v>
      </c>
      <c r="C242" s="61" t="s">
        <v>4459</v>
      </c>
      <c r="D242" s="61" t="s">
        <v>36</v>
      </c>
      <c r="E242" s="204">
        <v>1115999</v>
      </c>
      <c r="F242" s="205">
        <f t="shared" si="6"/>
        <v>1082519.03</v>
      </c>
      <c r="G242" s="206">
        <f t="shared" si="7"/>
        <v>1049039.06</v>
      </c>
      <c r="H242" s="61">
        <v>739.91</v>
      </c>
      <c r="I242" s="61">
        <v>534.97</v>
      </c>
      <c r="J242" s="61">
        <v>204.94</v>
      </c>
      <c r="K242" s="61" t="s">
        <v>1229</v>
      </c>
    </row>
    <row r="243" spans="1:11">
      <c r="A243" s="202">
        <v>240</v>
      </c>
      <c r="B243" s="203" t="s">
        <v>4375</v>
      </c>
      <c r="C243" s="61" t="s">
        <v>4459</v>
      </c>
      <c r="D243" s="61" t="s">
        <v>36</v>
      </c>
      <c r="E243" s="204">
        <v>1114999</v>
      </c>
      <c r="F243" s="205">
        <f t="shared" si="6"/>
        <v>1081549.03</v>
      </c>
      <c r="G243" s="206">
        <f t="shared" si="7"/>
        <v>1048099.0599999999</v>
      </c>
      <c r="H243" s="61">
        <v>739.8</v>
      </c>
      <c r="I243" s="61">
        <v>534.86</v>
      </c>
      <c r="J243" s="61">
        <v>204.94</v>
      </c>
      <c r="K243" s="61" t="s">
        <v>1229</v>
      </c>
    </row>
    <row r="244" spans="1:11">
      <c r="A244" s="202">
        <v>241</v>
      </c>
      <c r="B244" s="203" t="s">
        <v>1512</v>
      </c>
      <c r="C244" s="61" t="s">
        <v>5</v>
      </c>
      <c r="D244" s="61" t="s">
        <v>36</v>
      </c>
      <c r="E244" s="204">
        <v>1112999</v>
      </c>
      <c r="F244" s="205">
        <f t="shared" si="6"/>
        <v>1079609.03</v>
      </c>
      <c r="G244" s="206">
        <f t="shared" si="7"/>
        <v>1046219.0599999999</v>
      </c>
      <c r="H244" s="61">
        <v>739.91</v>
      </c>
      <c r="I244" s="61">
        <v>534.97</v>
      </c>
      <c r="J244" s="61">
        <v>204.94</v>
      </c>
      <c r="K244" s="61" t="s">
        <v>1229</v>
      </c>
    </row>
    <row r="245" spans="1:11">
      <c r="A245" s="202">
        <v>242</v>
      </c>
      <c r="B245" s="203" t="s">
        <v>1513</v>
      </c>
      <c r="C245" s="61" t="s">
        <v>5</v>
      </c>
      <c r="D245" s="61" t="s">
        <v>36</v>
      </c>
      <c r="E245" s="204">
        <v>1112999</v>
      </c>
      <c r="F245" s="205">
        <f t="shared" si="6"/>
        <v>1079609.03</v>
      </c>
      <c r="G245" s="206">
        <f t="shared" si="7"/>
        <v>1046219.0599999999</v>
      </c>
      <c r="H245" s="61">
        <v>739.8</v>
      </c>
      <c r="I245" s="61">
        <v>534.86</v>
      </c>
      <c r="J245" s="61">
        <v>204.94</v>
      </c>
      <c r="K245" s="61" t="s">
        <v>1229</v>
      </c>
    </row>
    <row r="246" spans="1:11">
      <c r="A246" s="202">
        <v>243</v>
      </c>
      <c r="B246" s="203" t="s">
        <v>1514</v>
      </c>
      <c r="C246" s="61" t="s">
        <v>4458</v>
      </c>
      <c r="D246" s="61" t="s">
        <v>36</v>
      </c>
      <c r="E246" s="204">
        <v>1108999</v>
      </c>
      <c r="F246" s="205">
        <f t="shared" si="6"/>
        <v>1075729.03</v>
      </c>
      <c r="G246" s="206">
        <f t="shared" si="7"/>
        <v>1042459.0599999999</v>
      </c>
      <c r="H246" s="61">
        <v>739.91</v>
      </c>
      <c r="I246" s="61">
        <v>534.97</v>
      </c>
      <c r="J246" s="61">
        <v>204.94</v>
      </c>
      <c r="K246" s="61" t="s">
        <v>1229</v>
      </c>
    </row>
    <row r="247" spans="1:11">
      <c r="A247" s="202">
        <v>244</v>
      </c>
      <c r="B247" s="203" t="s">
        <v>1515</v>
      </c>
      <c r="C247" s="61" t="s">
        <v>4458</v>
      </c>
      <c r="D247" s="61" t="s">
        <v>36</v>
      </c>
      <c r="E247" s="204">
        <v>1108999</v>
      </c>
      <c r="F247" s="205">
        <f t="shared" si="6"/>
        <v>1075729.03</v>
      </c>
      <c r="G247" s="206">
        <f t="shared" si="7"/>
        <v>1042459.0599999999</v>
      </c>
      <c r="H247" s="61">
        <v>739.8</v>
      </c>
      <c r="I247" s="61">
        <v>534.86</v>
      </c>
      <c r="J247" s="61">
        <v>204.94</v>
      </c>
      <c r="K247" s="61" t="s">
        <v>1229</v>
      </c>
    </row>
    <row r="248" spans="1:11">
      <c r="A248" s="202">
        <v>245</v>
      </c>
      <c r="B248" s="203" t="s">
        <v>1516</v>
      </c>
      <c r="C248" s="61" t="s">
        <v>6</v>
      </c>
      <c r="D248" s="61" t="s">
        <v>36</v>
      </c>
      <c r="E248" s="204">
        <v>1106999</v>
      </c>
      <c r="F248" s="205">
        <f t="shared" si="6"/>
        <v>1073789.03</v>
      </c>
      <c r="G248" s="206">
        <f t="shared" si="7"/>
        <v>1040579.0599999999</v>
      </c>
      <c r="H248" s="61">
        <v>739.91</v>
      </c>
      <c r="I248" s="61">
        <v>534.97</v>
      </c>
      <c r="J248" s="61">
        <v>204.94</v>
      </c>
      <c r="K248" s="61" t="s">
        <v>1229</v>
      </c>
    </row>
    <row r="249" spans="1:11">
      <c r="A249" s="202">
        <v>246</v>
      </c>
      <c r="B249" s="203" t="s">
        <v>1517</v>
      </c>
      <c r="C249" s="61" t="s">
        <v>6</v>
      </c>
      <c r="D249" s="61" t="s">
        <v>36</v>
      </c>
      <c r="E249" s="204">
        <v>1106999</v>
      </c>
      <c r="F249" s="205">
        <f t="shared" si="6"/>
        <v>1073789.03</v>
      </c>
      <c r="G249" s="206">
        <f t="shared" si="7"/>
        <v>1040579.0599999999</v>
      </c>
      <c r="H249" s="61">
        <v>739.8</v>
      </c>
      <c r="I249" s="61">
        <v>534.86</v>
      </c>
      <c r="J249" s="61">
        <v>204.94</v>
      </c>
      <c r="K249" s="61" t="s">
        <v>1229</v>
      </c>
    </row>
    <row r="250" spans="1:11">
      <c r="A250" s="202">
        <v>247</v>
      </c>
      <c r="B250" s="203" t="s">
        <v>1518</v>
      </c>
      <c r="C250" s="61" t="s">
        <v>7</v>
      </c>
      <c r="D250" s="61" t="s">
        <v>36</v>
      </c>
      <c r="E250" s="204">
        <v>1104999</v>
      </c>
      <c r="F250" s="205">
        <f t="shared" si="6"/>
        <v>1071849.03</v>
      </c>
      <c r="G250" s="206">
        <f t="shared" si="7"/>
        <v>1038699.0599999999</v>
      </c>
      <c r="H250" s="61">
        <v>739.91</v>
      </c>
      <c r="I250" s="61">
        <v>534.97</v>
      </c>
      <c r="J250" s="61">
        <v>204.94</v>
      </c>
      <c r="K250" s="61" t="s">
        <v>1229</v>
      </c>
    </row>
    <row r="251" spans="1:11">
      <c r="A251" s="202">
        <v>248</v>
      </c>
      <c r="B251" s="203" t="s">
        <v>1519</v>
      </c>
      <c r="C251" s="61" t="s">
        <v>7</v>
      </c>
      <c r="D251" s="61" t="s">
        <v>36</v>
      </c>
      <c r="E251" s="204">
        <v>1104999</v>
      </c>
      <c r="F251" s="205">
        <f t="shared" si="6"/>
        <v>1071849.03</v>
      </c>
      <c r="G251" s="206">
        <f t="shared" si="7"/>
        <v>1038699.0599999999</v>
      </c>
      <c r="H251" s="61">
        <v>739.8</v>
      </c>
      <c r="I251" s="61">
        <v>534.86</v>
      </c>
      <c r="J251" s="61">
        <v>204.94</v>
      </c>
      <c r="K251" s="61" t="s">
        <v>1229</v>
      </c>
    </row>
    <row r="252" spans="1:11">
      <c r="A252" s="202">
        <v>249</v>
      </c>
      <c r="B252" s="203" t="s">
        <v>1520</v>
      </c>
      <c r="C252" s="61" t="s">
        <v>8</v>
      </c>
      <c r="D252" s="61" t="s">
        <v>36</v>
      </c>
      <c r="E252" s="204">
        <v>1102999</v>
      </c>
      <c r="F252" s="205">
        <f t="shared" si="6"/>
        <v>1069909.03</v>
      </c>
      <c r="G252" s="206">
        <f t="shared" si="7"/>
        <v>1036819.0599999999</v>
      </c>
      <c r="H252" s="61">
        <v>739.8</v>
      </c>
      <c r="I252" s="61">
        <v>534.86</v>
      </c>
      <c r="J252" s="61">
        <v>204.94</v>
      </c>
      <c r="K252" s="61" t="s">
        <v>1229</v>
      </c>
    </row>
    <row r="253" spans="1:11">
      <c r="A253" s="202">
        <v>250</v>
      </c>
      <c r="B253" s="203" t="s">
        <v>1521</v>
      </c>
      <c r="C253" s="61" t="s">
        <v>9</v>
      </c>
      <c r="D253" s="61" t="s">
        <v>36</v>
      </c>
      <c r="E253" s="204">
        <v>1100999</v>
      </c>
      <c r="F253" s="205">
        <f t="shared" si="6"/>
        <v>1067969.03</v>
      </c>
      <c r="G253" s="206">
        <f t="shared" si="7"/>
        <v>1034939.0599999999</v>
      </c>
      <c r="H253" s="61">
        <v>739.91</v>
      </c>
      <c r="I253" s="61">
        <v>534.97</v>
      </c>
      <c r="J253" s="61">
        <v>204.94</v>
      </c>
      <c r="K253" s="61" t="s">
        <v>1229</v>
      </c>
    </row>
    <row r="254" spans="1:11">
      <c r="A254" s="202">
        <v>251</v>
      </c>
      <c r="B254" s="203" t="s">
        <v>1522</v>
      </c>
      <c r="C254" s="61" t="s">
        <v>9</v>
      </c>
      <c r="D254" s="61" t="s">
        <v>36</v>
      </c>
      <c r="E254" s="204">
        <v>1099999</v>
      </c>
      <c r="F254" s="205">
        <f t="shared" si="6"/>
        <v>1066999.03</v>
      </c>
      <c r="G254" s="206">
        <f t="shared" si="7"/>
        <v>1033999.0599999999</v>
      </c>
      <c r="H254" s="61">
        <v>739.8</v>
      </c>
      <c r="I254" s="61">
        <v>534.86</v>
      </c>
      <c r="J254" s="61">
        <v>204.94</v>
      </c>
      <c r="K254" s="61" t="s">
        <v>1229</v>
      </c>
    </row>
    <row r="255" spans="1:11">
      <c r="A255" s="202">
        <v>252</v>
      </c>
      <c r="B255" s="203" t="s">
        <v>1523</v>
      </c>
      <c r="C255" s="61" t="s">
        <v>34</v>
      </c>
      <c r="D255" s="61" t="s">
        <v>36</v>
      </c>
      <c r="E255" s="204">
        <v>1099999</v>
      </c>
      <c r="F255" s="205">
        <f t="shared" si="6"/>
        <v>1066999.03</v>
      </c>
      <c r="G255" s="206">
        <f t="shared" si="7"/>
        <v>1033999.0599999999</v>
      </c>
      <c r="H255" s="61">
        <v>720.97</v>
      </c>
      <c r="I255" s="61">
        <v>516.02</v>
      </c>
      <c r="J255" s="61">
        <v>204.94</v>
      </c>
      <c r="K255" s="61" t="s">
        <v>1539</v>
      </c>
    </row>
    <row r="256" spans="1:11">
      <c r="A256" s="202">
        <v>253</v>
      </c>
      <c r="B256" s="203" t="s">
        <v>1524</v>
      </c>
      <c r="C256" s="61" t="s">
        <v>10</v>
      </c>
      <c r="D256" s="61" t="s">
        <v>36</v>
      </c>
      <c r="E256" s="204">
        <v>1099999</v>
      </c>
      <c r="F256" s="205">
        <f t="shared" si="6"/>
        <v>1066999.03</v>
      </c>
      <c r="G256" s="206">
        <f t="shared" si="7"/>
        <v>1033999.0599999999</v>
      </c>
      <c r="H256" s="61">
        <v>739.91</v>
      </c>
      <c r="I256" s="61">
        <v>534.97</v>
      </c>
      <c r="J256" s="61">
        <v>204.94</v>
      </c>
      <c r="K256" s="61" t="s">
        <v>1229</v>
      </c>
    </row>
    <row r="257" spans="1:11">
      <c r="A257" s="202">
        <v>254</v>
      </c>
      <c r="B257" s="203" t="s">
        <v>1525</v>
      </c>
      <c r="C257" s="61" t="s">
        <v>10</v>
      </c>
      <c r="D257" s="61" t="s">
        <v>36</v>
      </c>
      <c r="E257" s="204">
        <v>1099999</v>
      </c>
      <c r="F257" s="205">
        <f t="shared" si="6"/>
        <v>1066999.03</v>
      </c>
      <c r="G257" s="206">
        <f t="shared" si="7"/>
        <v>1033999.0599999999</v>
      </c>
      <c r="H257" s="61">
        <v>739.8</v>
      </c>
      <c r="I257" s="61">
        <v>534.86</v>
      </c>
      <c r="J257" s="61">
        <v>204.94</v>
      </c>
      <c r="K257" s="61" t="s">
        <v>1229</v>
      </c>
    </row>
    <row r="258" spans="1:11">
      <c r="A258" s="202">
        <v>255</v>
      </c>
      <c r="B258" s="203" t="s">
        <v>1526</v>
      </c>
      <c r="C258" s="61" t="s">
        <v>3</v>
      </c>
      <c r="D258" s="61" t="s">
        <v>36</v>
      </c>
      <c r="E258" s="204">
        <v>1099999</v>
      </c>
      <c r="F258" s="205">
        <f t="shared" si="6"/>
        <v>1066999.03</v>
      </c>
      <c r="G258" s="206">
        <f t="shared" si="7"/>
        <v>1033999.0599999999</v>
      </c>
      <c r="H258" s="61">
        <v>739.91</v>
      </c>
      <c r="I258" s="61">
        <v>534.97</v>
      </c>
      <c r="J258" s="61">
        <v>204.94</v>
      </c>
      <c r="K258" s="61" t="s">
        <v>1229</v>
      </c>
    </row>
    <row r="259" spans="1:11">
      <c r="A259" s="202">
        <v>256</v>
      </c>
      <c r="B259" s="203" t="s">
        <v>4775</v>
      </c>
      <c r="C259" s="61" t="s">
        <v>3</v>
      </c>
      <c r="D259" s="61" t="s">
        <v>36</v>
      </c>
      <c r="E259" s="204">
        <v>1099999</v>
      </c>
      <c r="F259" s="205">
        <f t="shared" si="6"/>
        <v>1066999.03</v>
      </c>
      <c r="G259" s="206">
        <f t="shared" si="7"/>
        <v>1033999.0599999999</v>
      </c>
      <c r="H259" s="61">
        <v>739.8</v>
      </c>
      <c r="I259" s="61">
        <v>534.86</v>
      </c>
      <c r="J259" s="61">
        <v>204.94</v>
      </c>
      <c r="K259" s="61" t="s">
        <v>1229</v>
      </c>
    </row>
    <row r="260" spans="1:11">
      <c r="A260" s="202">
        <v>257</v>
      </c>
      <c r="B260" s="203" t="s">
        <v>1527</v>
      </c>
      <c r="C260" s="61" t="s">
        <v>4460</v>
      </c>
      <c r="D260" s="61" t="s">
        <v>36</v>
      </c>
      <c r="E260" s="204">
        <v>1099999</v>
      </c>
      <c r="F260" s="205">
        <f t="shared" ref="F260" si="8">E260*0.97</f>
        <v>1066999.03</v>
      </c>
      <c r="G260" s="206">
        <f t="shared" ref="G260" si="9">E260*0.94</f>
        <v>1033999.0599999999</v>
      </c>
      <c r="H260" s="61">
        <v>720.97</v>
      </c>
      <c r="I260" s="61">
        <v>516.02</v>
      </c>
      <c r="J260" s="61">
        <v>204.94</v>
      </c>
      <c r="K260" s="61" t="s">
        <v>1539</v>
      </c>
    </row>
    <row r="261" spans="1:11">
      <c r="A261" s="202">
        <v>258</v>
      </c>
      <c r="B261" s="203" t="s">
        <v>1528</v>
      </c>
      <c r="C261" s="61" t="s">
        <v>11</v>
      </c>
      <c r="D261" s="61" t="s">
        <v>36</v>
      </c>
      <c r="E261" s="204">
        <v>1099999</v>
      </c>
      <c r="F261" s="205">
        <f t="shared" ref="F261:F266" si="10">E261*0.97</f>
        <v>1066999.03</v>
      </c>
      <c r="G261" s="206">
        <f t="shared" ref="G261:G266" si="11">E261*0.94</f>
        <v>1033999.0599999999</v>
      </c>
      <c r="H261" s="1">
        <v>720.97</v>
      </c>
      <c r="I261" s="1">
        <v>516.02</v>
      </c>
      <c r="J261" s="1">
        <v>204.94</v>
      </c>
      <c r="K261" s="1" t="s">
        <v>1539</v>
      </c>
    </row>
    <row r="262" spans="1:11">
      <c r="A262" s="202">
        <v>259</v>
      </c>
      <c r="B262" s="203" t="s">
        <v>1529</v>
      </c>
      <c r="C262" s="61" t="s">
        <v>12</v>
      </c>
      <c r="D262" s="61" t="s">
        <v>36</v>
      </c>
      <c r="E262" s="204">
        <v>1099999</v>
      </c>
      <c r="F262" s="205">
        <f t="shared" si="10"/>
        <v>1066999.03</v>
      </c>
      <c r="G262" s="206">
        <f t="shared" si="11"/>
        <v>1033999.0599999999</v>
      </c>
      <c r="H262" s="1">
        <v>720.97</v>
      </c>
      <c r="I262" s="1">
        <v>516.02</v>
      </c>
      <c r="J262" s="1">
        <v>204.94</v>
      </c>
      <c r="K262" s="1" t="s">
        <v>1539</v>
      </c>
    </row>
    <row r="263" spans="1:11">
      <c r="A263" s="202">
        <v>260</v>
      </c>
      <c r="B263" s="203" t="s">
        <v>1530</v>
      </c>
      <c r="C263" s="61" t="s">
        <v>32</v>
      </c>
      <c r="D263" s="61" t="s">
        <v>36</v>
      </c>
      <c r="E263" s="204">
        <v>1099999</v>
      </c>
      <c r="F263" s="205">
        <f t="shared" si="10"/>
        <v>1066999.03</v>
      </c>
      <c r="G263" s="206">
        <f t="shared" si="11"/>
        <v>1033999.0599999999</v>
      </c>
      <c r="H263" s="1">
        <v>720.97</v>
      </c>
      <c r="I263" s="1">
        <v>516.02</v>
      </c>
      <c r="J263" s="1">
        <v>204.94</v>
      </c>
      <c r="K263" s="1" t="s">
        <v>1539</v>
      </c>
    </row>
    <row r="264" spans="1:11">
      <c r="A264" s="202">
        <v>261</v>
      </c>
      <c r="B264" s="203" t="s">
        <v>4376</v>
      </c>
      <c r="C264" s="61" t="s">
        <v>4459</v>
      </c>
      <c r="D264" s="61" t="s">
        <v>36</v>
      </c>
      <c r="E264" s="204">
        <v>1099999</v>
      </c>
      <c r="F264" s="205">
        <f t="shared" si="10"/>
        <v>1066999.03</v>
      </c>
      <c r="G264" s="206">
        <f t="shared" si="11"/>
        <v>1033999.0599999999</v>
      </c>
      <c r="H264" s="1">
        <v>720.97</v>
      </c>
      <c r="I264" s="1">
        <v>516.02</v>
      </c>
      <c r="J264" s="1">
        <v>204.94</v>
      </c>
      <c r="K264" s="1" t="s">
        <v>1539</v>
      </c>
    </row>
    <row r="265" spans="1:11">
      <c r="A265" s="202">
        <v>262</v>
      </c>
      <c r="B265" s="203" t="s">
        <v>1531</v>
      </c>
      <c r="C265" s="61" t="s">
        <v>5</v>
      </c>
      <c r="D265" s="61" t="s">
        <v>36</v>
      </c>
      <c r="E265" s="204">
        <v>1099999</v>
      </c>
      <c r="F265" s="205">
        <f t="shared" si="10"/>
        <v>1066999.03</v>
      </c>
      <c r="G265" s="206">
        <f t="shared" si="11"/>
        <v>1033999.0599999999</v>
      </c>
      <c r="H265" s="1">
        <v>720.97</v>
      </c>
      <c r="I265" s="1">
        <v>516.02</v>
      </c>
      <c r="J265" s="1">
        <v>204.94</v>
      </c>
      <c r="K265" s="1" t="s">
        <v>1539</v>
      </c>
    </row>
    <row r="266" spans="1:11">
      <c r="A266" s="202">
        <v>263</v>
      </c>
      <c r="B266" s="203" t="s">
        <v>1532</v>
      </c>
      <c r="C266" s="61" t="s">
        <v>4458</v>
      </c>
      <c r="D266" s="61" t="s">
        <v>36</v>
      </c>
      <c r="E266" s="204">
        <v>1099999</v>
      </c>
      <c r="F266" s="205">
        <f t="shared" si="10"/>
        <v>1066999.03</v>
      </c>
      <c r="G266" s="206">
        <f t="shared" si="11"/>
        <v>1033999.0599999999</v>
      </c>
      <c r="H266" s="1">
        <v>720.97</v>
      </c>
      <c r="I266" s="1">
        <v>516.02</v>
      </c>
      <c r="J266" s="1">
        <v>204.94</v>
      </c>
      <c r="K266" s="1" t="s">
        <v>1539</v>
      </c>
    </row>
    <row r="267" spans="1:11">
      <c r="A267" s="202">
        <v>264</v>
      </c>
      <c r="B267" s="203" t="s">
        <v>1533</v>
      </c>
      <c r="C267" s="61" t="s">
        <v>6</v>
      </c>
      <c r="D267" s="61" t="s">
        <v>36</v>
      </c>
      <c r="E267" s="204">
        <v>1099999</v>
      </c>
      <c r="F267" s="205">
        <f t="shared" ref="F267:F272" si="12">E267*0.97</f>
        <v>1066999.03</v>
      </c>
      <c r="G267" s="206">
        <f t="shared" ref="G267:G272" si="13">E267*0.94</f>
        <v>1033999.0599999999</v>
      </c>
      <c r="H267" s="1">
        <v>720.97</v>
      </c>
      <c r="I267" s="1">
        <v>516.02</v>
      </c>
      <c r="J267" s="1">
        <v>204.94</v>
      </c>
      <c r="K267" s="1" t="s">
        <v>1539</v>
      </c>
    </row>
    <row r="268" spans="1:11">
      <c r="A268" s="202">
        <v>265</v>
      </c>
      <c r="B268" s="203" t="s">
        <v>1534</v>
      </c>
      <c r="C268" s="61" t="s">
        <v>7</v>
      </c>
      <c r="D268" s="61" t="s">
        <v>36</v>
      </c>
      <c r="E268" s="204">
        <v>1099999</v>
      </c>
      <c r="F268" s="205">
        <f t="shared" si="12"/>
        <v>1066999.03</v>
      </c>
      <c r="G268" s="206">
        <f t="shared" si="13"/>
        <v>1033999.0599999999</v>
      </c>
      <c r="H268" s="1">
        <v>720.97</v>
      </c>
      <c r="I268" s="1">
        <v>516.02</v>
      </c>
      <c r="J268" s="1">
        <v>204.94</v>
      </c>
      <c r="K268" s="1" t="s">
        <v>1539</v>
      </c>
    </row>
    <row r="269" spans="1:11">
      <c r="A269" s="202">
        <v>266</v>
      </c>
      <c r="B269" s="203" t="s">
        <v>1535</v>
      </c>
      <c r="C269" s="61" t="s">
        <v>8</v>
      </c>
      <c r="D269" s="61" t="s">
        <v>36</v>
      </c>
      <c r="E269" s="204">
        <v>1099999</v>
      </c>
      <c r="F269" s="205">
        <f t="shared" si="12"/>
        <v>1066999.03</v>
      </c>
      <c r="G269" s="206">
        <f t="shared" si="13"/>
        <v>1033999.0599999999</v>
      </c>
      <c r="H269" s="1">
        <v>720.97</v>
      </c>
      <c r="I269" s="1">
        <v>516.02</v>
      </c>
      <c r="J269" s="1">
        <v>204.94</v>
      </c>
      <c r="K269" s="1" t="s">
        <v>1539</v>
      </c>
    </row>
    <row r="270" spans="1:11">
      <c r="A270" s="202">
        <v>267</v>
      </c>
      <c r="B270" s="203" t="s">
        <v>1536</v>
      </c>
      <c r="C270" s="61" t="s">
        <v>9</v>
      </c>
      <c r="D270" s="61" t="s">
        <v>36</v>
      </c>
      <c r="E270" s="204">
        <v>1099999</v>
      </c>
      <c r="F270" s="205">
        <f t="shared" si="12"/>
        <v>1066999.03</v>
      </c>
      <c r="G270" s="206">
        <f t="shared" si="13"/>
        <v>1033999.0599999999</v>
      </c>
      <c r="H270" s="1">
        <v>720.97</v>
      </c>
      <c r="I270" s="1">
        <v>516.02</v>
      </c>
      <c r="J270" s="1">
        <v>204.94</v>
      </c>
      <c r="K270" s="1" t="s">
        <v>1539</v>
      </c>
    </row>
    <row r="271" spans="1:11">
      <c r="A271" s="202">
        <v>268</v>
      </c>
      <c r="B271" s="203" t="s">
        <v>1537</v>
      </c>
      <c r="C271" s="61" t="s">
        <v>10</v>
      </c>
      <c r="D271" s="61" t="s">
        <v>36</v>
      </c>
      <c r="E271" s="204">
        <v>1099999</v>
      </c>
      <c r="F271" s="205">
        <f t="shared" si="12"/>
        <v>1066999.03</v>
      </c>
      <c r="G271" s="206">
        <f t="shared" si="13"/>
        <v>1033999.0599999999</v>
      </c>
      <c r="H271" s="1">
        <v>720.97</v>
      </c>
      <c r="I271" s="1">
        <v>516.02</v>
      </c>
      <c r="J271" s="1">
        <v>204.94</v>
      </c>
      <c r="K271" s="1" t="s">
        <v>1539</v>
      </c>
    </row>
    <row r="272" spans="1:11">
      <c r="A272" s="202">
        <v>269</v>
      </c>
      <c r="B272" s="203" t="s">
        <v>1538</v>
      </c>
      <c r="C272" s="61" t="s">
        <v>3</v>
      </c>
      <c r="D272" s="61" t="s">
        <v>36</v>
      </c>
      <c r="E272" s="204">
        <v>1099999</v>
      </c>
      <c r="F272" s="205">
        <f t="shared" si="12"/>
        <v>1066999.03</v>
      </c>
      <c r="G272" s="206">
        <f t="shared" si="13"/>
        <v>1033999.0599999999</v>
      </c>
      <c r="H272" s="1">
        <v>720.97</v>
      </c>
      <c r="I272" s="1">
        <v>516.02</v>
      </c>
      <c r="J272" s="1">
        <v>204.94</v>
      </c>
      <c r="K272" s="1" t="s">
        <v>1229</v>
      </c>
    </row>
  </sheetData>
  <autoFilter ref="A3:K272" xr:uid="{A54681AE-02D1-446E-B8EE-9A131846CB90}"/>
  <mergeCells count="2">
    <mergeCell ref="A1:K1"/>
    <mergeCell ref="A2:K2"/>
  </mergeCells>
  <conditionalFormatting sqref="B1:B1048576">
    <cfRule type="duplicateValues" dxfId="1316" priority="1"/>
  </conditionalFormatting>
  <conditionalFormatting sqref="B1:B273">
    <cfRule type="duplicateValues" dxfId="1315" priority="254518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1F45-49DA-44BC-89D4-FC8470EDB4F9}">
  <dimension ref="A1:M18"/>
  <sheetViews>
    <sheetView zoomScaleNormal="100" workbookViewId="0">
      <selection sqref="A1:M1"/>
    </sheetView>
  </sheetViews>
  <sheetFormatPr defaultColWidth="9.33203125" defaultRowHeight="14.4"/>
  <cols>
    <col min="1" max="1" width="4.109375" style="90" customWidth="1"/>
    <col min="2" max="2" width="12.33203125" style="90" bestFit="1" customWidth="1"/>
    <col min="3" max="3" width="8.88671875" style="90" bestFit="1" customWidth="1"/>
    <col min="4" max="4" width="11.88671875" style="90" bestFit="1" customWidth="1"/>
    <col min="5" max="5" width="14.21875" style="90" bestFit="1" customWidth="1"/>
    <col min="6" max="8" width="12.44140625" style="198" bestFit="1" customWidth="1"/>
    <col min="9" max="9" width="14.88671875" style="198" customWidth="1"/>
    <col min="10" max="10" width="16.109375" style="123" bestFit="1" customWidth="1"/>
    <col min="11" max="11" width="15.5546875" style="123" bestFit="1" customWidth="1"/>
    <col min="12" max="12" width="18.33203125" style="123" bestFit="1" customWidth="1"/>
    <col min="13" max="13" width="37.88671875" style="90" bestFit="1" customWidth="1"/>
    <col min="14" max="16384" width="9.33203125" style="90"/>
  </cols>
  <sheetData>
    <row r="1" spans="1:13" ht="25.8">
      <c r="A1" s="268" t="s">
        <v>237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</row>
    <row r="2" spans="1:13" ht="19.8">
      <c r="A2" s="353" t="s">
        <v>340</v>
      </c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</row>
    <row r="3" spans="1:13" s="121" customFormat="1" ht="13.8">
      <c r="A3" s="189" t="s">
        <v>22</v>
      </c>
      <c r="B3" s="189" t="s">
        <v>13</v>
      </c>
      <c r="C3" s="189" t="s">
        <v>26</v>
      </c>
      <c r="D3" s="189" t="s">
        <v>14</v>
      </c>
      <c r="E3" s="190" t="s">
        <v>15</v>
      </c>
      <c r="F3" s="191" t="s">
        <v>28</v>
      </c>
      <c r="G3" s="191" t="s">
        <v>29</v>
      </c>
      <c r="H3" s="191" t="s">
        <v>57</v>
      </c>
      <c r="I3" s="191" t="s">
        <v>30</v>
      </c>
      <c r="J3" s="192" t="s">
        <v>42</v>
      </c>
      <c r="K3" s="192" t="s">
        <v>41</v>
      </c>
      <c r="L3" s="192" t="s">
        <v>40</v>
      </c>
      <c r="M3" s="189" t="s">
        <v>19</v>
      </c>
    </row>
    <row r="4" spans="1:13" s="197" customFormat="1" ht="13.8">
      <c r="A4" s="128">
        <v>1</v>
      </c>
      <c r="B4" s="122" t="s">
        <v>276</v>
      </c>
      <c r="C4" s="129" t="s">
        <v>9</v>
      </c>
      <c r="D4" s="122" t="s">
        <v>36</v>
      </c>
      <c r="E4" s="130">
        <v>3194998.8</v>
      </c>
      <c r="F4" s="193">
        <f t="shared" ref="F4:F16" si="0">E4*0.85</f>
        <v>2715748.98</v>
      </c>
      <c r="G4" s="194">
        <f t="shared" ref="G4:G17" si="1">E4*0.82</f>
        <v>2619899.0159999998</v>
      </c>
      <c r="H4" s="195">
        <f t="shared" ref="H4:H17" si="2">E4*0.8</f>
        <v>2555999.04</v>
      </c>
      <c r="I4" s="196">
        <f t="shared" ref="I4:I17" si="3">E4*0.78</f>
        <v>2492099.0639999998</v>
      </c>
      <c r="J4" s="133">
        <v>1021.93</v>
      </c>
      <c r="K4" s="133">
        <v>668.01</v>
      </c>
      <c r="L4" s="133">
        <v>353.92</v>
      </c>
      <c r="M4" s="129" t="s">
        <v>223</v>
      </c>
    </row>
    <row r="5" spans="1:13" s="197" customFormat="1" ht="13.8">
      <c r="A5" s="128">
        <v>2</v>
      </c>
      <c r="B5" s="122" t="s">
        <v>236</v>
      </c>
      <c r="C5" s="129" t="s">
        <v>9</v>
      </c>
      <c r="D5" s="122" t="s">
        <v>36</v>
      </c>
      <c r="E5" s="130">
        <v>3129999</v>
      </c>
      <c r="F5" s="193">
        <f t="shared" si="0"/>
        <v>2660499.15</v>
      </c>
      <c r="G5" s="194">
        <f t="shared" si="1"/>
        <v>2566599.1799999997</v>
      </c>
      <c r="H5" s="195">
        <f t="shared" si="2"/>
        <v>2503999.2000000002</v>
      </c>
      <c r="I5" s="196">
        <f t="shared" si="3"/>
        <v>2441399.2200000002</v>
      </c>
      <c r="J5" s="133">
        <v>1021.93</v>
      </c>
      <c r="K5" s="133">
        <v>668.01</v>
      </c>
      <c r="L5" s="133">
        <v>353.92</v>
      </c>
      <c r="M5" s="129" t="s">
        <v>223</v>
      </c>
    </row>
    <row r="6" spans="1:13" s="197" customFormat="1" ht="13.8">
      <c r="A6" s="128">
        <v>3</v>
      </c>
      <c r="B6" s="122" t="s">
        <v>277</v>
      </c>
      <c r="C6" s="129" t="s">
        <v>9</v>
      </c>
      <c r="D6" s="122" t="s">
        <v>36</v>
      </c>
      <c r="E6" s="130">
        <v>3194998.8</v>
      </c>
      <c r="F6" s="193">
        <f t="shared" si="0"/>
        <v>2715748.98</v>
      </c>
      <c r="G6" s="194">
        <f t="shared" si="1"/>
        <v>2619899.0159999998</v>
      </c>
      <c r="H6" s="195">
        <f t="shared" si="2"/>
        <v>2555999.04</v>
      </c>
      <c r="I6" s="196">
        <f t="shared" si="3"/>
        <v>2492099.0639999998</v>
      </c>
      <c r="J6" s="133">
        <v>1021.93</v>
      </c>
      <c r="K6" s="133">
        <v>668.01</v>
      </c>
      <c r="L6" s="133">
        <v>353.92</v>
      </c>
      <c r="M6" s="129" t="s">
        <v>223</v>
      </c>
    </row>
    <row r="7" spans="1:13" s="197" customFormat="1" ht="13.8">
      <c r="A7" s="128">
        <v>4</v>
      </c>
      <c r="B7" s="122" t="s">
        <v>235</v>
      </c>
      <c r="C7" s="129" t="s">
        <v>10</v>
      </c>
      <c r="D7" s="122" t="s">
        <v>36</v>
      </c>
      <c r="E7" s="130">
        <v>3129999</v>
      </c>
      <c r="F7" s="193">
        <f t="shared" si="0"/>
        <v>2660499.15</v>
      </c>
      <c r="G7" s="194">
        <f t="shared" si="1"/>
        <v>2566599.1799999997</v>
      </c>
      <c r="H7" s="195">
        <f t="shared" si="2"/>
        <v>2503999.2000000002</v>
      </c>
      <c r="I7" s="196">
        <f t="shared" si="3"/>
        <v>2441399.2200000002</v>
      </c>
      <c r="J7" s="133">
        <v>1021.93</v>
      </c>
      <c r="K7" s="133">
        <v>668.01</v>
      </c>
      <c r="L7" s="133">
        <v>353.92</v>
      </c>
      <c r="M7" s="129" t="s">
        <v>223</v>
      </c>
    </row>
    <row r="8" spans="1:13" s="197" customFormat="1" ht="13.8">
      <c r="A8" s="128">
        <v>5</v>
      </c>
      <c r="B8" s="122" t="s">
        <v>234</v>
      </c>
      <c r="C8" s="129" t="s">
        <v>10</v>
      </c>
      <c r="D8" s="122" t="s">
        <v>36</v>
      </c>
      <c r="E8" s="130">
        <v>3129999</v>
      </c>
      <c r="F8" s="193">
        <f t="shared" si="0"/>
        <v>2660499.15</v>
      </c>
      <c r="G8" s="194">
        <f t="shared" si="1"/>
        <v>2566599.1799999997</v>
      </c>
      <c r="H8" s="195">
        <f t="shared" si="2"/>
        <v>2503999.2000000002</v>
      </c>
      <c r="I8" s="196">
        <f t="shared" si="3"/>
        <v>2441399.2200000002</v>
      </c>
      <c r="J8" s="133">
        <v>1021.93</v>
      </c>
      <c r="K8" s="133">
        <v>668.01</v>
      </c>
      <c r="L8" s="133">
        <v>353.92</v>
      </c>
      <c r="M8" s="129" t="s">
        <v>223</v>
      </c>
    </row>
    <row r="9" spans="1:13" s="197" customFormat="1" ht="13.8">
      <c r="A9" s="128">
        <v>6</v>
      </c>
      <c r="B9" s="122" t="s">
        <v>233</v>
      </c>
      <c r="C9" s="129" t="s">
        <v>3</v>
      </c>
      <c r="D9" s="122" t="s">
        <v>36</v>
      </c>
      <c r="E9" s="130">
        <v>3129999</v>
      </c>
      <c r="F9" s="193">
        <f t="shared" si="0"/>
        <v>2660499.15</v>
      </c>
      <c r="G9" s="194">
        <f t="shared" si="1"/>
        <v>2566599.1799999997</v>
      </c>
      <c r="H9" s="195">
        <f t="shared" si="2"/>
        <v>2503999.2000000002</v>
      </c>
      <c r="I9" s="196">
        <f t="shared" si="3"/>
        <v>2441399.2200000002</v>
      </c>
      <c r="J9" s="133">
        <v>1021.93</v>
      </c>
      <c r="K9" s="133">
        <v>668.01</v>
      </c>
      <c r="L9" s="133">
        <v>353.92</v>
      </c>
      <c r="M9" s="129" t="s">
        <v>223</v>
      </c>
    </row>
    <row r="10" spans="1:13" s="197" customFormat="1" ht="13.8">
      <c r="A10" s="128">
        <v>7</v>
      </c>
      <c r="B10" s="122" t="s">
        <v>232</v>
      </c>
      <c r="C10" s="129" t="s">
        <v>3</v>
      </c>
      <c r="D10" s="122" t="s">
        <v>36</v>
      </c>
      <c r="E10" s="130">
        <v>3129999</v>
      </c>
      <c r="F10" s="193">
        <f t="shared" si="0"/>
        <v>2660499.15</v>
      </c>
      <c r="G10" s="194">
        <f t="shared" si="1"/>
        <v>2566599.1799999997</v>
      </c>
      <c r="H10" s="195">
        <f t="shared" si="2"/>
        <v>2503999.2000000002</v>
      </c>
      <c r="I10" s="196">
        <f t="shared" si="3"/>
        <v>2441399.2200000002</v>
      </c>
      <c r="J10" s="133">
        <v>1021.93</v>
      </c>
      <c r="K10" s="133">
        <v>668.01</v>
      </c>
      <c r="L10" s="133">
        <v>353.92</v>
      </c>
      <c r="M10" s="129" t="s">
        <v>223</v>
      </c>
    </row>
    <row r="11" spans="1:13" s="121" customFormat="1" ht="13.8">
      <c r="A11" s="128">
        <v>8</v>
      </c>
      <c r="B11" s="122" t="s">
        <v>231</v>
      </c>
      <c r="C11" s="129" t="s">
        <v>3</v>
      </c>
      <c r="D11" s="122" t="s">
        <v>36</v>
      </c>
      <c r="E11" s="130">
        <v>3129999</v>
      </c>
      <c r="F11" s="193">
        <f t="shared" si="0"/>
        <v>2660499.15</v>
      </c>
      <c r="G11" s="194">
        <f t="shared" si="1"/>
        <v>2566599.1799999997</v>
      </c>
      <c r="H11" s="195">
        <f t="shared" si="2"/>
        <v>2503999.2000000002</v>
      </c>
      <c r="I11" s="196">
        <f t="shared" si="3"/>
        <v>2441399.2200000002</v>
      </c>
      <c r="J11" s="133">
        <v>1021.93</v>
      </c>
      <c r="K11" s="133">
        <v>668.01</v>
      </c>
      <c r="L11" s="133">
        <v>353.92</v>
      </c>
      <c r="M11" s="129" t="s">
        <v>223</v>
      </c>
    </row>
    <row r="12" spans="1:13" s="121" customFormat="1" ht="13.8">
      <c r="A12" s="128">
        <v>9</v>
      </c>
      <c r="B12" s="122" t="s">
        <v>230</v>
      </c>
      <c r="C12" s="129" t="s">
        <v>3</v>
      </c>
      <c r="D12" s="122" t="s">
        <v>36</v>
      </c>
      <c r="E12" s="130">
        <v>3129999</v>
      </c>
      <c r="F12" s="193">
        <f t="shared" si="0"/>
        <v>2660499.15</v>
      </c>
      <c r="G12" s="194">
        <f t="shared" si="1"/>
        <v>2566599.1799999997</v>
      </c>
      <c r="H12" s="195">
        <f t="shared" si="2"/>
        <v>2503999.2000000002</v>
      </c>
      <c r="I12" s="196">
        <f t="shared" si="3"/>
        <v>2441399.2200000002</v>
      </c>
      <c r="J12" s="133">
        <v>1021.93</v>
      </c>
      <c r="K12" s="133">
        <v>668.01</v>
      </c>
      <c r="L12" s="133">
        <v>353.92</v>
      </c>
      <c r="M12" s="129" t="s">
        <v>223</v>
      </c>
    </row>
    <row r="13" spans="1:13" s="121" customFormat="1" ht="13.8">
      <c r="A13" s="128">
        <v>10</v>
      </c>
      <c r="B13" s="122" t="s">
        <v>229</v>
      </c>
      <c r="C13" s="129" t="s">
        <v>9</v>
      </c>
      <c r="D13" s="122" t="s">
        <v>36</v>
      </c>
      <c r="E13" s="130">
        <v>2599999</v>
      </c>
      <c r="F13" s="193">
        <f t="shared" si="0"/>
        <v>2209999.15</v>
      </c>
      <c r="G13" s="194">
        <f t="shared" si="1"/>
        <v>2131999.1799999997</v>
      </c>
      <c r="H13" s="195">
        <f t="shared" si="2"/>
        <v>2079999.2000000002</v>
      </c>
      <c r="I13" s="196">
        <f t="shared" si="3"/>
        <v>2027999.22</v>
      </c>
      <c r="J13" s="133">
        <v>849.06</v>
      </c>
      <c r="K13" s="133">
        <v>620.11</v>
      </c>
      <c r="L13" s="133">
        <v>228.95</v>
      </c>
      <c r="M13" s="129" t="s">
        <v>223</v>
      </c>
    </row>
    <row r="14" spans="1:13" s="121" customFormat="1" ht="13.8">
      <c r="A14" s="128">
        <v>11</v>
      </c>
      <c r="B14" s="122" t="s">
        <v>228</v>
      </c>
      <c r="C14" s="129" t="s">
        <v>3</v>
      </c>
      <c r="D14" s="122" t="s">
        <v>36</v>
      </c>
      <c r="E14" s="130">
        <v>2599999</v>
      </c>
      <c r="F14" s="193">
        <f t="shared" si="0"/>
        <v>2209999.15</v>
      </c>
      <c r="G14" s="194">
        <f t="shared" si="1"/>
        <v>2131999.1799999997</v>
      </c>
      <c r="H14" s="195">
        <f t="shared" si="2"/>
        <v>2079999.2000000002</v>
      </c>
      <c r="I14" s="196">
        <f t="shared" si="3"/>
        <v>2027999.22</v>
      </c>
      <c r="J14" s="133">
        <v>849.06</v>
      </c>
      <c r="K14" s="133">
        <v>620.11</v>
      </c>
      <c r="L14" s="133">
        <v>228.95</v>
      </c>
      <c r="M14" s="129" t="s">
        <v>223</v>
      </c>
    </row>
    <row r="15" spans="1:13" s="121" customFormat="1" ht="13.8">
      <c r="A15" s="128">
        <v>12</v>
      </c>
      <c r="B15" s="122" t="s">
        <v>227</v>
      </c>
      <c r="C15" s="129" t="s">
        <v>3</v>
      </c>
      <c r="D15" s="122" t="s">
        <v>36</v>
      </c>
      <c r="E15" s="130">
        <v>2544999</v>
      </c>
      <c r="F15" s="193">
        <f t="shared" si="0"/>
        <v>2163249.15</v>
      </c>
      <c r="G15" s="194">
        <f t="shared" si="1"/>
        <v>2086899.18</v>
      </c>
      <c r="H15" s="195">
        <f t="shared" si="2"/>
        <v>2035999.2000000002</v>
      </c>
      <c r="I15" s="196">
        <f t="shared" si="3"/>
        <v>1985099.22</v>
      </c>
      <c r="J15" s="133">
        <v>830.76</v>
      </c>
      <c r="K15" s="133">
        <v>646.70000000000005</v>
      </c>
      <c r="L15" s="133">
        <v>184.06</v>
      </c>
      <c r="M15" s="129" t="s">
        <v>223</v>
      </c>
    </row>
    <row r="16" spans="1:13" s="121" customFormat="1" ht="13.8">
      <c r="A16" s="128">
        <v>13</v>
      </c>
      <c r="B16" s="122" t="s">
        <v>226</v>
      </c>
      <c r="C16" s="129" t="s">
        <v>3</v>
      </c>
      <c r="D16" s="122" t="s">
        <v>36</v>
      </c>
      <c r="E16" s="130">
        <v>2544999</v>
      </c>
      <c r="F16" s="193">
        <f t="shared" si="0"/>
        <v>2163249.15</v>
      </c>
      <c r="G16" s="194">
        <f t="shared" si="1"/>
        <v>2086899.18</v>
      </c>
      <c r="H16" s="195">
        <f t="shared" si="2"/>
        <v>2035999.2000000002</v>
      </c>
      <c r="I16" s="196">
        <f t="shared" si="3"/>
        <v>1985099.22</v>
      </c>
      <c r="J16" s="133">
        <v>830.76</v>
      </c>
      <c r="K16" s="133">
        <v>646.70000000000005</v>
      </c>
      <c r="L16" s="133">
        <v>184.06</v>
      </c>
      <c r="M16" s="129" t="s">
        <v>223</v>
      </c>
    </row>
    <row r="17" spans="1:13" s="121" customFormat="1" ht="13.8">
      <c r="A17" s="128">
        <v>14</v>
      </c>
      <c r="B17" s="122" t="s">
        <v>225</v>
      </c>
      <c r="C17" s="129" t="s">
        <v>3</v>
      </c>
      <c r="D17" s="122" t="s">
        <v>36</v>
      </c>
      <c r="E17" s="130">
        <v>2544999</v>
      </c>
      <c r="F17" s="193">
        <f>E17*0.85</f>
        <v>2163249.15</v>
      </c>
      <c r="G17" s="194">
        <f t="shared" si="1"/>
        <v>2086899.18</v>
      </c>
      <c r="H17" s="195">
        <f t="shared" si="2"/>
        <v>2035999.2000000002</v>
      </c>
      <c r="I17" s="196">
        <f t="shared" si="3"/>
        <v>1985099.22</v>
      </c>
      <c r="J17" s="133">
        <v>830.76</v>
      </c>
      <c r="K17" s="133">
        <v>646.70000000000005</v>
      </c>
      <c r="L17" s="133">
        <v>184.06</v>
      </c>
      <c r="M17" s="129" t="s">
        <v>223</v>
      </c>
    </row>
    <row r="18" spans="1:13">
      <c r="A18" s="128">
        <v>15</v>
      </c>
      <c r="B18" s="122" t="s">
        <v>224</v>
      </c>
      <c r="C18" s="92" t="s">
        <v>3</v>
      </c>
      <c r="D18" s="122" t="s">
        <v>36</v>
      </c>
      <c r="E18" s="92">
        <v>2544999</v>
      </c>
      <c r="F18" s="193">
        <f t="shared" ref="F18" si="4">E18*0.85</f>
        <v>2163249.15</v>
      </c>
      <c r="G18" s="194">
        <f t="shared" ref="G18" si="5">E18*0.82</f>
        <v>2086899.18</v>
      </c>
      <c r="H18" s="195">
        <f t="shared" ref="H18" si="6">E18*0.8</f>
        <v>2035999.2000000002</v>
      </c>
      <c r="I18" s="196">
        <f t="shared" ref="I18" si="7">E18*0.78</f>
        <v>1985099.22</v>
      </c>
      <c r="J18" s="92">
        <v>830.76</v>
      </c>
      <c r="K18" s="92">
        <v>646.70000000000005</v>
      </c>
      <c r="L18" s="92">
        <v>184.06</v>
      </c>
      <c r="M18" s="92" t="s">
        <v>223</v>
      </c>
    </row>
  </sheetData>
  <autoFilter ref="A3:M17" xr:uid="{9DC66B79-847A-48C3-A452-ED31F63F7FD0}"/>
  <mergeCells count="2">
    <mergeCell ref="A1:M1"/>
    <mergeCell ref="A2:M2"/>
  </mergeCells>
  <conditionalFormatting sqref="B19:B1048576">
    <cfRule type="duplicateValues" dxfId="1314" priority="3"/>
    <cfRule type="duplicateValues" dxfId="1313" priority="246073"/>
    <cfRule type="duplicateValues" dxfId="1312" priority="246076"/>
    <cfRule type="duplicateValues" dxfId="1311" priority="246079"/>
    <cfRule type="duplicateValues" dxfId="1310" priority="246080"/>
    <cfRule type="duplicateValues" dxfId="1309" priority="246081"/>
    <cfRule type="duplicateValues" dxfId="1308" priority="246088"/>
    <cfRule type="duplicateValues" dxfId="1307" priority="246089"/>
    <cfRule type="duplicateValues" dxfId="1306" priority="246090"/>
    <cfRule type="duplicateValues" dxfId="1305" priority="246091"/>
    <cfRule type="duplicateValues" dxfId="1304" priority="246092"/>
    <cfRule type="duplicateValues" dxfId="1303" priority="246093"/>
    <cfRule type="duplicateValues" dxfId="1302" priority="246094"/>
    <cfRule type="duplicateValues" dxfId="1301" priority="246095"/>
    <cfRule type="duplicateValues" dxfId="1300" priority="246096"/>
    <cfRule type="duplicateValues" dxfId="1299" priority="246097"/>
    <cfRule type="duplicateValues" dxfId="1298" priority="246098"/>
    <cfRule type="duplicateValues" dxfId="1297" priority="246099"/>
    <cfRule type="duplicateValues" dxfId="1296" priority="246100"/>
    <cfRule type="duplicateValues" dxfId="1295" priority="246101"/>
    <cfRule type="duplicateValues" dxfId="1294" priority="246102"/>
    <cfRule type="duplicateValues" dxfId="1293" priority="246103"/>
    <cfRule type="duplicateValues" dxfId="1292" priority="246104"/>
    <cfRule type="duplicateValues" dxfId="1291" priority="246105"/>
    <cfRule type="duplicateValues" dxfId="1290" priority="246106"/>
    <cfRule type="duplicateValues" dxfId="1289" priority="246107"/>
    <cfRule type="duplicateValues" dxfId="1288" priority="246108"/>
    <cfRule type="duplicateValues" dxfId="1287" priority="246109"/>
    <cfRule type="duplicateValues" dxfId="1286" priority="246110"/>
    <cfRule type="duplicateValues" dxfId="1285" priority="246111"/>
    <cfRule type="duplicateValues" dxfId="1284" priority="246112"/>
    <cfRule type="duplicateValues" dxfId="1283" priority="246183"/>
    <cfRule type="duplicateValues" dxfId="1282" priority="246184"/>
    <cfRule type="duplicateValues" dxfId="1281" priority="246185"/>
    <cfRule type="duplicateValues" dxfId="1280" priority="246186"/>
    <cfRule type="duplicateValues" dxfId="1279" priority="246187"/>
    <cfRule type="duplicateValues" dxfId="1278" priority="246188"/>
    <cfRule type="duplicateValues" dxfId="1277" priority="246189"/>
    <cfRule type="duplicateValues" dxfId="1276" priority="246190"/>
    <cfRule type="duplicateValues" dxfId="1275" priority="246191"/>
    <cfRule type="duplicateValues" dxfId="1274" priority="246192"/>
    <cfRule type="duplicateValues" dxfId="1273" priority="246193"/>
    <cfRule type="duplicateValues" dxfId="1272" priority="246194"/>
    <cfRule type="duplicateValues" dxfId="1271" priority="246195"/>
    <cfRule type="duplicateValues" dxfId="1270" priority="246196"/>
  </conditionalFormatting>
  <conditionalFormatting sqref="B2:B1048576">
    <cfRule type="duplicateValues" dxfId="1269" priority="246225"/>
    <cfRule type="duplicateValues" dxfId="1268" priority="246226"/>
  </conditionalFormatting>
  <conditionalFormatting sqref="B19:B1048576">
    <cfRule type="duplicateValues" dxfId="1267" priority="246163"/>
    <cfRule type="duplicateValues" dxfId="1266" priority="246164"/>
    <cfRule type="duplicateValues" dxfId="1265" priority="246165"/>
    <cfRule type="duplicateValues" dxfId="1264" priority="246166"/>
    <cfRule type="duplicateValues" dxfId="1263" priority="246167"/>
    <cfRule type="duplicateValues" dxfId="1262" priority="246168"/>
    <cfRule type="duplicateValues" dxfId="1261" priority="246169"/>
    <cfRule type="duplicateValues" dxfId="1260" priority="246170"/>
    <cfRule type="duplicateValues" dxfId="1259" priority="246171"/>
    <cfRule type="duplicateValues" dxfId="1258" priority="246172"/>
    <cfRule type="duplicateValues" dxfId="1257" priority="246231"/>
    <cfRule type="duplicateValues" dxfId="1256" priority="246232"/>
  </conditionalFormatting>
  <conditionalFormatting sqref="B1:B1048576">
    <cfRule type="duplicateValues" dxfId="1255" priority="1"/>
  </conditionalFormatting>
  <conditionalFormatting sqref="B1:B3">
    <cfRule type="duplicateValues" dxfId="1254" priority="246194"/>
    <cfRule type="duplicateValues" dxfId="1253" priority="246195"/>
    <cfRule type="duplicateValues" dxfId="1252" priority="246196"/>
    <cfRule type="duplicateValues" dxfId="1251" priority="254519"/>
    <cfRule type="duplicateValues" dxfId="1250" priority="254520"/>
    <cfRule type="duplicateValues" dxfId="1249" priority="254521"/>
    <cfRule type="duplicateValues" dxfId="1248" priority="254522"/>
    <cfRule type="duplicateValues" dxfId="1247" priority="254523"/>
    <cfRule type="duplicateValues" dxfId="1246" priority="254524"/>
    <cfRule type="duplicateValues" dxfId="1245" priority="254525"/>
    <cfRule type="duplicateValues" dxfId="1244" priority="254526"/>
    <cfRule type="duplicateValues" dxfId="1243" priority="254527"/>
    <cfRule type="duplicateValues" dxfId="1242" priority="254528"/>
    <cfRule type="duplicateValues" dxfId="1241" priority="254529"/>
    <cfRule type="duplicateValues" dxfId="1240" priority="254530"/>
    <cfRule type="duplicateValues" dxfId="1239" priority="254531"/>
    <cfRule type="duplicateValues" dxfId="1238" priority="254532"/>
    <cfRule type="duplicateValues" dxfId="1237" priority="254533"/>
    <cfRule type="duplicateValues" dxfId="1236" priority="254534"/>
    <cfRule type="duplicateValues" dxfId="1235" priority="254535"/>
    <cfRule type="duplicateValues" dxfId="1234" priority="254536"/>
    <cfRule type="duplicateValues" dxfId="1233" priority="254537"/>
    <cfRule type="duplicateValues" dxfId="1232" priority="254538"/>
    <cfRule type="duplicateValues" dxfId="1231" priority="254539"/>
    <cfRule type="duplicateValues" dxfId="1230" priority="254540"/>
    <cfRule type="duplicateValues" dxfId="1229" priority="254541"/>
    <cfRule type="duplicateValues" dxfId="1228" priority="254542"/>
    <cfRule type="duplicateValues" dxfId="1227" priority="254543"/>
    <cfRule type="duplicateValues" dxfId="1226" priority="254544"/>
    <cfRule type="duplicateValues" dxfId="1225" priority="254545"/>
    <cfRule type="duplicateValues" dxfId="1224" priority="254546"/>
    <cfRule type="duplicateValues" dxfId="1223" priority="254547"/>
    <cfRule type="duplicateValues" dxfId="1222" priority="254548"/>
    <cfRule type="duplicateValues" dxfId="1221" priority="254549"/>
    <cfRule type="duplicateValues" dxfId="1220" priority="254550"/>
    <cfRule type="duplicateValues" dxfId="1219" priority="254551"/>
    <cfRule type="duplicateValues" dxfId="1218" priority="254552"/>
    <cfRule type="duplicateValues" dxfId="1217" priority="254553"/>
    <cfRule type="duplicateValues" dxfId="1216" priority="254554"/>
    <cfRule type="duplicateValues" dxfId="1215" priority="254555"/>
    <cfRule type="duplicateValues" dxfId="1214" priority="254556"/>
    <cfRule type="duplicateValues" dxfId="1213" priority="254557"/>
    <cfRule type="duplicateValues" dxfId="1212" priority="254558"/>
    <cfRule type="duplicateValues" dxfId="1211" priority="254559"/>
    <cfRule type="duplicateValues" dxfId="1210" priority="254560"/>
  </conditionalFormatting>
  <conditionalFormatting sqref="B4:B18">
    <cfRule type="duplicateValues" dxfId="1209" priority="246194"/>
    <cfRule type="duplicateValues" dxfId="1208" priority="246195"/>
    <cfRule type="duplicateValues" dxfId="1207" priority="246196"/>
    <cfRule type="duplicateValues" dxfId="1206" priority="254633"/>
    <cfRule type="duplicateValues" dxfId="1205" priority="254634"/>
    <cfRule type="duplicateValues" dxfId="1204" priority="254635"/>
    <cfRule type="duplicateValues" dxfId="1203" priority="254636"/>
    <cfRule type="duplicateValues" dxfId="1202" priority="254637"/>
    <cfRule type="duplicateValues" dxfId="1201" priority="254638"/>
    <cfRule type="duplicateValues" dxfId="1200" priority="254639"/>
    <cfRule type="duplicateValues" dxfId="1199" priority="254640"/>
    <cfRule type="duplicateValues" dxfId="1198" priority="254641"/>
    <cfRule type="duplicateValues" dxfId="1197" priority="254642"/>
    <cfRule type="duplicateValues" dxfId="1196" priority="254643"/>
    <cfRule type="duplicateValues" dxfId="1195" priority="254644"/>
    <cfRule type="duplicateValues" dxfId="1194" priority="254645"/>
    <cfRule type="duplicateValues" dxfId="1193" priority="254646"/>
    <cfRule type="duplicateValues" dxfId="1192" priority="254647"/>
    <cfRule type="duplicateValues" dxfId="1191" priority="254648"/>
    <cfRule type="duplicateValues" dxfId="1190" priority="254649"/>
    <cfRule type="duplicateValues" dxfId="1189" priority="254650"/>
    <cfRule type="duplicateValues" dxfId="1188" priority="254651"/>
    <cfRule type="duplicateValues" dxfId="1187" priority="254652"/>
    <cfRule type="duplicateValues" dxfId="1186" priority="254653"/>
    <cfRule type="duplicateValues" dxfId="1185" priority="254654"/>
    <cfRule type="duplicateValues" dxfId="1184" priority="254655"/>
    <cfRule type="duplicateValues" dxfId="1183" priority="254656"/>
    <cfRule type="duplicateValues" dxfId="1182" priority="254657"/>
    <cfRule type="duplicateValues" dxfId="1181" priority="254658"/>
    <cfRule type="duplicateValues" dxfId="1180" priority="254659"/>
    <cfRule type="duplicateValues" dxfId="1179" priority="254660"/>
    <cfRule type="duplicateValues" dxfId="1178" priority="254661"/>
    <cfRule type="duplicateValues" dxfId="1177" priority="254662"/>
    <cfRule type="duplicateValues" dxfId="1176" priority="254663"/>
    <cfRule type="duplicateValues" dxfId="1175" priority="254664"/>
    <cfRule type="duplicateValues" dxfId="1174" priority="254665"/>
    <cfRule type="duplicateValues" dxfId="1173" priority="254666"/>
    <cfRule type="duplicateValues" dxfId="1172" priority="254667"/>
    <cfRule type="duplicateValues" dxfId="1171" priority="254668"/>
    <cfRule type="duplicateValues" dxfId="1170" priority="254669"/>
    <cfRule type="duplicateValues" dxfId="1169" priority="254670"/>
    <cfRule type="duplicateValues" dxfId="1168" priority="254671"/>
    <cfRule type="duplicateValues" dxfId="1167" priority="254672"/>
    <cfRule type="duplicateValues" dxfId="1166" priority="254673"/>
    <cfRule type="duplicateValues" dxfId="1165" priority="254674"/>
  </conditionalFormatting>
  <conditionalFormatting sqref="B2:B18">
    <cfRule type="duplicateValues" dxfId="1164" priority="254742"/>
    <cfRule type="duplicateValues" dxfId="1163" priority="254743"/>
    <cfRule type="duplicateValues" dxfId="1162" priority="254744"/>
    <cfRule type="duplicateValues" dxfId="1161" priority="254745"/>
    <cfRule type="duplicateValues" dxfId="1160" priority="254746"/>
    <cfRule type="duplicateValues" dxfId="1159" priority="254747"/>
    <cfRule type="duplicateValues" dxfId="1158" priority="254748"/>
    <cfRule type="duplicateValues" dxfId="1157" priority="254749"/>
    <cfRule type="duplicateValues" dxfId="1156" priority="254750"/>
    <cfRule type="duplicateValues" dxfId="1155" priority="254751"/>
    <cfRule type="duplicateValues" dxfId="1154" priority="254752"/>
    <cfRule type="duplicateValues" dxfId="1153" priority="254753"/>
    <cfRule type="duplicateValues" dxfId="1152" priority="254754"/>
    <cfRule type="duplicateValues" dxfId="1151" priority="254755"/>
    <cfRule type="duplicateValues" dxfId="1150" priority="254756"/>
    <cfRule type="duplicateValues" dxfId="1149" priority="254757"/>
    <cfRule type="duplicateValues" dxfId="1148" priority="254758"/>
    <cfRule type="duplicateValues" dxfId="1147" priority="254759"/>
    <cfRule type="duplicateValues" dxfId="1146" priority="254760"/>
    <cfRule type="duplicateValues" dxfId="1145" priority="254761"/>
    <cfRule type="duplicateValues" dxfId="1144" priority="254762"/>
    <cfRule type="duplicateValues" dxfId="1143" priority="254763"/>
    <cfRule type="duplicateValues" dxfId="1142" priority="254764"/>
    <cfRule type="duplicateValues" dxfId="1141" priority="254765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A625-3379-45DB-8BB7-AA9F3EACBF86}">
  <dimension ref="A1:K24"/>
  <sheetViews>
    <sheetView workbookViewId="0">
      <selection activeCell="H4" sqref="H4:K24"/>
    </sheetView>
  </sheetViews>
  <sheetFormatPr defaultColWidth="8.88671875" defaultRowHeight="14.4"/>
  <cols>
    <col min="1" max="1" width="5.109375" style="141" bestFit="1" customWidth="1"/>
    <col min="2" max="2" width="11.6640625" style="141" customWidth="1"/>
    <col min="3" max="3" width="6.33203125" style="141" bestFit="1" customWidth="1"/>
    <col min="4" max="4" width="12.6640625" style="141" customWidth="1"/>
    <col min="5" max="5" width="13.6640625" style="141" customWidth="1"/>
    <col min="6" max="6" width="13.44140625" style="141" customWidth="1"/>
    <col min="7" max="7" width="14.109375" style="141" customWidth="1"/>
    <col min="8" max="8" width="10.44140625" style="141" bestFit="1" customWidth="1"/>
    <col min="9" max="9" width="9.33203125" style="141" bestFit="1" customWidth="1"/>
    <col min="10" max="10" width="12.44140625" style="141" bestFit="1" customWidth="1"/>
    <col min="11" max="11" width="79.44140625" style="141" bestFit="1" customWidth="1"/>
    <col min="12" max="16384" width="8.88671875" style="141"/>
  </cols>
  <sheetData>
    <row r="1" spans="1:11" s="3" customFormat="1" ht="23.4">
      <c r="A1" s="354" t="s">
        <v>112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</row>
    <row r="2" spans="1:11" s="3" customFormat="1">
      <c r="A2" s="355" t="s">
        <v>239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</row>
    <row r="3" spans="1:11" s="3" customFormat="1">
      <c r="A3" s="137" t="s">
        <v>22</v>
      </c>
      <c r="B3" s="137" t="s">
        <v>13</v>
      </c>
      <c r="C3" s="137" t="s">
        <v>26</v>
      </c>
      <c r="D3" s="137" t="s">
        <v>14</v>
      </c>
      <c r="E3" s="137" t="s">
        <v>20</v>
      </c>
      <c r="F3" s="137" t="s">
        <v>21</v>
      </c>
      <c r="G3" s="137" t="s">
        <v>43</v>
      </c>
      <c r="H3" s="137" t="s">
        <v>16</v>
      </c>
      <c r="I3" s="137" t="s">
        <v>17</v>
      </c>
      <c r="J3" s="137" t="s">
        <v>18</v>
      </c>
      <c r="K3" s="137" t="s">
        <v>19</v>
      </c>
    </row>
    <row r="4" spans="1:11" s="6" customFormat="1" ht="14.25" customHeight="1">
      <c r="A4" s="4">
        <v>1</v>
      </c>
      <c r="B4" s="97"/>
      <c r="C4" s="4"/>
      <c r="D4" s="242"/>
      <c r="E4" s="138"/>
      <c r="F4" s="139">
        <f t="shared" ref="F4:F8" si="0">E4*0.97</f>
        <v>0</v>
      </c>
      <c r="G4" s="140">
        <f t="shared" ref="G4:G8" si="1">E4*0.94</f>
        <v>0</v>
      </c>
      <c r="H4" s="4"/>
      <c r="I4" s="4"/>
      <c r="J4" s="4"/>
      <c r="K4" s="4"/>
    </row>
    <row r="5" spans="1:11" s="6" customFormat="1" ht="14.25" customHeight="1">
      <c r="A5" s="4">
        <v>2</v>
      </c>
      <c r="B5" s="97"/>
      <c r="C5" s="4"/>
      <c r="D5" s="242"/>
      <c r="E5" s="138"/>
      <c r="F5" s="139">
        <f t="shared" si="0"/>
        <v>0</v>
      </c>
      <c r="G5" s="140">
        <f t="shared" si="1"/>
        <v>0</v>
      </c>
      <c r="H5" s="4"/>
      <c r="I5" s="4"/>
      <c r="J5" s="4"/>
      <c r="K5" s="4"/>
    </row>
    <row r="6" spans="1:11" s="6" customFormat="1" ht="14.25" customHeight="1">
      <c r="A6" s="4">
        <v>3</v>
      </c>
      <c r="B6" s="97"/>
      <c r="C6" s="4"/>
      <c r="D6" s="242"/>
      <c r="E6" s="138"/>
      <c r="F6" s="139">
        <f t="shared" si="0"/>
        <v>0</v>
      </c>
      <c r="G6" s="140">
        <f t="shared" si="1"/>
        <v>0</v>
      </c>
      <c r="H6" s="4"/>
      <c r="I6" s="4"/>
      <c r="J6" s="4"/>
      <c r="K6" s="4"/>
    </row>
    <row r="7" spans="1:11" s="6" customFormat="1" ht="14.25" customHeight="1">
      <c r="A7" s="4">
        <v>4</v>
      </c>
      <c r="B7" s="97"/>
      <c r="C7" s="4"/>
      <c r="D7" s="242"/>
      <c r="E7" s="138"/>
      <c r="F7" s="139">
        <f t="shared" si="0"/>
        <v>0</v>
      </c>
      <c r="G7" s="140">
        <f t="shared" si="1"/>
        <v>0</v>
      </c>
      <c r="H7" s="4"/>
      <c r="I7" s="4"/>
      <c r="J7" s="4"/>
      <c r="K7" s="4"/>
    </row>
    <row r="8" spans="1:11" s="6" customFormat="1" ht="14.25" customHeight="1">
      <c r="A8" s="4">
        <v>5</v>
      </c>
      <c r="B8" s="97"/>
      <c r="C8" s="4"/>
      <c r="D8" s="242"/>
      <c r="E8" s="138"/>
      <c r="F8" s="139">
        <f t="shared" si="0"/>
        <v>0</v>
      </c>
      <c r="G8" s="140">
        <f t="shared" si="1"/>
        <v>0</v>
      </c>
      <c r="H8" s="4"/>
      <c r="I8" s="4"/>
      <c r="J8" s="4"/>
      <c r="K8" s="4"/>
    </row>
    <row r="9" spans="1:11" s="6" customFormat="1" ht="14.25" customHeight="1">
      <c r="A9" s="4">
        <v>6</v>
      </c>
      <c r="B9" s="97"/>
      <c r="C9" s="4"/>
      <c r="D9" s="242"/>
      <c r="E9" s="138"/>
      <c r="F9" s="139">
        <f t="shared" ref="F9:F19" si="2">E9*0.97</f>
        <v>0</v>
      </c>
      <c r="G9" s="140">
        <f t="shared" ref="G9:G19" si="3">E9*0.94</f>
        <v>0</v>
      </c>
      <c r="H9" s="4"/>
      <c r="I9" s="4"/>
      <c r="J9" s="4"/>
      <c r="K9" s="4"/>
    </row>
    <row r="10" spans="1:11" s="6" customFormat="1" ht="14.25" customHeight="1">
      <c r="A10" s="4">
        <v>7</v>
      </c>
      <c r="B10" s="97"/>
      <c r="C10" s="4"/>
      <c r="D10" s="242"/>
      <c r="E10" s="138"/>
      <c r="F10" s="139">
        <f t="shared" si="2"/>
        <v>0</v>
      </c>
      <c r="G10" s="140">
        <f t="shared" si="3"/>
        <v>0</v>
      </c>
      <c r="H10" s="4"/>
      <c r="I10" s="4"/>
      <c r="J10" s="4"/>
      <c r="K10" s="4"/>
    </row>
    <row r="11" spans="1:11" s="6" customFormat="1" ht="14.25" customHeight="1">
      <c r="A11" s="4">
        <v>8</v>
      </c>
      <c r="B11" s="97"/>
      <c r="C11" s="4"/>
      <c r="D11" s="242"/>
      <c r="E11" s="138"/>
      <c r="F11" s="139">
        <f t="shared" si="2"/>
        <v>0</v>
      </c>
      <c r="G11" s="140">
        <f t="shared" si="3"/>
        <v>0</v>
      </c>
      <c r="H11" s="4"/>
      <c r="I11" s="4"/>
      <c r="J11" s="4"/>
      <c r="K11" s="4"/>
    </row>
    <row r="12" spans="1:11" s="6" customFormat="1" ht="14.25" customHeight="1">
      <c r="A12" s="4">
        <v>9</v>
      </c>
      <c r="B12" s="97"/>
      <c r="C12" s="4"/>
      <c r="D12" s="242"/>
      <c r="E12" s="138"/>
      <c r="F12" s="139">
        <f t="shared" si="2"/>
        <v>0</v>
      </c>
      <c r="G12" s="140">
        <f t="shared" si="3"/>
        <v>0</v>
      </c>
      <c r="H12" s="4"/>
      <c r="I12" s="4"/>
      <c r="J12" s="4"/>
      <c r="K12" s="4"/>
    </row>
    <row r="13" spans="1:11" s="6" customFormat="1" ht="14.25" customHeight="1">
      <c r="A13" s="4">
        <v>10</v>
      </c>
      <c r="B13" s="97"/>
      <c r="C13" s="4"/>
      <c r="D13" s="242"/>
      <c r="E13" s="138"/>
      <c r="F13" s="139">
        <f t="shared" si="2"/>
        <v>0</v>
      </c>
      <c r="G13" s="140">
        <f t="shared" si="3"/>
        <v>0</v>
      </c>
      <c r="H13" s="4"/>
      <c r="I13" s="4"/>
      <c r="J13" s="4"/>
      <c r="K13" s="4"/>
    </row>
    <row r="14" spans="1:11" s="6" customFormat="1" ht="14.25" customHeight="1">
      <c r="A14" s="4">
        <v>11</v>
      </c>
      <c r="B14" s="97"/>
      <c r="C14" s="4"/>
      <c r="D14" s="242"/>
      <c r="E14" s="138"/>
      <c r="F14" s="139">
        <f t="shared" si="2"/>
        <v>0</v>
      </c>
      <c r="G14" s="140">
        <f t="shared" si="3"/>
        <v>0</v>
      </c>
      <c r="H14" s="4"/>
      <c r="I14" s="4"/>
      <c r="J14" s="4"/>
      <c r="K14" s="4"/>
    </row>
    <row r="15" spans="1:11" s="6" customFormat="1" ht="14.25" customHeight="1">
      <c r="A15" s="4">
        <v>12</v>
      </c>
      <c r="B15" s="97"/>
      <c r="C15" s="4"/>
      <c r="D15" s="242"/>
      <c r="E15" s="138"/>
      <c r="F15" s="139">
        <f t="shared" si="2"/>
        <v>0</v>
      </c>
      <c r="G15" s="140">
        <f t="shared" si="3"/>
        <v>0</v>
      </c>
      <c r="H15" s="4"/>
      <c r="I15" s="4"/>
      <c r="J15" s="4"/>
      <c r="K15" s="4"/>
    </row>
    <row r="16" spans="1:11" s="6" customFormat="1" ht="14.25" customHeight="1">
      <c r="A16" s="4">
        <v>13</v>
      </c>
      <c r="B16" s="97"/>
      <c r="C16" s="4"/>
      <c r="D16" s="242"/>
      <c r="E16" s="138"/>
      <c r="F16" s="139">
        <f t="shared" si="2"/>
        <v>0</v>
      </c>
      <c r="G16" s="140">
        <f t="shared" si="3"/>
        <v>0</v>
      </c>
      <c r="H16" s="4"/>
      <c r="I16" s="4"/>
      <c r="J16" s="4"/>
      <c r="K16" s="4"/>
    </row>
    <row r="17" spans="1:11" s="6" customFormat="1" ht="14.25" customHeight="1">
      <c r="A17" s="4">
        <v>14</v>
      </c>
      <c r="B17" s="97"/>
      <c r="C17" s="4"/>
      <c r="D17" s="242"/>
      <c r="E17" s="138"/>
      <c r="F17" s="139">
        <f t="shared" si="2"/>
        <v>0</v>
      </c>
      <c r="G17" s="140">
        <f t="shared" si="3"/>
        <v>0</v>
      </c>
      <c r="H17" s="4"/>
      <c r="I17" s="4"/>
      <c r="J17" s="4"/>
      <c r="K17" s="4"/>
    </row>
    <row r="18" spans="1:11" s="6" customFormat="1" ht="14.25" customHeight="1">
      <c r="A18" s="4">
        <v>15</v>
      </c>
      <c r="B18" s="97"/>
      <c r="C18" s="4"/>
      <c r="D18" s="242"/>
      <c r="E18" s="138"/>
      <c r="F18" s="139">
        <f t="shared" si="2"/>
        <v>0</v>
      </c>
      <c r="G18" s="140">
        <f t="shared" si="3"/>
        <v>0</v>
      </c>
      <c r="H18" s="4"/>
      <c r="I18" s="4"/>
      <c r="J18" s="4"/>
      <c r="K18" s="4"/>
    </row>
    <row r="19" spans="1:11" s="6" customFormat="1" ht="14.25" customHeight="1">
      <c r="A19" s="4">
        <v>16</v>
      </c>
      <c r="B19" s="97"/>
      <c r="C19" s="4"/>
      <c r="D19" s="242"/>
      <c r="E19" s="138"/>
      <c r="F19" s="139">
        <f t="shared" si="2"/>
        <v>0</v>
      </c>
      <c r="G19" s="140">
        <f t="shared" si="3"/>
        <v>0</v>
      </c>
      <c r="H19" s="4"/>
      <c r="I19" s="4"/>
      <c r="J19" s="4"/>
      <c r="K19" s="4"/>
    </row>
    <row r="20" spans="1:11" s="6" customFormat="1" ht="14.25" customHeight="1">
      <c r="A20" s="4">
        <v>17</v>
      </c>
      <c r="B20" s="97"/>
      <c r="C20" s="4"/>
      <c r="D20" s="242"/>
      <c r="E20" s="138"/>
      <c r="F20" s="139">
        <f t="shared" ref="F20:F24" si="4">E20*0.97</f>
        <v>0</v>
      </c>
      <c r="G20" s="140">
        <f t="shared" ref="G20:G24" si="5">E20*0.94</f>
        <v>0</v>
      </c>
      <c r="H20" s="4"/>
      <c r="I20" s="4"/>
      <c r="J20" s="4"/>
      <c r="K20" s="4"/>
    </row>
    <row r="21" spans="1:11" s="6" customFormat="1" ht="14.25" customHeight="1">
      <c r="A21" s="4">
        <v>18</v>
      </c>
      <c r="B21" s="97"/>
      <c r="C21" s="4"/>
      <c r="D21" s="242"/>
      <c r="E21" s="138"/>
      <c r="F21" s="139">
        <f t="shared" si="4"/>
        <v>0</v>
      </c>
      <c r="G21" s="140">
        <f t="shared" si="5"/>
        <v>0</v>
      </c>
      <c r="H21" s="4"/>
      <c r="I21" s="4"/>
      <c r="J21" s="4"/>
      <c r="K21" s="4"/>
    </row>
    <row r="22" spans="1:11" s="6" customFormat="1" ht="14.25" customHeight="1">
      <c r="A22" s="4">
        <v>19</v>
      </c>
      <c r="B22" s="97"/>
      <c r="C22" s="4"/>
      <c r="D22" s="242"/>
      <c r="E22" s="138"/>
      <c r="F22" s="139">
        <f t="shared" si="4"/>
        <v>0</v>
      </c>
      <c r="G22" s="140">
        <f t="shared" si="5"/>
        <v>0</v>
      </c>
      <c r="H22" s="4"/>
      <c r="I22" s="4"/>
      <c r="J22" s="4"/>
      <c r="K22" s="4"/>
    </row>
    <row r="23" spans="1:11" s="6" customFormat="1" ht="14.25" customHeight="1">
      <c r="A23" s="4">
        <v>20</v>
      </c>
      <c r="B23" s="97"/>
      <c r="C23" s="4"/>
      <c r="D23" s="242"/>
      <c r="E23" s="138"/>
      <c r="F23" s="139">
        <f t="shared" si="4"/>
        <v>0</v>
      </c>
      <c r="G23" s="140">
        <f t="shared" si="5"/>
        <v>0</v>
      </c>
      <c r="H23" s="4"/>
      <c r="I23" s="4"/>
      <c r="J23" s="4"/>
      <c r="K23" s="4"/>
    </row>
    <row r="24" spans="1:11" s="6" customFormat="1" ht="14.25" customHeight="1">
      <c r="A24" s="4">
        <v>21</v>
      </c>
      <c r="B24" s="97"/>
      <c r="C24" s="4"/>
      <c r="D24" s="242"/>
      <c r="E24" s="138"/>
      <c r="F24" s="139">
        <f t="shared" si="4"/>
        <v>0</v>
      </c>
      <c r="G24" s="140">
        <f t="shared" si="5"/>
        <v>0</v>
      </c>
      <c r="H24" s="4"/>
      <c r="I24" s="4"/>
      <c r="J24" s="4"/>
      <c r="K24" s="4"/>
    </row>
  </sheetData>
  <mergeCells count="2">
    <mergeCell ref="A1:K1"/>
    <mergeCell ref="A2:K2"/>
  </mergeCells>
  <conditionalFormatting sqref="A3">
    <cfRule type="duplicateValues" dxfId="1140" priority="144"/>
  </conditionalFormatting>
  <conditionalFormatting sqref="B2">
    <cfRule type="duplicateValues" dxfId="1139" priority="112"/>
    <cfRule type="duplicateValues" dxfId="1138" priority="113"/>
    <cfRule type="duplicateValues" dxfId="1137" priority="114"/>
    <cfRule type="duplicateValues" dxfId="1136" priority="115"/>
    <cfRule type="duplicateValues" dxfId="1135" priority="116"/>
    <cfRule type="duplicateValues" dxfId="1134" priority="117"/>
    <cfRule type="duplicateValues" dxfId="1133" priority="118"/>
    <cfRule type="duplicateValues" dxfId="1132" priority="119"/>
    <cfRule type="duplicateValues" dxfId="1131" priority="120"/>
    <cfRule type="duplicateValues" dxfId="1130" priority="121"/>
  </conditionalFormatting>
  <conditionalFormatting sqref="B2:B3">
    <cfRule type="duplicateValues" dxfId="1129" priority="111"/>
    <cfRule type="duplicateValues" dxfId="1128" priority="147"/>
    <cfRule type="duplicateValues" dxfId="1127" priority="148"/>
    <cfRule type="duplicateValues" dxfId="1126" priority="149"/>
    <cfRule type="duplicateValues" dxfId="1125" priority="150"/>
    <cfRule type="duplicateValues" dxfId="1124" priority="151"/>
    <cfRule type="duplicateValues" dxfId="1123" priority="152"/>
    <cfRule type="duplicateValues" dxfId="1122" priority="153"/>
    <cfRule type="duplicateValues" dxfId="1121" priority="154"/>
    <cfRule type="duplicateValues" dxfId="1120" priority="155"/>
    <cfRule type="duplicateValues" dxfId="1119" priority="156"/>
    <cfRule type="duplicateValues" dxfId="1118" priority="157"/>
    <cfRule type="duplicateValues" dxfId="1117" priority="158"/>
    <cfRule type="duplicateValues" dxfId="1116" priority="159"/>
    <cfRule type="duplicateValues" dxfId="1115" priority="160"/>
    <cfRule type="duplicateValues" dxfId="1114" priority="161"/>
    <cfRule type="duplicateValues" dxfId="1113" priority="162"/>
    <cfRule type="duplicateValues" dxfId="1112" priority="163"/>
    <cfRule type="duplicateValues" dxfId="1111" priority="164"/>
    <cfRule type="duplicateValues" dxfId="1110" priority="165"/>
    <cfRule type="duplicateValues" dxfId="1109" priority="166"/>
    <cfRule type="duplicateValues" dxfId="1108" priority="167"/>
    <cfRule type="duplicateValues" dxfId="1107" priority="168"/>
    <cfRule type="duplicateValues" dxfId="1106" priority="169"/>
    <cfRule type="duplicateValues" dxfId="1105" priority="170"/>
    <cfRule type="duplicateValues" dxfId="1104" priority="171"/>
    <cfRule type="duplicateValues" dxfId="1103" priority="172"/>
    <cfRule type="duplicateValues" dxfId="1102" priority="173"/>
    <cfRule type="duplicateValues" dxfId="1101" priority="174"/>
    <cfRule type="duplicateValues" dxfId="1100" priority="175"/>
    <cfRule type="duplicateValues" dxfId="1099" priority="176"/>
    <cfRule type="duplicateValues" dxfId="1098" priority="177"/>
    <cfRule type="duplicateValues" dxfId="1097" priority="178"/>
    <cfRule type="duplicateValues" dxfId="1096" priority="179"/>
    <cfRule type="duplicateValues" dxfId="1095" priority="180"/>
    <cfRule type="duplicateValues" dxfId="1094" priority="181"/>
    <cfRule type="duplicateValues" dxfId="1093" priority="182"/>
    <cfRule type="duplicateValues" dxfId="1092" priority="183"/>
    <cfRule type="duplicateValues" dxfId="1091" priority="184"/>
    <cfRule type="duplicateValues" dxfId="1090" priority="185"/>
    <cfRule type="duplicateValues" dxfId="1089" priority="186"/>
    <cfRule type="duplicateValues" dxfId="1088" priority="187"/>
    <cfRule type="duplicateValues" dxfId="1087" priority="189"/>
    <cfRule type="duplicateValues" dxfId="1086" priority="190"/>
  </conditionalFormatting>
  <conditionalFormatting sqref="B2:B24">
    <cfRule type="duplicateValues" dxfId="1085" priority="249205"/>
    <cfRule type="duplicateValues" dxfId="1084" priority="249206"/>
    <cfRule type="duplicateValues" dxfId="1083" priority="249207"/>
    <cfRule type="duplicateValues" dxfId="1082" priority="249208"/>
  </conditionalFormatting>
  <conditionalFormatting sqref="B3">
    <cfRule type="duplicateValues" dxfId="1081" priority="122"/>
    <cfRule type="duplicateValues" dxfId="1080" priority="123"/>
    <cfRule type="duplicateValues" dxfId="1079" priority="124"/>
    <cfRule type="duplicateValues" dxfId="1078" priority="125"/>
    <cfRule type="duplicateValues" dxfId="1077" priority="126"/>
    <cfRule type="duplicateValues" dxfId="1076" priority="127"/>
    <cfRule type="duplicateValues" dxfId="1075" priority="128"/>
    <cfRule type="duplicateValues" dxfId="1074" priority="129"/>
    <cfRule type="duplicateValues" dxfId="1073" priority="130"/>
    <cfRule type="duplicateValues" dxfId="1072" priority="131"/>
    <cfRule type="duplicateValues" dxfId="1071" priority="132"/>
    <cfRule type="duplicateValues" dxfId="1070" priority="133"/>
    <cfRule type="duplicateValues" dxfId="1069" priority="134"/>
    <cfRule type="duplicateValues" dxfId="1068" priority="135"/>
    <cfRule type="duplicateValues" dxfId="1067" priority="136"/>
    <cfRule type="duplicateValues" dxfId="1066" priority="137"/>
    <cfRule type="duplicateValues" dxfId="1065" priority="138"/>
    <cfRule type="duplicateValues" dxfId="1064" priority="139"/>
    <cfRule type="duplicateValues" dxfId="1063" priority="140"/>
    <cfRule type="duplicateValues" dxfId="1062" priority="141"/>
    <cfRule type="duplicateValues" dxfId="1061" priority="142"/>
    <cfRule type="duplicateValues" dxfId="1060" priority="143"/>
    <cfRule type="duplicateValues" dxfId="1059" priority="145"/>
    <cfRule type="duplicateValues" dxfId="1058" priority="146"/>
    <cfRule type="duplicateValues" dxfId="1057" priority="188"/>
  </conditionalFormatting>
  <conditionalFormatting sqref="B4:B24">
    <cfRule type="duplicateValues" dxfId="1056" priority="249209"/>
    <cfRule type="duplicateValues" dxfId="1055" priority="249210"/>
    <cfRule type="duplicateValues" dxfId="1054" priority="249211"/>
    <cfRule type="duplicateValues" dxfId="1053" priority="249212"/>
    <cfRule type="duplicateValues" dxfId="1052" priority="249213"/>
    <cfRule type="duplicateValues" dxfId="1051" priority="249214"/>
    <cfRule type="duplicateValues" dxfId="1050" priority="249215"/>
    <cfRule type="duplicateValues" dxfId="1049" priority="249216"/>
    <cfRule type="duplicateValues" dxfId="1048" priority="249217"/>
    <cfRule type="duplicateValues" dxfId="1047" priority="249218"/>
    <cfRule type="duplicateValues" dxfId="1046" priority="249219"/>
    <cfRule type="duplicateValues" dxfId="1045" priority="249220"/>
    <cfRule type="duplicateValues" dxfId="1044" priority="249221"/>
    <cfRule type="duplicateValues" dxfId="1043" priority="249222"/>
    <cfRule type="duplicateValues" dxfId="1042" priority="249223"/>
    <cfRule type="duplicateValues" dxfId="1041" priority="249224"/>
    <cfRule type="duplicateValues" dxfId="1040" priority="249225"/>
    <cfRule type="duplicateValues" dxfId="1039" priority="249226"/>
    <cfRule type="duplicateValues" dxfId="1038" priority="249227"/>
    <cfRule type="duplicateValues" dxfId="1037" priority="249228"/>
  </conditionalFormatting>
  <conditionalFormatting sqref="B59:B1048576 B1:B24">
    <cfRule type="duplicateValues" dxfId="1036" priority="1"/>
  </conditionalFormatting>
  <conditionalFormatting sqref="B61:B1048576 B1:B24">
    <cfRule type="duplicateValues" dxfId="1035" priority="3"/>
    <cfRule type="duplicateValues" dxfId="1034" priority="125098"/>
    <cfRule type="duplicateValues" dxfId="1033" priority="125100"/>
    <cfRule type="duplicateValues" dxfId="1032" priority="125101"/>
    <cfRule type="duplicateValues" dxfId="1031" priority="125102"/>
    <cfRule type="duplicateValues" dxfId="1030" priority="125103"/>
    <cfRule type="duplicateValues" dxfId="1029" priority="125104"/>
    <cfRule type="duplicateValues" dxfId="1028" priority="125105"/>
    <cfRule type="duplicateValues" dxfId="1027" priority="125106"/>
    <cfRule type="duplicateValues" dxfId="1026" priority="125107"/>
    <cfRule type="duplicateValues" dxfId="1025" priority="125108"/>
    <cfRule type="duplicateValues" dxfId="1024" priority="125109"/>
    <cfRule type="duplicateValues" dxfId="1023" priority="125110"/>
    <cfRule type="duplicateValues" dxfId="1022" priority="125111"/>
    <cfRule type="duplicateValues" dxfId="1021" priority="125112"/>
    <cfRule type="duplicateValues" dxfId="1020" priority="125113"/>
    <cfRule type="duplicateValues" dxfId="1019" priority="125114"/>
    <cfRule type="duplicateValues" dxfId="1018" priority="125115"/>
    <cfRule type="duplicateValues" dxfId="1017" priority="125116"/>
    <cfRule type="duplicateValues" dxfId="1016" priority="125117"/>
    <cfRule type="duplicateValues" dxfId="1015" priority="125118"/>
    <cfRule type="duplicateValues" dxfId="1014" priority="125119"/>
    <cfRule type="duplicateValues" dxfId="1013" priority="125120"/>
    <cfRule type="duplicateValues" dxfId="1012" priority="125121"/>
    <cfRule type="duplicateValues" dxfId="1011" priority="125122"/>
    <cfRule type="duplicateValues" dxfId="1010" priority="125123"/>
    <cfRule type="duplicateValues" dxfId="1009" priority="125124"/>
    <cfRule type="duplicateValues" dxfId="1008" priority="125125"/>
    <cfRule type="duplicateValues" dxfId="1007" priority="125126"/>
    <cfRule type="duplicateValues" dxfId="1006" priority="125127"/>
    <cfRule type="duplicateValues" dxfId="1005" priority="125128"/>
    <cfRule type="duplicateValues" dxfId="1004" priority="125129"/>
  </conditionalFormatting>
  <conditionalFormatting sqref="B61:B1048576 B2:B24">
    <cfRule type="duplicateValues" dxfId="1003" priority="125160"/>
    <cfRule type="duplicateValues" dxfId="1002" priority="125161"/>
  </conditionalFormatting>
  <conditionalFormatting sqref="B61:B1048576">
    <cfRule type="duplicateValues" dxfId="1001" priority="5"/>
    <cfRule type="duplicateValues" dxfId="1000" priority="7"/>
    <cfRule type="duplicateValues" dxfId="999" priority="11"/>
    <cfRule type="duplicateValues" dxfId="998" priority="13"/>
    <cfRule type="duplicateValues" dxfId="997" priority="17"/>
    <cfRule type="duplicateValues" dxfId="996" priority="19"/>
    <cfRule type="duplicateValues" dxfId="995" priority="21"/>
    <cfRule type="duplicateValues" dxfId="994" priority="23"/>
    <cfRule type="duplicateValues" dxfId="993" priority="125164"/>
    <cfRule type="duplicateValues" dxfId="992" priority="125165"/>
    <cfRule type="duplicateValues" dxfId="991" priority="125166"/>
    <cfRule type="duplicateValues" dxfId="990" priority="125167"/>
    <cfRule type="duplicateValues" dxfId="989" priority="125168"/>
    <cfRule type="duplicateValues" dxfId="988" priority="125169"/>
    <cfRule type="duplicateValues" dxfId="987" priority="125170"/>
    <cfRule type="duplicateValues" dxfId="986" priority="125171"/>
    <cfRule type="duplicateValues" dxfId="985" priority="125172"/>
    <cfRule type="duplicateValues" dxfId="984" priority="125173"/>
    <cfRule type="duplicateValues" dxfId="983" priority="125174"/>
    <cfRule type="duplicateValues" dxfId="982" priority="125175"/>
    <cfRule type="duplicateValues" dxfId="981" priority="125176"/>
    <cfRule type="duplicateValues" dxfId="980" priority="125177"/>
    <cfRule type="duplicateValues" dxfId="979" priority="125178"/>
    <cfRule type="duplicateValues" dxfId="978" priority="125179"/>
    <cfRule type="duplicateValues" dxfId="977" priority="125180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4917-E3D7-42E2-8140-F01BA5CFB8A5}">
  <dimension ref="A1:I13"/>
  <sheetViews>
    <sheetView workbookViewId="0">
      <selection sqref="A1:I1"/>
    </sheetView>
  </sheetViews>
  <sheetFormatPr defaultRowHeight="14.4"/>
  <cols>
    <col min="1" max="1" width="3.88671875" style="22" bestFit="1" customWidth="1"/>
    <col min="2" max="2" width="13.88671875" customWidth="1"/>
    <col min="3" max="3" width="6.44140625" customWidth="1"/>
    <col min="4" max="4" width="14" customWidth="1"/>
    <col min="5" max="5" width="15.88671875" style="163" customWidth="1"/>
    <col min="6" max="6" width="12.88671875" customWidth="1"/>
    <col min="7" max="7" width="11.33203125" customWidth="1"/>
    <col min="8" max="8" width="11.88671875" customWidth="1"/>
    <col min="9" max="9" width="60.6640625" style="163" customWidth="1"/>
    <col min="10" max="10" width="1.88671875" bestFit="1" customWidth="1"/>
  </cols>
  <sheetData>
    <row r="1" spans="1:9" ht="25.8">
      <c r="A1" s="356" t="s">
        <v>262</v>
      </c>
      <c r="B1" s="356"/>
      <c r="C1" s="356"/>
      <c r="D1" s="356"/>
      <c r="E1" s="356"/>
      <c r="F1" s="356"/>
      <c r="G1" s="356"/>
      <c r="H1" s="356"/>
      <c r="I1" s="357"/>
    </row>
    <row r="2" spans="1:9" ht="15.6">
      <c r="A2" s="358" t="s">
        <v>4259</v>
      </c>
      <c r="B2" s="358"/>
      <c r="C2" s="358"/>
      <c r="D2" s="358"/>
      <c r="E2" s="358"/>
      <c r="F2" s="358"/>
      <c r="G2" s="358"/>
      <c r="H2" s="358"/>
      <c r="I2" s="358"/>
    </row>
    <row r="3" spans="1:9" ht="16.5" customHeight="1">
      <c r="A3" s="142" t="s">
        <v>22</v>
      </c>
      <c r="B3" s="143" t="s">
        <v>13</v>
      </c>
      <c r="C3" s="143" t="s">
        <v>26</v>
      </c>
      <c r="D3" s="143" t="s">
        <v>14</v>
      </c>
      <c r="E3" s="143" t="s">
        <v>43</v>
      </c>
      <c r="F3" s="143" t="s">
        <v>0</v>
      </c>
      <c r="G3" s="143" t="s">
        <v>1</v>
      </c>
      <c r="H3" s="143" t="s">
        <v>2</v>
      </c>
      <c r="I3" s="143" t="s">
        <v>19</v>
      </c>
    </row>
    <row r="4" spans="1:9">
      <c r="A4" s="144">
        <v>1</v>
      </c>
      <c r="B4" s="145" t="s">
        <v>675</v>
      </c>
      <c r="C4" s="61" t="s">
        <v>4460</v>
      </c>
      <c r="D4" s="61" t="s">
        <v>24</v>
      </c>
      <c r="E4" s="223">
        <v>1561999</v>
      </c>
      <c r="F4" s="233">
        <v>1199.6600000000001</v>
      </c>
      <c r="G4" s="233">
        <v>754.66</v>
      </c>
      <c r="H4" s="233">
        <v>445</v>
      </c>
      <c r="I4" s="207" t="s">
        <v>260</v>
      </c>
    </row>
    <row r="5" spans="1:9">
      <c r="A5" s="144">
        <v>2</v>
      </c>
      <c r="B5" s="145" t="s">
        <v>4632</v>
      </c>
      <c r="C5" s="61" t="s">
        <v>9</v>
      </c>
      <c r="D5" s="61" t="s">
        <v>24</v>
      </c>
      <c r="E5" s="223">
        <v>1553999</v>
      </c>
      <c r="F5" s="233">
        <v>1199.6600000000001</v>
      </c>
      <c r="G5" s="233">
        <v>754.66</v>
      </c>
      <c r="H5" s="233">
        <v>445</v>
      </c>
      <c r="I5" s="207" t="s">
        <v>260</v>
      </c>
    </row>
    <row r="6" spans="1:9">
      <c r="A6" s="144">
        <v>3</v>
      </c>
      <c r="B6" s="145" t="s">
        <v>268</v>
      </c>
      <c r="C6" s="61" t="s">
        <v>10</v>
      </c>
      <c r="D6" s="61" t="s">
        <v>24</v>
      </c>
      <c r="E6" s="223">
        <v>1552999</v>
      </c>
      <c r="F6" s="233">
        <v>1199.6600000000001</v>
      </c>
      <c r="G6" s="233">
        <v>754.66</v>
      </c>
      <c r="H6" s="233">
        <v>445</v>
      </c>
      <c r="I6" s="207" t="s">
        <v>260</v>
      </c>
    </row>
    <row r="7" spans="1:9">
      <c r="A7" s="144">
        <v>4</v>
      </c>
      <c r="B7" s="145" t="s">
        <v>4524</v>
      </c>
      <c r="C7" s="61" t="s">
        <v>3</v>
      </c>
      <c r="D7" s="61" t="s">
        <v>24</v>
      </c>
      <c r="E7" s="223">
        <v>1549999</v>
      </c>
      <c r="F7" s="233">
        <v>1197.6099999999999</v>
      </c>
      <c r="G7" s="233">
        <v>752.61</v>
      </c>
      <c r="H7" s="233">
        <v>445</v>
      </c>
      <c r="I7" s="207" t="s">
        <v>260</v>
      </c>
    </row>
    <row r="8" spans="1:9">
      <c r="A8" s="144">
        <v>5</v>
      </c>
      <c r="B8" s="145" t="s">
        <v>5004</v>
      </c>
      <c r="C8" s="61" t="s">
        <v>33</v>
      </c>
      <c r="D8" s="61" t="s">
        <v>36</v>
      </c>
      <c r="E8" s="223">
        <v>1194999</v>
      </c>
      <c r="F8" s="233">
        <v>798.31</v>
      </c>
      <c r="G8" s="233">
        <v>617.30999999999995</v>
      </c>
      <c r="H8" s="233">
        <v>181</v>
      </c>
      <c r="I8" s="207" t="s">
        <v>674</v>
      </c>
    </row>
    <row r="9" spans="1:9">
      <c r="A9" s="144">
        <v>6</v>
      </c>
      <c r="B9" s="145" t="s">
        <v>1221</v>
      </c>
      <c r="C9" s="61" t="s">
        <v>4461</v>
      </c>
      <c r="D9" s="61" t="s">
        <v>36</v>
      </c>
      <c r="E9" s="223">
        <v>1154999</v>
      </c>
      <c r="F9" s="233">
        <v>772.48</v>
      </c>
      <c r="G9" s="233">
        <v>608.48</v>
      </c>
      <c r="H9" s="233">
        <v>164</v>
      </c>
      <c r="I9" s="207" t="s">
        <v>59</v>
      </c>
    </row>
    <row r="10" spans="1:9">
      <c r="A10" s="144">
        <v>7</v>
      </c>
      <c r="B10" s="145" t="s">
        <v>1222</v>
      </c>
      <c r="C10" s="61" t="s">
        <v>10</v>
      </c>
      <c r="D10" s="61" t="s">
        <v>36</v>
      </c>
      <c r="E10" s="223">
        <v>1151999</v>
      </c>
      <c r="F10" s="233">
        <v>841.52</v>
      </c>
      <c r="G10" s="233">
        <v>563.71</v>
      </c>
      <c r="H10" s="233">
        <v>277.82</v>
      </c>
      <c r="I10" s="207" t="s">
        <v>674</v>
      </c>
    </row>
    <row r="11" spans="1:9">
      <c r="A11" s="144">
        <v>8</v>
      </c>
      <c r="B11" s="145" t="s">
        <v>1223</v>
      </c>
      <c r="C11" s="61" t="s">
        <v>3</v>
      </c>
      <c r="D11" s="61" t="s">
        <v>36</v>
      </c>
      <c r="E11" s="223">
        <v>1150999</v>
      </c>
      <c r="F11" s="233">
        <v>841.52</v>
      </c>
      <c r="G11" s="233">
        <v>563.71</v>
      </c>
      <c r="H11" s="233">
        <v>277.82</v>
      </c>
      <c r="I11" s="207" t="s">
        <v>674</v>
      </c>
    </row>
    <row r="12" spans="1:9">
      <c r="A12" s="144">
        <v>9</v>
      </c>
      <c r="B12" s="145" t="s">
        <v>5005</v>
      </c>
      <c r="C12" s="61" t="s">
        <v>4471</v>
      </c>
      <c r="D12" s="61" t="s">
        <v>36</v>
      </c>
      <c r="E12" s="223">
        <v>1136999</v>
      </c>
      <c r="F12" s="233">
        <v>763.91</v>
      </c>
      <c r="G12" s="233">
        <v>583.62</v>
      </c>
      <c r="H12" s="233">
        <v>180.3</v>
      </c>
      <c r="I12" s="207" t="s">
        <v>39</v>
      </c>
    </row>
    <row r="13" spans="1:9">
      <c r="A13" s="144">
        <v>10</v>
      </c>
      <c r="B13" s="145" t="s">
        <v>1224</v>
      </c>
      <c r="C13" s="1" t="s">
        <v>10</v>
      </c>
      <c r="D13" s="61" t="s">
        <v>36</v>
      </c>
      <c r="E13" s="223">
        <v>1057999</v>
      </c>
      <c r="F13" s="234">
        <v>673.71</v>
      </c>
      <c r="G13" s="234">
        <v>512.15</v>
      </c>
      <c r="H13" s="234">
        <v>161.57</v>
      </c>
      <c r="I13" s="234" t="s">
        <v>39</v>
      </c>
    </row>
  </sheetData>
  <mergeCells count="2">
    <mergeCell ref="A1:I1"/>
    <mergeCell ref="A2:I2"/>
  </mergeCells>
  <conditionalFormatting sqref="A3">
    <cfRule type="duplicateValues" dxfId="976" priority="26"/>
  </conditionalFormatting>
  <conditionalFormatting sqref="B1:B13">
    <cfRule type="duplicateValues" dxfId="975" priority="249883"/>
    <cfRule type="duplicateValues" dxfId="974" priority="249884"/>
    <cfRule type="duplicateValues" dxfId="973" priority="249885"/>
    <cfRule type="duplicateValues" dxfId="972" priority="249886"/>
    <cfRule type="duplicateValues" dxfId="971" priority="249887"/>
    <cfRule type="duplicateValues" dxfId="970" priority="249888"/>
    <cfRule type="duplicateValues" dxfId="969" priority="249889"/>
    <cfRule type="duplicateValues" dxfId="968" priority="249890"/>
    <cfRule type="duplicateValues" dxfId="967" priority="249891"/>
    <cfRule type="duplicateValues" dxfId="966" priority="249892"/>
    <cfRule type="duplicateValues" dxfId="965" priority="249893"/>
    <cfRule type="duplicateValues" dxfId="964" priority="249894"/>
    <cfRule type="duplicateValues" dxfId="963" priority="249895"/>
    <cfRule type="duplicateValues" dxfId="962" priority="249896"/>
    <cfRule type="duplicateValues" dxfId="961" priority="249897"/>
    <cfRule type="duplicateValues" dxfId="960" priority="249898"/>
    <cfRule type="duplicateValues" dxfId="959" priority="249899"/>
    <cfRule type="duplicateValues" dxfId="958" priority="249900"/>
    <cfRule type="duplicateValues" dxfId="957" priority="249901"/>
    <cfRule type="duplicateValues" dxfId="956" priority="249902"/>
  </conditionalFormatting>
  <conditionalFormatting sqref="B1:B1048576">
    <cfRule type="duplicateValues" dxfId="955" priority="1"/>
    <cfRule type="duplicateValues" dxfId="954" priority="3"/>
  </conditionalFormatting>
  <conditionalFormatting sqref="B3:B13">
    <cfRule type="duplicateValues" dxfId="953" priority="249909"/>
  </conditionalFormatting>
  <conditionalFormatting sqref="B13:B1048576">
    <cfRule type="duplicateValues" dxfId="952" priority="233796"/>
    <cfRule type="duplicateValues" dxfId="951" priority="233797"/>
    <cfRule type="duplicateValues" dxfId="950" priority="233798"/>
    <cfRule type="duplicateValues" dxfId="949" priority="233799"/>
    <cfRule type="duplicateValues" dxfId="948" priority="233800"/>
    <cfRule type="duplicateValues" dxfId="947" priority="233801"/>
    <cfRule type="duplicateValues" dxfId="946" priority="233802"/>
    <cfRule type="duplicateValues" dxfId="945" priority="233803"/>
    <cfRule type="duplicateValues" dxfId="944" priority="233804"/>
    <cfRule type="duplicateValues" dxfId="943" priority="233805"/>
    <cfRule type="duplicateValues" dxfId="942" priority="233806"/>
    <cfRule type="duplicateValues" dxfId="941" priority="233807"/>
    <cfRule type="duplicateValues" dxfId="940" priority="233808"/>
    <cfRule type="duplicateValues" dxfId="939" priority="233809"/>
    <cfRule type="duplicateValues" dxfId="938" priority="233810"/>
    <cfRule type="duplicateValues" dxfId="937" priority="233811"/>
    <cfRule type="duplicateValues" dxfId="936" priority="233812"/>
    <cfRule type="duplicateValues" dxfId="935" priority="233813"/>
    <cfRule type="duplicateValues" dxfId="934" priority="233814"/>
    <cfRule type="duplicateValues" dxfId="933" priority="233815"/>
    <cfRule type="duplicateValues" dxfId="932" priority="233816"/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3440-7387-4DC4-BF3D-CF34A6DFDA1C}">
  <dimension ref="A1:K12"/>
  <sheetViews>
    <sheetView workbookViewId="0">
      <selection activeCell="H4" sqref="H4:K4"/>
    </sheetView>
  </sheetViews>
  <sheetFormatPr defaultRowHeight="14.4"/>
  <cols>
    <col min="1" max="1" width="3.88671875" bestFit="1" customWidth="1"/>
    <col min="2" max="2" width="12.6640625" customWidth="1"/>
    <col min="3" max="3" width="7.5546875" customWidth="1"/>
    <col min="4" max="4" width="13.5546875" customWidth="1"/>
    <col min="5" max="5" width="13.21875" style="42" customWidth="1"/>
    <col min="6" max="6" width="14" customWidth="1"/>
    <col min="7" max="7" width="13.88671875" customWidth="1"/>
    <col min="8" max="8" width="11.33203125" customWidth="1"/>
    <col min="9" max="9" width="9.88671875" customWidth="1"/>
    <col min="10" max="10" width="11.88671875" customWidth="1"/>
    <col min="11" max="11" width="25" customWidth="1"/>
  </cols>
  <sheetData>
    <row r="1" spans="1:11" ht="24.6">
      <c r="A1" s="359" t="s">
        <v>113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</row>
    <row r="2" spans="1:11" ht="15">
      <c r="A2" s="311" t="s">
        <v>221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</row>
    <row r="3" spans="1:11" ht="15" customHeight="1">
      <c r="A3" s="147" t="s">
        <v>22</v>
      </c>
      <c r="B3" s="148" t="s">
        <v>13</v>
      </c>
      <c r="C3" s="148" t="s">
        <v>26</v>
      </c>
      <c r="D3" s="148" t="s">
        <v>14</v>
      </c>
      <c r="E3" s="149" t="s">
        <v>28</v>
      </c>
      <c r="F3" s="150" t="s">
        <v>29</v>
      </c>
      <c r="G3" s="150" t="s">
        <v>43</v>
      </c>
      <c r="H3" s="148" t="s">
        <v>0</v>
      </c>
      <c r="I3" s="148" t="s">
        <v>1</v>
      </c>
      <c r="J3" s="148" t="s">
        <v>2</v>
      </c>
      <c r="K3" s="148" t="s">
        <v>19</v>
      </c>
    </row>
    <row r="4" spans="1:11">
      <c r="A4" s="1">
        <v>1</v>
      </c>
      <c r="B4" s="13"/>
      <c r="C4" s="8"/>
      <c r="D4" s="8"/>
      <c r="E4" s="43"/>
      <c r="F4" s="10">
        <f t="shared" ref="F4" si="0">E4*0.97</f>
        <v>0</v>
      </c>
      <c r="G4" s="9">
        <f t="shared" ref="G4" si="1">E4*0.94</f>
        <v>0</v>
      </c>
      <c r="H4" s="8"/>
      <c r="I4" s="8"/>
      <c r="J4" s="8"/>
      <c r="K4" s="8"/>
    </row>
    <row r="5" spans="1:11">
      <c r="A5" s="42"/>
      <c r="E5"/>
    </row>
    <row r="6" spans="1:11">
      <c r="A6" s="42"/>
      <c r="E6"/>
    </row>
    <row r="7" spans="1:11">
      <c r="A7" s="42"/>
      <c r="E7"/>
    </row>
    <row r="8" spans="1:11">
      <c r="A8" s="42"/>
      <c r="E8"/>
    </row>
    <row r="9" spans="1:11">
      <c r="A9" s="42"/>
      <c r="E9"/>
    </row>
    <row r="10" spans="1:11">
      <c r="A10" s="42"/>
      <c r="E10"/>
    </row>
    <row r="11" spans="1:11">
      <c r="A11" s="42"/>
      <c r="E11"/>
    </row>
    <row r="12" spans="1:11">
      <c r="A12" s="42"/>
      <c r="E12"/>
    </row>
  </sheetData>
  <mergeCells count="2">
    <mergeCell ref="A1:K1"/>
    <mergeCell ref="A2:K2"/>
  </mergeCells>
  <conditionalFormatting sqref="B1:B4">
    <cfRule type="duplicateValues" dxfId="931" priority="226895"/>
    <cfRule type="duplicateValues" dxfId="930" priority="226896"/>
    <cfRule type="duplicateValues" dxfId="929" priority="226897"/>
    <cfRule type="duplicateValues" dxfId="928" priority="226898"/>
    <cfRule type="duplicateValues" dxfId="927" priority="226899"/>
  </conditionalFormatting>
  <conditionalFormatting sqref="B1:B1048576">
    <cfRule type="duplicateValues" dxfId="926" priority="22"/>
    <cfRule type="duplicateValues" dxfId="925" priority="196240"/>
    <cfRule type="duplicateValues" dxfId="924" priority="196241"/>
    <cfRule type="duplicateValues" dxfId="923" priority="196242"/>
    <cfRule type="duplicateValues" dxfId="922" priority="196243"/>
    <cfRule type="duplicateValues" dxfId="921" priority="196244"/>
    <cfRule type="duplicateValues" dxfId="920" priority="196245"/>
    <cfRule type="duplicateValues" dxfId="919" priority="196246"/>
  </conditionalFormatting>
  <conditionalFormatting sqref="B5:B1048576">
    <cfRule type="duplicateValues" dxfId="918" priority="196261"/>
  </conditionalFormatting>
  <conditionalFormatting sqref="B13:B1048576 B1:B4">
    <cfRule type="duplicateValues" dxfId="917" priority="27"/>
    <cfRule type="duplicateValues" dxfId="916" priority="31"/>
    <cfRule type="duplicateValues" dxfId="915" priority="48"/>
    <cfRule type="duplicateValues" dxfId="914" priority="49"/>
    <cfRule type="duplicateValues" dxfId="913" priority="51"/>
    <cfRule type="duplicateValues" dxfId="912" priority="52"/>
    <cfRule type="duplicateValues" dxfId="911" priority="53"/>
    <cfRule type="duplicateValues" dxfId="910" priority="54"/>
    <cfRule type="duplicateValues" dxfId="909" priority="55"/>
    <cfRule type="duplicateValues" dxfId="908" priority="56"/>
    <cfRule type="duplicateValues" dxfId="907" priority="57"/>
    <cfRule type="duplicateValues" dxfId="906" priority="58"/>
    <cfRule type="duplicateValues" dxfId="905" priority="59"/>
    <cfRule type="duplicateValues" dxfId="904" priority="60"/>
    <cfRule type="duplicateValues" dxfId="903" priority="61"/>
    <cfRule type="duplicateValues" dxfId="902" priority="62"/>
    <cfRule type="duplicateValues" dxfId="901" priority="63"/>
    <cfRule type="duplicateValues" dxfId="900" priority="11563"/>
    <cfRule type="duplicateValues" dxfId="899" priority="11564"/>
    <cfRule type="duplicateValues" dxfId="898" priority="11567"/>
    <cfRule type="duplicateValues" dxfId="897" priority="11568"/>
    <cfRule type="duplicateValues" dxfId="896" priority="11569"/>
    <cfRule type="duplicateValues" dxfId="895" priority="11570"/>
    <cfRule type="duplicateValues" dxfId="894" priority="11613"/>
  </conditionalFormatting>
  <conditionalFormatting sqref="B13:B1048576">
    <cfRule type="duplicateValues" dxfId="893" priority="29"/>
    <cfRule type="duplicateValues" dxfId="892" priority="44"/>
    <cfRule type="duplicateValues" dxfId="891" priority="45"/>
    <cfRule type="duplicateValues" dxfId="890" priority="46"/>
    <cfRule type="duplicateValues" dxfId="889" priority="47"/>
    <cfRule type="duplicateValues" dxfId="888" priority="50"/>
    <cfRule type="duplicateValues" dxfId="887" priority="11575"/>
    <cfRule type="duplicateValues" dxfId="886" priority="11576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2A59-9CFF-4078-9A85-1EB5777A9614}">
  <dimension ref="A1:J328"/>
  <sheetViews>
    <sheetView zoomScaleNormal="100" workbookViewId="0">
      <selection sqref="A1:J1"/>
    </sheetView>
  </sheetViews>
  <sheetFormatPr defaultColWidth="9" defaultRowHeight="14.4"/>
  <cols>
    <col min="1" max="1" width="3.88671875" bestFit="1" customWidth="1"/>
    <col min="2" max="2" width="12.109375" style="163" customWidth="1"/>
    <col min="3" max="3" width="5.6640625" style="163" customWidth="1"/>
    <col min="4" max="4" width="11.44140625" style="163" customWidth="1"/>
    <col min="5" max="5" width="14.109375" style="231" customWidth="1"/>
    <col min="6" max="6" width="13.21875" style="231" customWidth="1"/>
    <col min="7" max="7" width="11.109375" customWidth="1"/>
    <col min="8" max="8" width="10.109375" customWidth="1"/>
    <col min="9" max="9" width="11.6640625" customWidth="1"/>
    <col min="10" max="10" width="68.109375" customWidth="1"/>
  </cols>
  <sheetData>
    <row r="1" spans="1:10" ht="25.8">
      <c r="A1" s="274" t="s">
        <v>673</v>
      </c>
      <c r="B1" s="274"/>
      <c r="C1" s="274"/>
      <c r="D1" s="274"/>
      <c r="E1" s="274"/>
      <c r="F1" s="274"/>
      <c r="G1" s="274"/>
      <c r="H1" s="274"/>
      <c r="I1" s="274"/>
      <c r="J1" s="274"/>
    </row>
    <row r="2" spans="1:10" ht="15.6">
      <c r="A2" s="284" t="s">
        <v>677</v>
      </c>
      <c r="B2" s="284"/>
      <c r="C2" s="284"/>
      <c r="D2" s="284"/>
      <c r="E2" s="284"/>
      <c r="F2" s="284"/>
      <c r="G2" s="284"/>
      <c r="H2" s="284"/>
      <c r="I2" s="284"/>
      <c r="J2" s="284"/>
    </row>
    <row r="3" spans="1:10" s="22" customFormat="1">
      <c r="A3" s="37" t="s">
        <v>22</v>
      </c>
      <c r="B3" s="35" t="s">
        <v>13</v>
      </c>
      <c r="C3" s="35" t="s">
        <v>26</v>
      </c>
      <c r="D3" s="35" t="s">
        <v>14</v>
      </c>
      <c r="E3" s="36" t="s">
        <v>28</v>
      </c>
      <c r="F3" s="36" t="s">
        <v>43</v>
      </c>
      <c r="G3" s="35" t="s">
        <v>0</v>
      </c>
      <c r="H3" s="35" t="s">
        <v>1</v>
      </c>
      <c r="I3" s="35" t="s">
        <v>2</v>
      </c>
      <c r="J3" s="35" t="s">
        <v>19</v>
      </c>
    </row>
    <row r="4" spans="1:10">
      <c r="A4" s="1">
        <v>1</v>
      </c>
      <c r="B4" s="13" t="s">
        <v>4525</v>
      </c>
      <c r="C4" s="8" t="s">
        <v>7</v>
      </c>
      <c r="D4" s="12" t="s">
        <v>36</v>
      </c>
      <c r="E4" s="11">
        <v>1142999</v>
      </c>
      <c r="F4" s="9">
        <f t="shared" ref="F4:F5" si="0">E4*0.94</f>
        <v>1074419.0599999998</v>
      </c>
      <c r="G4" s="8">
        <v>892.54</v>
      </c>
      <c r="H4" s="8">
        <v>591.37</v>
      </c>
      <c r="I4" s="8">
        <v>301.17</v>
      </c>
      <c r="J4" s="8" t="s">
        <v>4526</v>
      </c>
    </row>
    <row r="5" spans="1:10">
      <c r="A5" s="1">
        <v>2</v>
      </c>
      <c r="B5" s="13" t="s">
        <v>1225</v>
      </c>
      <c r="C5" s="1" t="s">
        <v>9</v>
      </c>
      <c r="D5" s="1" t="s">
        <v>36</v>
      </c>
      <c r="E5" s="11">
        <v>1074999</v>
      </c>
      <c r="F5" s="9">
        <f t="shared" si="0"/>
        <v>1010499.0599999999</v>
      </c>
      <c r="G5" s="1">
        <v>706.11</v>
      </c>
      <c r="H5" s="1">
        <v>531.74</v>
      </c>
      <c r="I5" s="1">
        <v>174.38</v>
      </c>
      <c r="J5" s="1" t="s">
        <v>39</v>
      </c>
    </row>
    <row r="6" spans="1:10">
      <c r="E6" s="163"/>
      <c r="F6" s="163"/>
    </row>
    <row r="7" spans="1:10">
      <c r="E7" s="163"/>
      <c r="F7" s="163"/>
    </row>
    <row r="8" spans="1:10">
      <c r="E8" s="163"/>
      <c r="F8" s="163"/>
    </row>
    <row r="9" spans="1:10">
      <c r="E9" s="163"/>
      <c r="F9" s="163"/>
    </row>
    <row r="10" spans="1:10">
      <c r="E10" s="163"/>
      <c r="F10" s="163"/>
    </row>
    <row r="11" spans="1:10">
      <c r="E11" s="163"/>
      <c r="F11" s="163"/>
    </row>
    <row r="12" spans="1:10">
      <c r="E12" s="163"/>
      <c r="F12" s="163"/>
    </row>
    <row r="13" spans="1:10">
      <c r="E13" s="163"/>
      <c r="F13" s="163"/>
    </row>
    <row r="14" spans="1:10">
      <c r="E14" s="163"/>
      <c r="F14" s="163"/>
    </row>
    <row r="15" spans="1:10">
      <c r="E15" s="163"/>
      <c r="F15" s="163"/>
    </row>
    <row r="16" spans="1:10">
      <c r="E16" s="163"/>
      <c r="F16" s="163"/>
    </row>
    <row r="17" spans="5:6">
      <c r="E17" s="163"/>
      <c r="F17" s="163"/>
    </row>
    <row r="18" spans="5:6">
      <c r="E18" s="163"/>
      <c r="F18" s="163"/>
    </row>
    <row r="19" spans="5:6">
      <c r="E19" s="163"/>
      <c r="F19" s="163"/>
    </row>
    <row r="20" spans="5:6">
      <c r="E20" s="163"/>
      <c r="F20" s="163"/>
    </row>
    <row r="21" spans="5:6">
      <c r="E21" s="163"/>
      <c r="F21" s="163"/>
    </row>
    <row r="22" spans="5:6">
      <c r="E22" s="163"/>
      <c r="F22" s="163"/>
    </row>
    <row r="23" spans="5:6">
      <c r="E23" s="163"/>
      <c r="F23" s="163"/>
    </row>
    <row r="24" spans="5:6">
      <c r="E24" s="163"/>
      <c r="F24" s="163"/>
    </row>
    <row r="25" spans="5:6">
      <c r="E25" s="163"/>
      <c r="F25" s="163"/>
    </row>
    <row r="26" spans="5:6">
      <c r="E26" s="163"/>
      <c r="F26" s="163"/>
    </row>
    <row r="27" spans="5:6">
      <c r="E27" s="163"/>
      <c r="F27" s="163"/>
    </row>
    <row r="28" spans="5:6">
      <c r="E28" s="163"/>
      <c r="F28" s="163"/>
    </row>
    <row r="29" spans="5:6">
      <c r="E29" s="163"/>
      <c r="F29" s="163"/>
    </row>
    <row r="30" spans="5:6">
      <c r="E30" s="163"/>
      <c r="F30" s="163"/>
    </row>
    <row r="31" spans="5:6">
      <c r="E31" s="163"/>
      <c r="F31" s="163"/>
    </row>
    <row r="32" spans="5:6">
      <c r="E32" s="163"/>
      <c r="F32" s="163"/>
    </row>
    <row r="33" spans="5:6">
      <c r="E33" s="163"/>
      <c r="F33" s="163"/>
    </row>
    <row r="34" spans="5:6">
      <c r="E34" s="163"/>
      <c r="F34" s="163"/>
    </row>
    <row r="35" spans="5:6">
      <c r="E35" s="163"/>
      <c r="F35" s="163"/>
    </row>
    <row r="36" spans="5:6">
      <c r="E36" s="163"/>
      <c r="F36" s="163"/>
    </row>
    <row r="37" spans="5:6">
      <c r="E37" s="163"/>
      <c r="F37" s="163"/>
    </row>
    <row r="38" spans="5:6">
      <c r="E38" s="163"/>
      <c r="F38" s="163"/>
    </row>
    <row r="39" spans="5:6">
      <c r="E39" s="163"/>
      <c r="F39" s="163"/>
    </row>
    <row r="40" spans="5:6">
      <c r="E40" s="163"/>
      <c r="F40" s="163"/>
    </row>
    <row r="41" spans="5:6">
      <c r="E41" s="163"/>
      <c r="F41" s="163"/>
    </row>
    <row r="42" spans="5:6">
      <c r="E42" s="163"/>
      <c r="F42" s="163"/>
    </row>
    <row r="43" spans="5:6">
      <c r="E43" s="163"/>
      <c r="F43" s="163"/>
    </row>
    <row r="44" spans="5:6">
      <c r="E44" s="163"/>
      <c r="F44" s="163"/>
    </row>
    <row r="45" spans="5:6">
      <c r="E45" s="163"/>
      <c r="F45" s="163"/>
    </row>
    <row r="46" spans="5:6">
      <c r="E46" s="163"/>
      <c r="F46" s="163"/>
    </row>
    <row r="47" spans="5:6">
      <c r="E47" s="163"/>
      <c r="F47" s="163"/>
    </row>
    <row r="48" spans="5:6">
      <c r="E48" s="163"/>
      <c r="F48" s="163"/>
    </row>
    <row r="49" spans="5:6">
      <c r="E49" s="163"/>
      <c r="F49" s="163"/>
    </row>
    <row r="50" spans="5:6">
      <c r="E50" s="163"/>
      <c r="F50" s="163"/>
    </row>
    <row r="51" spans="5:6">
      <c r="E51" s="163"/>
      <c r="F51" s="163"/>
    </row>
    <row r="52" spans="5:6">
      <c r="E52" s="163"/>
      <c r="F52" s="163"/>
    </row>
    <row r="53" spans="5:6">
      <c r="E53" s="163"/>
      <c r="F53" s="163"/>
    </row>
    <row r="54" spans="5:6">
      <c r="E54" s="163"/>
      <c r="F54" s="163"/>
    </row>
    <row r="55" spans="5:6">
      <c r="E55" s="163"/>
      <c r="F55" s="163"/>
    </row>
    <row r="56" spans="5:6">
      <c r="E56" s="163"/>
      <c r="F56" s="163"/>
    </row>
    <row r="57" spans="5:6">
      <c r="E57" s="163"/>
      <c r="F57" s="163"/>
    </row>
    <row r="58" spans="5:6">
      <c r="E58" s="163"/>
      <c r="F58" s="163"/>
    </row>
    <row r="59" spans="5:6">
      <c r="E59" s="163"/>
      <c r="F59" s="163"/>
    </row>
    <row r="60" spans="5:6">
      <c r="E60" s="163"/>
      <c r="F60" s="163"/>
    </row>
    <row r="61" spans="5:6">
      <c r="E61" s="163"/>
      <c r="F61" s="163"/>
    </row>
    <row r="62" spans="5:6">
      <c r="E62" s="163"/>
      <c r="F62" s="163"/>
    </row>
    <row r="63" spans="5:6">
      <c r="E63" s="163"/>
      <c r="F63" s="163"/>
    </row>
    <row r="64" spans="5:6">
      <c r="E64" s="163"/>
      <c r="F64" s="163"/>
    </row>
    <row r="65" spans="5:6">
      <c r="E65" s="163"/>
      <c r="F65" s="163"/>
    </row>
    <row r="66" spans="5:6">
      <c r="E66" s="163"/>
      <c r="F66" s="163"/>
    </row>
    <row r="67" spans="5:6">
      <c r="E67" s="163"/>
      <c r="F67" s="163"/>
    </row>
    <row r="68" spans="5:6">
      <c r="E68" s="163"/>
      <c r="F68" s="163"/>
    </row>
    <row r="69" spans="5:6">
      <c r="E69" s="163"/>
      <c r="F69" s="163"/>
    </row>
    <row r="70" spans="5:6">
      <c r="E70" s="163"/>
      <c r="F70" s="163"/>
    </row>
    <row r="71" spans="5:6">
      <c r="E71" s="163"/>
      <c r="F71" s="163"/>
    </row>
    <row r="72" spans="5:6">
      <c r="E72" s="163"/>
      <c r="F72" s="163"/>
    </row>
    <row r="73" spans="5:6">
      <c r="E73" s="163"/>
      <c r="F73" s="163"/>
    </row>
    <row r="74" spans="5:6">
      <c r="E74" s="163"/>
      <c r="F74" s="163"/>
    </row>
    <row r="75" spans="5:6">
      <c r="E75" s="163"/>
      <c r="F75" s="163"/>
    </row>
    <row r="76" spans="5:6">
      <c r="E76" s="163"/>
      <c r="F76" s="163"/>
    </row>
    <row r="77" spans="5:6">
      <c r="E77" s="163"/>
      <c r="F77" s="163"/>
    </row>
    <row r="78" spans="5:6">
      <c r="E78" s="163"/>
      <c r="F78" s="163"/>
    </row>
    <row r="79" spans="5:6">
      <c r="E79" s="163"/>
      <c r="F79" s="163"/>
    </row>
    <row r="80" spans="5:6">
      <c r="E80" s="163"/>
      <c r="F80" s="163"/>
    </row>
    <row r="81" spans="5:6">
      <c r="E81" s="163"/>
      <c r="F81" s="163"/>
    </row>
    <row r="82" spans="5:6">
      <c r="E82" s="163"/>
      <c r="F82" s="163"/>
    </row>
    <row r="83" spans="5:6">
      <c r="E83" s="163"/>
      <c r="F83" s="163"/>
    </row>
    <row r="84" spans="5:6">
      <c r="E84" s="163"/>
      <c r="F84" s="163"/>
    </row>
    <row r="85" spans="5:6">
      <c r="E85" s="163"/>
      <c r="F85" s="163"/>
    </row>
    <row r="86" spans="5:6">
      <c r="E86" s="163"/>
      <c r="F86" s="163"/>
    </row>
    <row r="87" spans="5:6">
      <c r="E87" s="163"/>
      <c r="F87" s="163"/>
    </row>
    <row r="88" spans="5:6">
      <c r="E88" s="163"/>
      <c r="F88" s="163"/>
    </row>
    <row r="89" spans="5:6">
      <c r="E89" s="163"/>
      <c r="F89" s="163"/>
    </row>
    <row r="90" spans="5:6">
      <c r="E90" s="163"/>
      <c r="F90" s="163"/>
    </row>
    <row r="91" spans="5:6">
      <c r="E91" s="163"/>
      <c r="F91" s="163"/>
    </row>
    <row r="92" spans="5:6">
      <c r="E92" s="163"/>
      <c r="F92" s="163"/>
    </row>
    <row r="93" spans="5:6">
      <c r="E93" s="163"/>
      <c r="F93" s="163"/>
    </row>
    <row r="94" spans="5:6">
      <c r="E94" s="163"/>
      <c r="F94" s="163"/>
    </row>
    <row r="95" spans="5:6">
      <c r="E95" s="163"/>
      <c r="F95" s="163"/>
    </row>
    <row r="96" spans="5:6">
      <c r="E96" s="163"/>
      <c r="F96" s="163"/>
    </row>
    <row r="97" spans="5:6">
      <c r="E97" s="163"/>
      <c r="F97" s="163"/>
    </row>
    <row r="98" spans="5:6">
      <c r="E98" s="163"/>
      <c r="F98" s="163"/>
    </row>
    <row r="99" spans="5:6">
      <c r="E99" s="163"/>
      <c r="F99" s="163"/>
    </row>
    <row r="100" spans="5:6">
      <c r="E100" s="163"/>
      <c r="F100" s="163"/>
    </row>
    <row r="101" spans="5:6">
      <c r="E101" s="163"/>
      <c r="F101" s="163"/>
    </row>
    <row r="102" spans="5:6">
      <c r="E102" s="163"/>
      <c r="F102" s="163"/>
    </row>
    <row r="103" spans="5:6">
      <c r="E103" s="163"/>
      <c r="F103" s="163"/>
    </row>
    <row r="104" spans="5:6">
      <c r="E104" s="163"/>
      <c r="F104" s="163"/>
    </row>
    <row r="105" spans="5:6">
      <c r="E105" s="163"/>
      <c r="F105" s="163"/>
    </row>
    <row r="106" spans="5:6">
      <c r="E106" s="163"/>
      <c r="F106" s="163"/>
    </row>
    <row r="107" spans="5:6">
      <c r="E107" s="163"/>
      <c r="F107" s="163"/>
    </row>
    <row r="108" spans="5:6">
      <c r="E108" s="163"/>
      <c r="F108" s="163"/>
    </row>
    <row r="109" spans="5:6">
      <c r="E109" s="163"/>
      <c r="F109" s="163"/>
    </row>
    <row r="110" spans="5:6">
      <c r="E110" s="163"/>
      <c r="F110" s="163"/>
    </row>
    <row r="111" spans="5:6">
      <c r="E111" s="163"/>
      <c r="F111" s="163"/>
    </row>
    <row r="112" spans="5:6">
      <c r="E112" s="163"/>
      <c r="F112" s="163"/>
    </row>
    <row r="113" spans="5:6">
      <c r="E113" s="163"/>
      <c r="F113" s="163"/>
    </row>
    <row r="114" spans="5:6">
      <c r="E114" s="163"/>
      <c r="F114" s="163"/>
    </row>
    <row r="115" spans="5:6">
      <c r="E115" s="163"/>
      <c r="F115" s="163"/>
    </row>
    <row r="116" spans="5:6">
      <c r="E116" s="163"/>
      <c r="F116" s="163"/>
    </row>
    <row r="117" spans="5:6">
      <c r="E117" s="163"/>
      <c r="F117" s="163"/>
    </row>
    <row r="118" spans="5:6">
      <c r="E118" s="163"/>
      <c r="F118" s="163"/>
    </row>
    <row r="119" spans="5:6">
      <c r="E119" s="163"/>
      <c r="F119" s="163"/>
    </row>
    <row r="120" spans="5:6">
      <c r="E120" s="163"/>
      <c r="F120" s="163"/>
    </row>
    <row r="121" spans="5:6">
      <c r="E121" s="163"/>
      <c r="F121" s="163"/>
    </row>
    <row r="122" spans="5:6">
      <c r="E122" s="163"/>
      <c r="F122" s="163"/>
    </row>
    <row r="123" spans="5:6">
      <c r="E123" s="163"/>
      <c r="F123" s="163"/>
    </row>
    <row r="124" spans="5:6">
      <c r="E124" s="163"/>
      <c r="F124" s="163"/>
    </row>
    <row r="125" spans="5:6">
      <c r="E125" s="163"/>
      <c r="F125" s="163"/>
    </row>
    <row r="126" spans="5:6">
      <c r="E126" s="163"/>
      <c r="F126" s="163"/>
    </row>
    <row r="127" spans="5:6">
      <c r="E127" s="163"/>
      <c r="F127" s="163"/>
    </row>
    <row r="128" spans="5:6">
      <c r="E128" s="163"/>
      <c r="F128" s="163"/>
    </row>
    <row r="129" spans="5:6">
      <c r="E129" s="163"/>
      <c r="F129" s="163"/>
    </row>
    <row r="130" spans="5:6">
      <c r="E130" s="163"/>
      <c r="F130" s="163"/>
    </row>
    <row r="131" spans="5:6">
      <c r="E131" s="163"/>
      <c r="F131" s="163"/>
    </row>
    <row r="132" spans="5:6">
      <c r="E132" s="163"/>
      <c r="F132" s="163"/>
    </row>
    <row r="133" spans="5:6">
      <c r="E133" s="163"/>
      <c r="F133" s="163"/>
    </row>
    <row r="134" spans="5:6">
      <c r="E134" s="163"/>
      <c r="F134" s="163"/>
    </row>
    <row r="135" spans="5:6">
      <c r="E135" s="163"/>
      <c r="F135" s="163"/>
    </row>
    <row r="136" spans="5:6">
      <c r="E136" s="163"/>
      <c r="F136" s="163"/>
    </row>
    <row r="137" spans="5:6">
      <c r="E137" s="163"/>
      <c r="F137" s="163"/>
    </row>
    <row r="138" spans="5:6">
      <c r="E138" s="163"/>
      <c r="F138" s="163"/>
    </row>
    <row r="139" spans="5:6">
      <c r="E139" s="163"/>
      <c r="F139" s="163"/>
    </row>
    <row r="140" spans="5:6">
      <c r="E140" s="163"/>
      <c r="F140" s="163"/>
    </row>
    <row r="141" spans="5:6">
      <c r="E141" s="163"/>
      <c r="F141" s="163"/>
    </row>
    <row r="142" spans="5:6">
      <c r="E142" s="163"/>
      <c r="F142" s="163"/>
    </row>
    <row r="143" spans="5:6">
      <c r="E143" s="163"/>
      <c r="F143" s="163"/>
    </row>
    <row r="144" spans="5:6">
      <c r="E144" s="163"/>
      <c r="F144" s="163"/>
    </row>
    <row r="145" spans="5:6">
      <c r="E145" s="163"/>
      <c r="F145" s="163"/>
    </row>
    <row r="146" spans="5:6">
      <c r="E146" s="163"/>
      <c r="F146" s="163"/>
    </row>
    <row r="147" spans="5:6">
      <c r="E147" s="163"/>
      <c r="F147" s="163"/>
    </row>
    <row r="148" spans="5:6">
      <c r="E148" s="163"/>
      <c r="F148" s="163"/>
    </row>
    <row r="149" spans="5:6">
      <c r="E149" s="163"/>
      <c r="F149" s="163"/>
    </row>
    <row r="150" spans="5:6">
      <c r="E150" s="163"/>
      <c r="F150" s="163"/>
    </row>
    <row r="151" spans="5:6">
      <c r="E151" s="163"/>
      <c r="F151" s="163"/>
    </row>
    <row r="152" spans="5:6">
      <c r="E152" s="163"/>
      <c r="F152" s="163"/>
    </row>
    <row r="153" spans="5:6">
      <c r="E153" s="163"/>
      <c r="F153" s="163"/>
    </row>
    <row r="154" spans="5:6">
      <c r="E154" s="163"/>
      <c r="F154" s="163"/>
    </row>
    <row r="155" spans="5:6">
      <c r="E155" s="163"/>
      <c r="F155" s="163"/>
    </row>
    <row r="156" spans="5:6">
      <c r="E156" s="163"/>
      <c r="F156" s="163"/>
    </row>
    <row r="157" spans="5:6">
      <c r="E157" s="163"/>
      <c r="F157" s="163"/>
    </row>
    <row r="158" spans="5:6">
      <c r="E158" s="163"/>
      <c r="F158" s="163"/>
    </row>
    <row r="159" spans="5:6">
      <c r="E159" s="163"/>
      <c r="F159" s="163"/>
    </row>
    <row r="160" spans="5:6">
      <c r="E160" s="163"/>
      <c r="F160" s="163"/>
    </row>
    <row r="161" spans="5:6">
      <c r="E161" s="163"/>
      <c r="F161" s="163"/>
    </row>
    <row r="162" spans="5:6">
      <c r="E162" s="163"/>
      <c r="F162" s="163"/>
    </row>
    <row r="163" spans="5:6">
      <c r="E163" s="163"/>
      <c r="F163" s="163"/>
    </row>
    <row r="164" spans="5:6">
      <c r="E164" s="163"/>
      <c r="F164" s="163"/>
    </row>
    <row r="165" spans="5:6">
      <c r="E165" s="163"/>
      <c r="F165" s="163"/>
    </row>
    <row r="166" spans="5:6">
      <c r="E166" s="163"/>
      <c r="F166" s="163"/>
    </row>
    <row r="167" spans="5:6">
      <c r="E167" s="163"/>
      <c r="F167" s="163"/>
    </row>
    <row r="168" spans="5:6">
      <c r="E168" s="163"/>
      <c r="F168" s="163"/>
    </row>
    <row r="169" spans="5:6">
      <c r="E169" s="163"/>
      <c r="F169" s="163"/>
    </row>
    <row r="170" spans="5:6">
      <c r="E170" s="163"/>
      <c r="F170" s="163"/>
    </row>
    <row r="171" spans="5:6">
      <c r="E171" s="163"/>
      <c r="F171" s="163"/>
    </row>
    <row r="172" spans="5:6">
      <c r="E172" s="163"/>
      <c r="F172" s="163"/>
    </row>
    <row r="173" spans="5:6">
      <c r="E173" s="163"/>
      <c r="F173" s="163"/>
    </row>
    <row r="174" spans="5:6">
      <c r="E174" s="163"/>
      <c r="F174" s="163"/>
    </row>
    <row r="175" spans="5:6">
      <c r="E175" s="163"/>
      <c r="F175" s="163"/>
    </row>
    <row r="176" spans="5:6">
      <c r="E176" s="163"/>
      <c r="F176" s="163"/>
    </row>
    <row r="177" spans="5:6">
      <c r="E177" s="163"/>
      <c r="F177" s="163"/>
    </row>
    <row r="178" spans="5:6">
      <c r="E178" s="163"/>
      <c r="F178" s="163"/>
    </row>
    <row r="179" spans="5:6">
      <c r="E179" s="163"/>
      <c r="F179" s="163"/>
    </row>
    <row r="180" spans="5:6">
      <c r="E180" s="163"/>
      <c r="F180" s="163"/>
    </row>
    <row r="181" spans="5:6">
      <c r="E181" s="163"/>
      <c r="F181" s="163"/>
    </row>
    <row r="182" spans="5:6">
      <c r="E182" s="163"/>
      <c r="F182" s="163"/>
    </row>
    <row r="183" spans="5:6">
      <c r="E183" s="163"/>
      <c r="F183" s="163"/>
    </row>
    <row r="184" spans="5:6">
      <c r="E184" s="163"/>
      <c r="F184" s="163"/>
    </row>
    <row r="185" spans="5:6">
      <c r="E185" s="163"/>
      <c r="F185" s="163"/>
    </row>
    <row r="186" spans="5:6">
      <c r="E186" s="163"/>
      <c r="F186" s="163"/>
    </row>
    <row r="187" spans="5:6">
      <c r="E187" s="163"/>
      <c r="F187" s="163"/>
    </row>
    <row r="188" spans="5:6">
      <c r="E188" s="163"/>
      <c r="F188" s="163"/>
    </row>
    <row r="189" spans="5:6">
      <c r="E189" s="163"/>
      <c r="F189" s="163"/>
    </row>
    <row r="190" spans="5:6">
      <c r="E190" s="163"/>
      <c r="F190" s="163"/>
    </row>
    <row r="191" spans="5:6">
      <c r="E191" s="163"/>
      <c r="F191" s="163"/>
    </row>
    <row r="192" spans="5:6">
      <c r="E192" s="163"/>
      <c r="F192" s="163"/>
    </row>
    <row r="193" spans="5:6">
      <c r="E193" s="163"/>
      <c r="F193" s="163"/>
    </row>
    <row r="194" spans="5:6">
      <c r="E194" s="163"/>
      <c r="F194" s="163"/>
    </row>
    <row r="195" spans="5:6">
      <c r="E195" s="163"/>
      <c r="F195" s="163"/>
    </row>
    <row r="196" spans="5:6">
      <c r="E196" s="163"/>
      <c r="F196" s="163"/>
    </row>
    <row r="197" spans="5:6">
      <c r="E197" s="163"/>
      <c r="F197" s="163"/>
    </row>
    <row r="198" spans="5:6">
      <c r="E198" s="163"/>
      <c r="F198" s="163"/>
    </row>
    <row r="199" spans="5:6">
      <c r="E199" s="163"/>
      <c r="F199" s="163"/>
    </row>
    <row r="200" spans="5:6">
      <c r="E200" s="163"/>
      <c r="F200" s="163"/>
    </row>
    <row r="201" spans="5:6">
      <c r="E201" s="163"/>
      <c r="F201" s="163"/>
    </row>
    <row r="202" spans="5:6">
      <c r="E202" s="163"/>
      <c r="F202" s="163"/>
    </row>
    <row r="203" spans="5:6">
      <c r="E203" s="163"/>
      <c r="F203" s="163"/>
    </row>
    <row r="204" spans="5:6">
      <c r="E204" s="163"/>
      <c r="F204" s="163"/>
    </row>
    <row r="205" spans="5:6">
      <c r="E205" s="163"/>
      <c r="F205" s="163"/>
    </row>
    <row r="206" spans="5:6">
      <c r="E206" s="163"/>
      <c r="F206" s="163"/>
    </row>
    <row r="207" spans="5:6">
      <c r="E207" s="163"/>
      <c r="F207" s="163"/>
    </row>
    <row r="208" spans="5:6">
      <c r="E208" s="163"/>
      <c r="F208" s="163"/>
    </row>
    <row r="209" spans="5:6">
      <c r="E209" s="163"/>
      <c r="F209" s="163"/>
    </row>
    <row r="210" spans="5:6">
      <c r="E210" s="163"/>
      <c r="F210" s="163"/>
    </row>
    <row r="211" spans="5:6">
      <c r="E211" s="163"/>
      <c r="F211" s="163"/>
    </row>
    <row r="212" spans="5:6">
      <c r="E212" s="163"/>
      <c r="F212" s="163"/>
    </row>
    <row r="213" spans="5:6">
      <c r="E213" s="163"/>
      <c r="F213" s="163"/>
    </row>
    <row r="214" spans="5:6">
      <c r="E214" s="163"/>
      <c r="F214" s="163"/>
    </row>
    <row r="215" spans="5:6">
      <c r="E215" s="163"/>
      <c r="F215" s="163"/>
    </row>
    <row r="216" spans="5:6">
      <c r="E216" s="163"/>
      <c r="F216" s="163"/>
    </row>
    <row r="217" spans="5:6">
      <c r="E217" s="163"/>
      <c r="F217" s="163"/>
    </row>
    <row r="218" spans="5:6">
      <c r="E218" s="163"/>
      <c r="F218" s="163"/>
    </row>
    <row r="219" spans="5:6">
      <c r="E219" s="163"/>
      <c r="F219" s="163"/>
    </row>
    <row r="220" spans="5:6">
      <c r="E220" s="163"/>
      <c r="F220" s="163"/>
    </row>
    <row r="221" spans="5:6">
      <c r="E221" s="163"/>
      <c r="F221" s="163"/>
    </row>
    <row r="222" spans="5:6">
      <c r="E222" s="163"/>
      <c r="F222" s="163"/>
    </row>
    <row r="223" spans="5:6">
      <c r="E223" s="163"/>
      <c r="F223" s="163"/>
    </row>
    <row r="224" spans="5:6">
      <c r="E224" s="163"/>
      <c r="F224" s="163"/>
    </row>
    <row r="225" spans="5:6">
      <c r="E225" s="163"/>
      <c r="F225" s="163"/>
    </row>
    <row r="226" spans="5:6">
      <c r="E226" s="163"/>
      <c r="F226" s="163"/>
    </row>
    <row r="227" spans="5:6">
      <c r="E227" s="163"/>
      <c r="F227" s="163"/>
    </row>
    <row r="228" spans="5:6">
      <c r="E228" s="163"/>
      <c r="F228" s="163"/>
    </row>
    <row r="229" spans="5:6">
      <c r="E229" s="163"/>
      <c r="F229" s="163"/>
    </row>
    <row r="230" spans="5:6">
      <c r="E230" s="163"/>
      <c r="F230" s="163"/>
    </row>
    <row r="231" spans="5:6">
      <c r="E231" s="163"/>
      <c r="F231" s="163"/>
    </row>
    <row r="232" spans="5:6">
      <c r="E232" s="163"/>
      <c r="F232" s="163"/>
    </row>
    <row r="233" spans="5:6">
      <c r="E233" s="163"/>
      <c r="F233" s="163"/>
    </row>
    <row r="234" spans="5:6">
      <c r="E234" s="163"/>
      <c r="F234" s="163"/>
    </row>
    <row r="235" spans="5:6">
      <c r="E235" s="163"/>
      <c r="F235" s="163"/>
    </row>
    <row r="236" spans="5:6">
      <c r="E236" s="163"/>
      <c r="F236" s="163"/>
    </row>
    <row r="237" spans="5:6">
      <c r="E237" s="163"/>
      <c r="F237" s="163"/>
    </row>
    <row r="238" spans="5:6">
      <c r="E238" s="163"/>
      <c r="F238" s="163"/>
    </row>
    <row r="239" spans="5:6">
      <c r="E239" s="163"/>
      <c r="F239" s="163"/>
    </row>
    <row r="240" spans="5:6">
      <c r="E240" s="163"/>
      <c r="F240" s="163"/>
    </row>
    <row r="241" spans="5:6">
      <c r="E241" s="163"/>
      <c r="F241" s="163"/>
    </row>
    <row r="242" spans="5:6">
      <c r="E242" s="163"/>
      <c r="F242" s="163"/>
    </row>
    <row r="243" spans="5:6">
      <c r="E243" s="163"/>
      <c r="F243" s="163"/>
    </row>
    <row r="244" spans="5:6">
      <c r="E244" s="163"/>
      <c r="F244" s="163"/>
    </row>
    <row r="245" spans="5:6">
      <c r="E245" s="163"/>
      <c r="F245" s="163"/>
    </row>
    <row r="246" spans="5:6">
      <c r="E246" s="163"/>
      <c r="F246" s="163"/>
    </row>
    <row r="247" spans="5:6">
      <c r="E247" s="163"/>
      <c r="F247" s="163"/>
    </row>
    <row r="248" spans="5:6">
      <c r="E248" s="163"/>
      <c r="F248" s="163"/>
    </row>
    <row r="249" spans="5:6">
      <c r="E249" s="163"/>
      <c r="F249" s="163"/>
    </row>
    <row r="250" spans="5:6">
      <c r="E250" s="163"/>
      <c r="F250" s="163"/>
    </row>
    <row r="251" spans="5:6">
      <c r="E251" s="163"/>
      <c r="F251" s="163"/>
    </row>
    <row r="252" spans="5:6">
      <c r="E252" s="163"/>
      <c r="F252" s="163"/>
    </row>
    <row r="253" spans="5:6">
      <c r="E253" s="163"/>
      <c r="F253" s="163"/>
    </row>
    <row r="254" spans="5:6">
      <c r="E254" s="163"/>
      <c r="F254" s="163"/>
    </row>
    <row r="255" spans="5:6">
      <c r="E255" s="163"/>
      <c r="F255" s="163"/>
    </row>
    <row r="256" spans="5:6">
      <c r="E256" s="163"/>
      <c r="F256" s="163"/>
    </row>
    <row r="257" spans="5:6">
      <c r="E257" s="163"/>
      <c r="F257" s="163"/>
    </row>
    <row r="258" spans="5:6">
      <c r="E258" s="163"/>
      <c r="F258" s="163"/>
    </row>
    <row r="259" spans="5:6">
      <c r="E259" s="163"/>
      <c r="F259" s="163"/>
    </row>
    <row r="260" spans="5:6">
      <c r="E260" s="163"/>
      <c r="F260" s="163"/>
    </row>
    <row r="261" spans="5:6">
      <c r="E261" s="163"/>
      <c r="F261" s="163"/>
    </row>
    <row r="262" spans="5:6">
      <c r="E262" s="163"/>
      <c r="F262" s="163"/>
    </row>
    <row r="263" spans="5:6">
      <c r="E263" s="163"/>
      <c r="F263" s="163"/>
    </row>
    <row r="264" spans="5:6">
      <c r="E264" s="163"/>
      <c r="F264" s="163"/>
    </row>
    <row r="265" spans="5:6">
      <c r="E265" s="163"/>
      <c r="F265" s="163"/>
    </row>
    <row r="266" spans="5:6">
      <c r="E266" s="163"/>
      <c r="F266" s="163"/>
    </row>
    <row r="267" spans="5:6">
      <c r="E267" s="163"/>
      <c r="F267" s="163"/>
    </row>
    <row r="268" spans="5:6">
      <c r="E268" s="163"/>
      <c r="F268" s="163"/>
    </row>
    <row r="269" spans="5:6">
      <c r="E269" s="163"/>
      <c r="F269" s="163"/>
    </row>
    <row r="270" spans="5:6">
      <c r="E270" s="163"/>
      <c r="F270" s="163"/>
    </row>
    <row r="271" spans="5:6">
      <c r="E271" s="163"/>
      <c r="F271" s="163"/>
    </row>
    <row r="272" spans="5:6">
      <c r="E272" s="163"/>
      <c r="F272" s="163"/>
    </row>
    <row r="273" spans="5:6">
      <c r="E273" s="163"/>
      <c r="F273" s="163"/>
    </row>
    <row r="274" spans="5:6">
      <c r="E274" s="163"/>
      <c r="F274" s="163"/>
    </row>
    <row r="275" spans="5:6">
      <c r="E275" s="163"/>
      <c r="F275" s="163"/>
    </row>
    <row r="276" spans="5:6">
      <c r="E276" s="163"/>
      <c r="F276" s="163"/>
    </row>
    <row r="277" spans="5:6">
      <c r="E277" s="163"/>
      <c r="F277" s="163"/>
    </row>
    <row r="278" spans="5:6">
      <c r="E278" s="163"/>
      <c r="F278" s="163"/>
    </row>
    <row r="279" spans="5:6">
      <c r="E279" s="163"/>
      <c r="F279" s="163"/>
    </row>
    <row r="280" spans="5:6">
      <c r="E280" s="163"/>
      <c r="F280" s="163"/>
    </row>
    <row r="281" spans="5:6">
      <c r="E281" s="163"/>
      <c r="F281" s="163"/>
    </row>
    <row r="282" spans="5:6">
      <c r="E282" s="163"/>
      <c r="F282" s="163"/>
    </row>
    <row r="283" spans="5:6">
      <c r="E283" s="163"/>
      <c r="F283" s="163"/>
    </row>
    <row r="284" spans="5:6">
      <c r="E284" s="163"/>
      <c r="F284" s="163"/>
    </row>
    <row r="285" spans="5:6">
      <c r="E285" s="163"/>
      <c r="F285" s="163"/>
    </row>
    <row r="286" spans="5:6">
      <c r="E286" s="163"/>
      <c r="F286" s="163"/>
    </row>
    <row r="287" spans="5:6">
      <c r="E287" s="163"/>
      <c r="F287" s="163"/>
    </row>
    <row r="288" spans="5:6">
      <c r="E288" s="163"/>
      <c r="F288" s="163"/>
    </row>
    <row r="289" spans="5:6">
      <c r="E289" s="163"/>
      <c r="F289" s="163"/>
    </row>
    <row r="290" spans="5:6">
      <c r="E290" s="163"/>
      <c r="F290" s="163"/>
    </row>
    <row r="291" spans="5:6">
      <c r="E291" s="163"/>
      <c r="F291" s="163"/>
    </row>
    <row r="292" spans="5:6">
      <c r="E292" s="163"/>
      <c r="F292" s="163"/>
    </row>
    <row r="293" spans="5:6">
      <c r="E293" s="163"/>
      <c r="F293" s="163"/>
    </row>
    <row r="294" spans="5:6">
      <c r="E294" s="163"/>
      <c r="F294" s="163"/>
    </row>
    <row r="295" spans="5:6">
      <c r="E295" s="163"/>
      <c r="F295" s="163"/>
    </row>
    <row r="296" spans="5:6">
      <c r="E296" s="163"/>
      <c r="F296" s="163"/>
    </row>
    <row r="297" spans="5:6">
      <c r="E297" s="163"/>
      <c r="F297" s="163"/>
    </row>
    <row r="298" spans="5:6">
      <c r="E298" s="163"/>
      <c r="F298" s="163"/>
    </row>
    <row r="299" spans="5:6">
      <c r="E299" s="163"/>
      <c r="F299" s="163"/>
    </row>
    <row r="300" spans="5:6">
      <c r="E300" s="163"/>
      <c r="F300" s="163"/>
    </row>
    <row r="301" spans="5:6">
      <c r="E301" s="163"/>
      <c r="F301" s="163"/>
    </row>
    <row r="302" spans="5:6">
      <c r="E302" s="163"/>
      <c r="F302" s="163"/>
    </row>
    <row r="303" spans="5:6">
      <c r="E303" s="163"/>
      <c r="F303" s="163"/>
    </row>
    <row r="304" spans="5:6">
      <c r="E304" s="163"/>
      <c r="F304" s="163"/>
    </row>
    <row r="305" spans="1:6">
      <c r="E305" s="163"/>
      <c r="F305" s="163"/>
    </row>
    <row r="306" spans="1:6">
      <c r="E306" s="163"/>
      <c r="F306" s="163"/>
    </row>
    <row r="307" spans="1:6">
      <c r="E307" s="163"/>
      <c r="F307" s="163"/>
    </row>
    <row r="308" spans="1:6">
      <c r="E308" s="163"/>
      <c r="F308" s="163"/>
    </row>
    <row r="309" spans="1:6">
      <c r="E309" s="163"/>
      <c r="F309" s="163"/>
    </row>
    <row r="310" spans="1:6">
      <c r="E310" s="163"/>
      <c r="F310" s="163"/>
    </row>
    <row r="311" spans="1:6">
      <c r="E311" s="163"/>
      <c r="F311" s="163"/>
    </row>
    <row r="312" spans="1:6">
      <c r="E312" s="163"/>
      <c r="F312" s="163"/>
    </row>
    <row r="313" spans="1:6">
      <c r="E313" s="163"/>
      <c r="F313" s="163"/>
    </row>
    <row r="314" spans="1:6">
      <c r="E314" s="163"/>
      <c r="F314" s="163"/>
    </row>
    <row r="315" spans="1:6">
      <c r="E315" s="163"/>
      <c r="F315" s="163"/>
    </row>
    <row r="316" spans="1:6">
      <c r="E316" s="163"/>
      <c r="F316" s="163"/>
    </row>
    <row r="317" spans="1:6">
      <c r="E317" s="163"/>
      <c r="F317" s="163"/>
    </row>
    <row r="318" spans="1:6">
      <c r="E318" s="163"/>
      <c r="F318" s="163"/>
    </row>
    <row r="319" spans="1:6">
      <c r="E319" s="163"/>
      <c r="F319" s="163"/>
    </row>
    <row r="320" spans="1:6">
      <c r="A320" s="7"/>
      <c r="B320" s="231"/>
      <c r="C320" s="231"/>
      <c r="E320" s="163"/>
      <c r="F320" s="163"/>
    </row>
    <row r="321" spans="1:6">
      <c r="A321" s="7"/>
      <c r="B321" s="231"/>
      <c r="C321" s="231"/>
      <c r="E321" s="163"/>
      <c r="F321" s="163"/>
    </row>
    <row r="322" spans="1:6">
      <c r="A322" s="7"/>
      <c r="B322" s="231"/>
      <c r="C322" s="231"/>
      <c r="E322" s="163"/>
      <c r="F322" s="163"/>
    </row>
    <row r="323" spans="1:6">
      <c r="A323" s="7"/>
      <c r="B323" s="231"/>
      <c r="C323" s="231"/>
      <c r="E323" s="163"/>
      <c r="F323" s="163"/>
    </row>
    <row r="324" spans="1:6">
      <c r="A324" s="7"/>
      <c r="B324" s="231"/>
      <c r="C324" s="231"/>
      <c r="E324" s="163"/>
      <c r="F324" s="163"/>
    </row>
    <row r="325" spans="1:6">
      <c r="A325" s="7"/>
      <c r="B325" s="231"/>
      <c r="C325" s="231"/>
      <c r="E325" s="163"/>
      <c r="F325" s="163"/>
    </row>
    <row r="326" spans="1:6">
      <c r="A326" s="7"/>
      <c r="B326" s="231"/>
      <c r="C326" s="231"/>
      <c r="E326" s="163"/>
      <c r="F326" s="163"/>
    </row>
    <row r="327" spans="1:6">
      <c r="A327" s="7"/>
      <c r="B327" s="231"/>
      <c r="C327" s="231"/>
      <c r="E327" s="163"/>
      <c r="F327" s="163"/>
    </row>
    <row r="328" spans="1:6">
      <c r="A328" s="7"/>
      <c r="B328" s="231"/>
      <c r="C328" s="231"/>
      <c r="E328" s="163"/>
      <c r="F328" s="163"/>
    </row>
  </sheetData>
  <mergeCells count="2">
    <mergeCell ref="A1:J1"/>
    <mergeCell ref="A2:J2"/>
  </mergeCells>
  <conditionalFormatting sqref="B1">
    <cfRule type="duplicateValues" dxfId="885" priority="131"/>
    <cfRule type="duplicateValues" dxfId="884" priority="132"/>
    <cfRule type="duplicateValues" dxfId="883" priority="133"/>
    <cfRule type="duplicateValues" dxfId="882" priority="134"/>
    <cfRule type="duplicateValues" dxfId="881" priority="135"/>
    <cfRule type="duplicateValues" dxfId="880" priority="136"/>
    <cfRule type="duplicateValues" dxfId="879" priority="137"/>
    <cfRule type="duplicateValues" dxfId="878" priority="138"/>
    <cfRule type="duplicateValues" dxfId="877" priority="139"/>
    <cfRule type="duplicateValues" dxfId="876" priority="140"/>
    <cfRule type="duplicateValues" dxfId="875" priority="141"/>
    <cfRule type="duplicateValues" dxfId="874" priority="142"/>
    <cfRule type="duplicateValues" dxfId="873" priority="143"/>
    <cfRule type="duplicateValues" dxfId="872" priority="144"/>
  </conditionalFormatting>
  <conditionalFormatting sqref="B1:B3">
    <cfRule type="duplicateValues" dxfId="871" priority="106448"/>
    <cfRule type="duplicateValues" dxfId="870" priority="106449"/>
    <cfRule type="duplicateValues" dxfId="869" priority="106616"/>
    <cfRule type="duplicateValues" dxfId="868" priority="106617"/>
    <cfRule type="duplicateValues" dxfId="867" priority="106618"/>
    <cfRule type="duplicateValues" dxfId="866" priority="106619"/>
    <cfRule type="duplicateValues" dxfId="865" priority="106620"/>
    <cfRule type="duplicateValues" dxfId="864" priority="106621"/>
    <cfRule type="duplicateValues" dxfId="863" priority="106622"/>
    <cfRule type="duplicateValues" dxfId="862" priority="106623"/>
    <cfRule type="duplicateValues" dxfId="861" priority="106624"/>
    <cfRule type="duplicateValues" dxfId="860" priority="106625"/>
    <cfRule type="duplicateValues" dxfId="859" priority="106626"/>
    <cfRule type="duplicateValues" dxfId="858" priority="106627"/>
    <cfRule type="duplicateValues" dxfId="857" priority="106628"/>
    <cfRule type="duplicateValues" dxfId="856" priority="106629"/>
    <cfRule type="duplicateValues" dxfId="855" priority="106630"/>
    <cfRule type="duplicateValues" dxfId="854" priority="106631"/>
    <cfRule type="duplicateValues" dxfId="853" priority="106632"/>
    <cfRule type="duplicateValues" dxfId="852" priority="106633"/>
    <cfRule type="duplicateValues" dxfId="851" priority="106634"/>
    <cfRule type="duplicateValues" dxfId="850" priority="106635"/>
    <cfRule type="duplicateValues" dxfId="849" priority="106636"/>
    <cfRule type="duplicateValues" dxfId="848" priority="106637"/>
    <cfRule type="duplicateValues" dxfId="847" priority="106638"/>
    <cfRule type="duplicateValues" dxfId="846" priority="106639"/>
    <cfRule type="duplicateValues" dxfId="845" priority="106640"/>
    <cfRule type="duplicateValues" dxfId="844" priority="106641"/>
    <cfRule type="duplicateValues" dxfId="843" priority="106642"/>
    <cfRule type="duplicateValues" dxfId="842" priority="106643"/>
    <cfRule type="duplicateValues" dxfId="841" priority="106644"/>
    <cfRule type="duplicateValues" dxfId="840" priority="106645"/>
    <cfRule type="duplicateValues" dxfId="839" priority="106646"/>
    <cfRule type="duplicateValues" dxfId="838" priority="106647"/>
    <cfRule type="duplicateValues" dxfId="837" priority="106648"/>
    <cfRule type="duplicateValues" dxfId="836" priority="106649"/>
    <cfRule type="duplicateValues" dxfId="835" priority="106650"/>
    <cfRule type="duplicateValues" dxfId="834" priority="106651"/>
    <cfRule type="duplicateValues" dxfId="833" priority="106652"/>
    <cfRule type="duplicateValues" dxfId="832" priority="106653"/>
    <cfRule type="duplicateValues" dxfId="831" priority="106654"/>
    <cfRule type="duplicateValues" dxfId="830" priority="106655"/>
    <cfRule type="duplicateValues" dxfId="829" priority="106656"/>
    <cfRule type="duplicateValues" dxfId="828" priority="106657"/>
  </conditionalFormatting>
  <conditionalFormatting sqref="B3">
    <cfRule type="duplicateValues" dxfId="827" priority="60"/>
  </conditionalFormatting>
  <conditionalFormatting sqref="B307:B1048576 B1:B5">
    <cfRule type="duplicateValues" dxfId="826" priority="1"/>
  </conditionalFormatting>
  <conditionalFormatting sqref="B320:B1048576 B1:B5">
    <cfRule type="duplicateValues" dxfId="825" priority="3"/>
  </conditionalFormatting>
  <conditionalFormatting sqref="B329:B1044614">
    <cfRule type="duplicateValues" dxfId="824" priority="174377"/>
    <cfRule type="duplicateValues" dxfId="823" priority="174378"/>
    <cfRule type="duplicateValues" dxfId="822" priority="174379"/>
    <cfRule type="duplicateValues" dxfId="821" priority="174380"/>
    <cfRule type="duplicateValues" dxfId="820" priority="174381"/>
    <cfRule type="duplicateValues" dxfId="819" priority="174382"/>
    <cfRule type="duplicateValues" dxfId="818" priority="174383"/>
    <cfRule type="duplicateValues" dxfId="817" priority="174384"/>
    <cfRule type="duplicateValues" dxfId="816" priority="174385"/>
    <cfRule type="duplicateValues" dxfId="815" priority="174386"/>
    <cfRule type="duplicateValues" dxfId="814" priority="174387"/>
    <cfRule type="duplicateValues" dxfId="813" priority="174388"/>
    <cfRule type="duplicateValues" dxfId="812" priority="174389"/>
    <cfRule type="duplicateValues" dxfId="811" priority="174390"/>
    <cfRule type="duplicateValues" dxfId="810" priority="174391"/>
    <cfRule type="duplicateValues" dxfId="809" priority="174392"/>
    <cfRule type="duplicateValues" dxfId="808" priority="174393"/>
    <cfRule type="duplicateValues" dxfId="807" priority="174394"/>
    <cfRule type="duplicateValues" dxfId="806" priority="174395"/>
    <cfRule type="duplicateValues" dxfId="805" priority="174396"/>
    <cfRule type="duplicateValues" dxfId="804" priority="174397"/>
    <cfRule type="duplicateValues" dxfId="803" priority="174398"/>
    <cfRule type="duplicateValues" dxfId="802" priority="174399"/>
    <cfRule type="duplicateValues" dxfId="801" priority="174400"/>
    <cfRule type="duplicateValues" dxfId="800" priority="174401"/>
    <cfRule type="duplicateValues" dxfId="799" priority="174402"/>
    <cfRule type="duplicateValues" dxfId="798" priority="174403"/>
    <cfRule type="duplicateValues" dxfId="797" priority="174404"/>
    <cfRule type="duplicateValues" dxfId="796" priority="174405"/>
    <cfRule type="duplicateValues" dxfId="795" priority="174406"/>
    <cfRule type="duplicateValues" dxfId="794" priority="174407"/>
    <cfRule type="duplicateValues" dxfId="793" priority="174408"/>
    <cfRule type="duplicateValues" dxfId="792" priority="174409"/>
    <cfRule type="duplicateValues" dxfId="791" priority="174410"/>
    <cfRule type="duplicateValues" dxfId="790" priority="174411"/>
    <cfRule type="duplicateValues" dxfId="789" priority="174412"/>
    <cfRule type="duplicateValues" dxfId="788" priority="174413"/>
    <cfRule type="duplicateValues" dxfId="787" priority="174414"/>
    <cfRule type="duplicateValues" dxfId="786" priority="174415"/>
    <cfRule type="duplicateValues" dxfId="785" priority="174416"/>
    <cfRule type="duplicateValues" dxfId="784" priority="174417"/>
    <cfRule type="duplicateValues" dxfId="783" priority="174418"/>
    <cfRule type="duplicateValues" dxfId="782" priority="174419"/>
    <cfRule type="duplicateValues" dxfId="781" priority="174420"/>
  </conditionalFormatting>
  <conditionalFormatting sqref="B329:B1048576 B1:B5">
    <cfRule type="duplicateValues" dxfId="780" priority="5"/>
    <cfRule type="duplicateValues" dxfId="779" priority="7"/>
    <cfRule type="duplicateValues" dxfId="778" priority="9"/>
    <cfRule type="duplicateValues" dxfId="777" priority="174372"/>
    <cfRule type="duplicateValues" dxfId="776" priority="174421"/>
    <cfRule type="duplicateValues" dxfId="775" priority="174422"/>
    <cfRule type="duplicateValues" dxfId="774" priority="174423"/>
    <cfRule type="duplicateValues" dxfId="773" priority="174424"/>
    <cfRule type="duplicateValues" dxfId="772" priority="174425"/>
    <cfRule type="duplicateValues" dxfId="771" priority="174426"/>
    <cfRule type="duplicateValues" dxfId="770" priority="174427"/>
  </conditionalFormatting>
  <conditionalFormatting sqref="B329:B1048576 B4:B5">
    <cfRule type="duplicateValues" dxfId="769" priority="174435"/>
    <cfRule type="duplicateValues" dxfId="768" priority="174436"/>
    <cfRule type="duplicateValues" dxfId="767" priority="174437"/>
    <cfRule type="duplicateValues" dxfId="766" priority="174438"/>
    <cfRule type="duplicateValues" dxfId="765" priority="174439"/>
    <cfRule type="duplicateValues" dxfId="764" priority="174440"/>
    <cfRule type="duplicateValues" dxfId="763" priority="174441"/>
    <cfRule type="duplicateValues" dxfId="762" priority="174442"/>
    <cfRule type="duplicateValues" dxfId="761" priority="174443"/>
    <cfRule type="duplicateValues" dxfId="760" priority="174444"/>
    <cfRule type="duplicateValues" dxfId="759" priority="174445"/>
    <cfRule type="duplicateValues" dxfId="758" priority="174446"/>
    <cfRule type="duplicateValues" dxfId="757" priority="174447"/>
    <cfRule type="duplicateValues" dxfId="756" priority="174448"/>
    <cfRule type="duplicateValues" dxfId="755" priority="174449"/>
    <cfRule type="duplicateValues" dxfId="754" priority="174450"/>
    <cfRule type="duplicateValues" dxfId="753" priority="174451"/>
    <cfRule type="duplicateValues" dxfId="752" priority="174452"/>
    <cfRule type="duplicateValues" dxfId="751" priority="174453"/>
    <cfRule type="duplicateValues" dxfId="750" priority="174454"/>
  </conditionalFormatting>
  <conditionalFormatting sqref="B329:B1048576">
    <cfRule type="duplicateValues" dxfId="749" priority="174374"/>
  </conditionalFormatting>
  <conditionalFormatting sqref="B1044615:B1048576">
    <cfRule type="duplicateValues" dxfId="748" priority="120312"/>
    <cfRule type="duplicateValues" dxfId="747" priority="120313"/>
    <cfRule type="duplicateValues" dxfId="746" priority="123996"/>
    <cfRule type="duplicateValues" dxfId="745" priority="123997"/>
    <cfRule type="duplicateValues" dxfId="744" priority="123998"/>
    <cfRule type="duplicateValues" dxfId="743" priority="123999"/>
    <cfRule type="duplicateValues" dxfId="742" priority="124000"/>
    <cfRule type="duplicateValues" dxfId="741" priority="124001"/>
    <cfRule type="duplicateValues" dxfId="740" priority="124002"/>
    <cfRule type="duplicateValues" dxfId="739" priority="124003"/>
    <cfRule type="duplicateValues" dxfId="738" priority="124004"/>
    <cfRule type="duplicateValues" dxfId="737" priority="124005"/>
    <cfRule type="duplicateValues" dxfId="736" priority="124006"/>
    <cfRule type="duplicateValues" dxfId="735" priority="124007"/>
    <cfRule type="duplicateValues" dxfId="734" priority="124008"/>
    <cfRule type="duplicateValues" dxfId="733" priority="124009"/>
    <cfRule type="duplicateValues" dxfId="732" priority="124010"/>
    <cfRule type="duplicateValues" dxfId="731" priority="124011"/>
    <cfRule type="duplicateValues" dxfId="730" priority="124012"/>
    <cfRule type="duplicateValues" dxfId="729" priority="124013"/>
    <cfRule type="duplicateValues" dxfId="728" priority="124014"/>
    <cfRule type="duplicateValues" dxfId="727" priority="124015"/>
    <cfRule type="duplicateValues" dxfId="726" priority="124016"/>
    <cfRule type="duplicateValues" dxfId="725" priority="124017"/>
    <cfRule type="duplicateValues" dxfId="724" priority="124018"/>
    <cfRule type="duplicateValues" dxfId="723" priority="124019"/>
    <cfRule type="duplicateValues" dxfId="722" priority="124020"/>
    <cfRule type="duplicateValues" dxfId="721" priority="124021"/>
    <cfRule type="duplicateValues" dxfId="720" priority="124022"/>
    <cfRule type="duplicateValues" dxfId="719" priority="124023"/>
    <cfRule type="duplicateValues" dxfId="718" priority="124024"/>
    <cfRule type="duplicateValues" dxfId="717" priority="124025"/>
    <cfRule type="duplicateValues" dxfId="716" priority="124026"/>
    <cfRule type="duplicateValues" dxfId="715" priority="124027"/>
    <cfRule type="duplicateValues" dxfId="714" priority="124028"/>
    <cfRule type="duplicateValues" dxfId="713" priority="124029"/>
    <cfRule type="duplicateValues" dxfId="712" priority="124030"/>
    <cfRule type="duplicateValues" dxfId="711" priority="124031"/>
    <cfRule type="duplicateValues" dxfId="710" priority="124032"/>
    <cfRule type="duplicateValues" dxfId="709" priority="124033"/>
    <cfRule type="duplicateValues" dxfId="708" priority="124034"/>
    <cfRule type="duplicateValues" dxfId="707" priority="124035"/>
    <cfRule type="duplicateValues" dxfId="706" priority="124036"/>
    <cfRule type="duplicateValues" dxfId="705" priority="124037"/>
  </conditionalFormatting>
  <conditionalFormatting sqref="B1:B5">
    <cfRule type="duplicateValues" dxfId="704" priority="250684"/>
    <cfRule type="duplicateValues" dxfId="703" priority="250685"/>
    <cfRule type="duplicateValues" dxfId="702" priority="250686"/>
    <cfRule type="duplicateValues" dxfId="701" priority="250687"/>
    <cfRule type="duplicateValues" dxfId="700" priority="250688"/>
    <cfRule type="duplicateValues" dxfId="699" priority="250689"/>
    <cfRule type="duplicateValues" dxfId="698" priority="250690"/>
    <cfRule type="duplicateValues" dxfId="697" priority="250691"/>
    <cfRule type="duplicateValues" dxfId="696" priority="250692"/>
    <cfRule type="duplicateValues" dxfId="695" priority="250693"/>
    <cfRule type="duplicateValues" dxfId="694" priority="250694"/>
    <cfRule type="duplicateValues" dxfId="693" priority="250695"/>
  </conditionalFormatting>
  <conditionalFormatting sqref="B2:B5">
    <cfRule type="duplicateValues" dxfId="692" priority="250696"/>
    <cfRule type="duplicateValues" dxfId="691" priority="250697"/>
    <cfRule type="duplicateValues" dxfId="690" priority="250698"/>
    <cfRule type="duplicateValues" dxfId="689" priority="250699"/>
    <cfRule type="duplicateValues" dxfId="688" priority="250700"/>
    <cfRule type="duplicateValues" dxfId="687" priority="250701"/>
    <cfRule type="duplicateValues" dxfId="686" priority="250702"/>
    <cfRule type="duplicateValues" dxfId="685" priority="250703"/>
    <cfRule type="duplicateValues" dxfId="684" priority="250704"/>
    <cfRule type="duplicateValues" dxfId="683" priority="250705"/>
    <cfRule type="duplicateValues" dxfId="682" priority="250706"/>
    <cfRule type="duplicateValues" dxfId="681" priority="250707"/>
    <cfRule type="duplicateValues" dxfId="680" priority="250708"/>
    <cfRule type="duplicateValues" dxfId="679" priority="250709"/>
  </conditionalFormatting>
  <conditionalFormatting sqref="B4:B5">
    <cfRule type="duplicateValues" dxfId="678" priority="250710"/>
    <cfRule type="duplicateValues" dxfId="677" priority="250711"/>
    <cfRule type="duplicateValues" dxfId="676" priority="250712"/>
    <cfRule type="duplicateValues" dxfId="675" priority="250713"/>
    <cfRule type="duplicateValues" dxfId="674" priority="250714"/>
    <cfRule type="duplicateValues" dxfId="673" priority="250715"/>
    <cfRule type="duplicateValues" dxfId="672" priority="250716"/>
    <cfRule type="duplicateValues" dxfId="671" priority="250717"/>
    <cfRule type="duplicateValues" dxfId="670" priority="250718"/>
    <cfRule type="duplicateValues" dxfId="669" priority="250719"/>
    <cfRule type="duplicateValues" dxfId="668" priority="250720"/>
    <cfRule type="duplicateValues" dxfId="667" priority="250721"/>
    <cfRule type="duplicateValues" dxfId="666" priority="250722"/>
    <cfRule type="duplicateValues" dxfId="665" priority="250723"/>
    <cfRule type="duplicateValues" dxfId="664" priority="250724"/>
    <cfRule type="duplicateValues" dxfId="663" priority="250725"/>
    <cfRule type="duplicateValues" dxfId="662" priority="250726"/>
    <cfRule type="duplicateValues" dxfId="661" priority="250727"/>
    <cfRule type="duplicateValues" dxfId="660" priority="250728"/>
    <cfRule type="duplicateValues" dxfId="659" priority="250729"/>
    <cfRule type="duplicateValues" dxfId="658" priority="250730"/>
    <cfRule type="duplicateValues" dxfId="657" priority="250731"/>
    <cfRule type="duplicateValues" dxfId="656" priority="250732"/>
    <cfRule type="duplicateValues" dxfId="655" priority="250733"/>
    <cfRule type="duplicateValues" dxfId="654" priority="250734"/>
    <cfRule type="duplicateValues" dxfId="653" priority="250735"/>
    <cfRule type="duplicateValues" dxfId="652" priority="250736"/>
    <cfRule type="duplicateValues" dxfId="651" priority="250737"/>
    <cfRule type="duplicateValues" dxfId="650" priority="250738"/>
    <cfRule type="duplicateValues" dxfId="649" priority="250739"/>
    <cfRule type="duplicateValues" dxfId="648" priority="250740"/>
    <cfRule type="duplicateValues" dxfId="647" priority="250741"/>
    <cfRule type="duplicateValues" dxfId="646" priority="250742"/>
    <cfRule type="duplicateValues" dxfId="645" priority="250743"/>
    <cfRule type="duplicateValues" dxfId="644" priority="250744"/>
    <cfRule type="duplicateValues" dxfId="643" priority="250745"/>
    <cfRule type="duplicateValues" dxfId="642" priority="250746"/>
    <cfRule type="duplicateValues" dxfId="641" priority="250747"/>
    <cfRule type="duplicateValues" dxfId="640" priority="250748"/>
    <cfRule type="duplicateValues" dxfId="639" priority="250749"/>
    <cfRule type="duplicateValues" dxfId="638" priority="250750"/>
    <cfRule type="duplicateValues" dxfId="637" priority="250751"/>
    <cfRule type="duplicateValues" dxfId="636" priority="250752"/>
    <cfRule type="duplicateValues" dxfId="635" priority="250753"/>
    <cfRule type="duplicateValues" dxfId="634" priority="250754"/>
    <cfRule type="duplicateValues" dxfId="633" priority="250755"/>
    <cfRule type="duplicateValues" dxfId="632" priority="250756"/>
    <cfRule type="duplicateValues" dxfId="631" priority="250757"/>
    <cfRule type="duplicateValues" dxfId="630" priority="250758"/>
    <cfRule type="duplicateValues" dxfId="629" priority="250759"/>
    <cfRule type="duplicateValues" dxfId="628" priority="250760"/>
    <cfRule type="duplicateValues" dxfId="627" priority="250761"/>
    <cfRule type="duplicateValues" dxfId="626" priority="250762"/>
    <cfRule type="duplicateValues" dxfId="625" priority="250763"/>
    <cfRule type="duplicateValues" dxfId="624" priority="250764"/>
    <cfRule type="duplicateValues" dxfId="623" priority="250765"/>
    <cfRule type="duplicateValues" dxfId="622" priority="250766"/>
    <cfRule type="duplicateValues" dxfId="621" priority="250767"/>
    <cfRule type="duplicateValues" dxfId="620" priority="250768"/>
    <cfRule type="duplicateValues" dxfId="619" priority="250769"/>
    <cfRule type="duplicateValues" dxfId="618" priority="250770"/>
    <cfRule type="duplicateValues" dxfId="617" priority="250771"/>
    <cfRule type="duplicateValues" dxfId="616" priority="250772"/>
    <cfRule type="duplicateValues" dxfId="615" priority="250773"/>
    <cfRule type="duplicateValues" dxfId="614" priority="250774"/>
    <cfRule type="duplicateValues" dxfId="613" priority="250775"/>
    <cfRule type="duplicateValues" dxfId="612" priority="250776"/>
    <cfRule type="duplicateValues" dxfId="611" priority="250777"/>
    <cfRule type="duplicateValues" dxfId="610" priority="250778"/>
    <cfRule type="duplicateValues" dxfId="609" priority="250779"/>
    <cfRule type="duplicateValues" dxfId="608" priority="250780"/>
    <cfRule type="duplicateValues" dxfId="607" priority="250781"/>
    <cfRule type="duplicateValues" dxfId="606" priority="250782"/>
    <cfRule type="duplicateValues" dxfId="605" priority="250783"/>
    <cfRule type="duplicateValues" dxfId="604" priority="250784"/>
    <cfRule type="duplicateValues" dxfId="603" priority="250785"/>
    <cfRule type="duplicateValues" dxfId="602" priority="250786"/>
    <cfRule type="duplicateValues" dxfId="601" priority="250787"/>
    <cfRule type="duplicateValues" dxfId="600" priority="250788"/>
    <cfRule type="duplicateValues" dxfId="599" priority="250789"/>
    <cfRule type="duplicateValues" dxfId="598" priority="250790"/>
    <cfRule type="duplicateValues" dxfId="597" priority="250791"/>
    <cfRule type="duplicateValues" dxfId="596" priority="250792"/>
    <cfRule type="duplicateValues" dxfId="595" priority="250793"/>
    <cfRule type="duplicateValues" dxfId="594" priority="250794"/>
    <cfRule type="duplicateValues" dxfId="593" priority="250795"/>
    <cfRule type="duplicateValues" dxfId="592" priority="250796"/>
    <cfRule type="duplicateValues" dxfId="591" priority="250797"/>
    <cfRule type="duplicateValues" dxfId="590" priority="250798"/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A898-8823-48D7-A173-A809A8C87357}">
  <dimension ref="A1:I4"/>
  <sheetViews>
    <sheetView workbookViewId="0">
      <selection activeCell="B4" sqref="B4:I4"/>
    </sheetView>
  </sheetViews>
  <sheetFormatPr defaultRowHeight="14.4"/>
  <cols>
    <col min="1" max="1" width="3.88671875" bestFit="1" customWidth="1"/>
    <col min="2" max="2" width="9.88671875" bestFit="1" customWidth="1"/>
    <col min="3" max="3" width="6.33203125" customWidth="1"/>
    <col min="4" max="4" width="22.109375" customWidth="1"/>
    <col min="5" max="5" width="13.6640625" customWidth="1"/>
    <col min="6" max="6" width="10.44140625" customWidth="1"/>
    <col min="7" max="7" width="11.33203125" customWidth="1"/>
    <col min="8" max="8" width="12.109375" customWidth="1"/>
    <col min="9" max="9" width="31.88671875" customWidth="1"/>
  </cols>
  <sheetData>
    <row r="1" spans="1:9" ht="25.8">
      <c r="A1" s="360" t="s">
        <v>4776</v>
      </c>
      <c r="B1" s="361"/>
      <c r="C1" s="361"/>
      <c r="D1" s="361"/>
      <c r="E1" s="361"/>
      <c r="F1" s="361"/>
      <c r="G1" s="361"/>
      <c r="H1" s="361"/>
      <c r="I1" s="361"/>
    </row>
    <row r="2" spans="1:9" ht="16.2" thickBot="1">
      <c r="A2" s="362" t="s">
        <v>4252</v>
      </c>
      <c r="B2" s="363"/>
      <c r="C2" s="363"/>
      <c r="D2" s="363"/>
      <c r="E2" s="363"/>
      <c r="F2" s="363"/>
      <c r="G2" s="363"/>
      <c r="H2" s="363"/>
      <c r="I2" s="363"/>
    </row>
    <row r="3" spans="1:9">
      <c r="A3" s="221" t="s">
        <v>22</v>
      </c>
      <c r="B3" s="222" t="s">
        <v>13</v>
      </c>
      <c r="C3" s="222" t="s">
        <v>26</v>
      </c>
      <c r="D3" s="222" t="s">
        <v>14</v>
      </c>
      <c r="E3" s="222" t="s">
        <v>15</v>
      </c>
      <c r="F3" s="222" t="s">
        <v>16</v>
      </c>
      <c r="G3" s="222" t="s">
        <v>17</v>
      </c>
      <c r="H3" s="222" t="s">
        <v>18</v>
      </c>
      <c r="I3" s="222" t="s">
        <v>19</v>
      </c>
    </row>
    <row r="4" spans="1:9">
      <c r="A4" s="202">
        <v>1</v>
      </c>
      <c r="B4" s="203"/>
      <c r="C4" s="61"/>
      <c r="D4" s="61"/>
      <c r="E4" s="209"/>
      <c r="F4" s="248"/>
      <c r="G4" s="248"/>
      <c r="H4" s="248"/>
      <c r="I4" s="61"/>
    </row>
  </sheetData>
  <mergeCells count="2">
    <mergeCell ref="A1:I1"/>
    <mergeCell ref="A2:I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90F7-4209-4F27-8DA2-B8966176B75D}">
  <dimension ref="A1:K4"/>
  <sheetViews>
    <sheetView workbookViewId="0">
      <selection activeCell="H4" sqref="H4:K4"/>
    </sheetView>
  </sheetViews>
  <sheetFormatPr defaultRowHeight="14.4"/>
  <cols>
    <col min="1" max="1" width="3.88671875" bestFit="1" customWidth="1"/>
    <col min="2" max="2" width="10.6640625" customWidth="1"/>
    <col min="3" max="3" width="6" customWidth="1"/>
    <col min="4" max="4" width="11.109375" customWidth="1"/>
    <col min="5" max="5" width="13" customWidth="1"/>
    <col min="6" max="6" width="13.21875" customWidth="1"/>
    <col min="7" max="7" width="13.44140625" customWidth="1"/>
    <col min="8" max="8" width="9.6640625" customWidth="1"/>
    <col min="9" max="9" width="9.44140625" customWidth="1"/>
    <col min="10" max="10" width="11.44140625" customWidth="1"/>
    <col min="11" max="11" width="45.109375" bestFit="1" customWidth="1"/>
  </cols>
  <sheetData>
    <row r="1" spans="1:11" ht="25.8">
      <c r="A1" s="274" t="s">
        <v>678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1" ht="15.6">
      <c r="A2" s="284" t="s">
        <v>677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>
      <c r="A3" s="37" t="s">
        <v>22</v>
      </c>
      <c r="B3" s="35" t="s">
        <v>13</v>
      </c>
      <c r="C3" s="35" t="s">
        <v>26</v>
      </c>
      <c r="D3" s="35" t="s">
        <v>14</v>
      </c>
      <c r="E3" s="36" t="s">
        <v>28</v>
      </c>
      <c r="F3" s="36" t="s">
        <v>29</v>
      </c>
      <c r="G3" s="36" t="s">
        <v>43</v>
      </c>
      <c r="H3" s="35" t="s">
        <v>0</v>
      </c>
      <c r="I3" s="35" t="s">
        <v>1</v>
      </c>
      <c r="J3" s="35" t="s">
        <v>2</v>
      </c>
      <c r="K3" s="35" t="s">
        <v>19</v>
      </c>
    </row>
    <row r="4" spans="1:11">
      <c r="A4" s="1">
        <v>1</v>
      </c>
      <c r="B4" s="13"/>
      <c r="C4" s="8"/>
      <c r="D4" s="12"/>
      <c r="E4" s="11"/>
      <c r="F4" s="10">
        <f>E4*0.97</f>
        <v>0</v>
      </c>
      <c r="G4" s="9">
        <f>E4*0.94</f>
        <v>0</v>
      </c>
      <c r="H4" s="8"/>
      <c r="I4" s="8"/>
      <c r="J4" s="8"/>
      <c r="K4" s="8"/>
    </row>
  </sheetData>
  <mergeCells count="2">
    <mergeCell ref="A1:K1"/>
    <mergeCell ref="A2:K2"/>
  </mergeCells>
  <conditionalFormatting sqref="B1">
    <cfRule type="duplicateValues" dxfId="589" priority="233"/>
    <cfRule type="duplicateValues" dxfId="588" priority="234"/>
    <cfRule type="duplicateValues" dxfId="587" priority="235"/>
    <cfRule type="duplicateValues" dxfId="586" priority="236"/>
    <cfRule type="duplicateValues" dxfId="585" priority="237"/>
    <cfRule type="duplicateValues" dxfId="584" priority="238"/>
    <cfRule type="duplicateValues" dxfId="583" priority="239"/>
    <cfRule type="duplicateValues" dxfId="582" priority="240"/>
    <cfRule type="duplicateValues" dxfId="581" priority="241"/>
    <cfRule type="duplicateValues" dxfId="580" priority="242"/>
    <cfRule type="duplicateValues" dxfId="579" priority="243"/>
    <cfRule type="duplicateValues" dxfId="578" priority="244"/>
    <cfRule type="duplicateValues" dxfId="577" priority="245"/>
    <cfRule type="duplicateValues" dxfId="576" priority="246"/>
  </conditionalFormatting>
  <conditionalFormatting sqref="B1:B3">
    <cfRule type="duplicateValues" dxfId="575" priority="149"/>
    <cfRule type="duplicateValues" dxfId="574" priority="150"/>
    <cfRule type="duplicateValues" dxfId="573" priority="151"/>
    <cfRule type="duplicateValues" dxfId="572" priority="152"/>
    <cfRule type="duplicateValues" dxfId="571" priority="153"/>
    <cfRule type="duplicateValues" dxfId="570" priority="154"/>
    <cfRule type="duplicateValues" dxfId="569" priority="155"/>
    <cfRule type="duplicateValues" dxfId="568" priority="156"/>
    <cfRule type="duplicateValues" dxfId="567" priority="157"/>
    <cfRule type="duplicateValues" dxfId="566" priority="158"/>
    <cfRule type="duplicateValues" dxfId="565" priority="159"/>
    <cfRule type="duplicateValues" dxfId="564" priority="160"/>
    <cfRule type="duplicateValues" dxfId="563" priority="161"/>
    <cfRule type="duplicateValues" dxfId="562" priority="177"/>
    <cfRule type="duplicateValues" dxfId="561" priority="178"/>
    <cfRule type="duplicateValues" dxfId="560" priority="179"/>
    <cfRule type="duplicateValues" dxfId="559" priority="180"/>
    <cfRule type="duplicateValues" dxfId="558" priority="181"/>
    <cfRule type="duplicateValues" dxfId="557" priority="182"/>
    <cfRule type="duplicateValues" dxfId="556" priority="183"/>
    <cfRule type="duplicateValues" dxfId="555" priority="184"/>
    <cfRule type="duplicateValues" dxfId="554" priority="185"/>
    <cfRule type="duplicateValues" dxfId="553" priority="186"/>
    <cfRule type="duplicateValues" dxfId="552" priority="187"/>
    <cfRule type="duplicateValues" dxfId="551" priority="188"/>
    <cfRule type="duplicateValues" dxfId="550" priority="189"/>
    <cfRule type="duplicateValues" dxfId="549" priority="190"/>
    <cfRule type="duplicateValues" dxfId="548" priority="191"/>
    <cfRule type="duplicateValues" dxfId="547" priority="192"/>
    <cfRule type="duplicateValues" dxfId="546" priority="193"/>
    <cfRule type="duplicateValues" dxfId="545" priority="194"/>
    <cfRule type="duplicateValues" dxfId="544" priority="195"/>
    <cfRule type="duplicateValues" dxfId="543" priority="196"/>
    <cfRule type="duplicateValues" dxfId="542" priority="197"/>
    <cfRule type="duplicateValues" dxfId="541" priority="198"/>
    <cfRule type="duplicateValues" dxfId="540" priority="199"/>
    <cfRule type="duplicateValues" dxfId="539" priority="200"/>
    <cfRule type="duplicateValues" dxfId="538" priority="201"/>
    <cfRule type="duplicateValues" dxfId="537" priority="202"/>
    <cfRule type="duplicateValues" dxfId="536" priority="203"/>
    <cfRule type="duplicateValues" dxfId="535" priority="204"/>
    <cfRule type="duplicateValues" dxfId="534" priority="205"/>
    <cfRule type="duplicateValues" dxfId="533" priority="206"/>
    <cfRule type="duplicateValues" dxfId="532" priority="207"/>
    <cfRule type="duplicateValues" dxfId="531" priority="208"/>
    <cfRule type="duplicateValues" dxfId="530" priority="209"/>
    <cfRule type="duplicateValues" dxfId="529" priority="210"/>
    <cfRule type="duplicateValues" dxfId="528" priority="211"/>
    <cfRule type="duplicateValues" dxfId="527" priority="212"/>
    <cfRule type="duplicateValues" dxfId="526" priority="213"/>
    <cfRule type="duplicateValues" dxfId="525" priority="214"/>
    <cfRule type="duplicateValues" dxfId="524" priority="215"/>
    <cfRule type="duplicateValues" dxfId="523" priority="216"/>
    <cfRule type="duplicateValues" dxfId="522" priority="217"/>
    <cfRule type="duplicateValues" dxfId="521" priority="218"/>
    <cfRule type="duplicateValues" dxfId="520" priority="219"/>
    <cfRule type="duplicateValues" dxfId="519" priority="220"/>
    <cfRule type="duplicateValues" dxfId="518" priority="221"/>
    <cfRule type="duplicateValues" dxfId="517" priority="222"/>
    <cfRule type="duplicateValues" dxfId="516" priority="223"/>
    <cfRule type="duplicateValues" dxfId="515" priority="224"/>
    <cfRule type="duplicateValues" dxfId="514" priority="225"/>
    <cfRule type="duplicateValues" dxfId="513" priority="226"/>
    <cfRule type="duplicateValues" dxfId="512" priority="227"/>
    <cfRule type="duplicateValues" dxfId="511" priority="228"/>
    <cfRule type="duplicateValues" dxfId="510" priority="229"/>
    <cfRule type="duplicateValues" dxfId="509" priority="230"/>
    <cfRule type="duplicateValues" dxfId="508" priority="231"/>
    <cfRule type="duplicateValues" dxfId="507" priority="232"/>
  </conditionalFormatting>
  <conditionalFormatting sqref="B2:B3">
    <cfRule type="duplicateValues" dxfId="506" priority="163"/>
    <cfRule type="duplicateValues" dxfId="505" priority="164"/>
    <cfRule type="duplicateValues" dxfId="504" priority="165"/>
    <cfRule type="duplicateValues" dxfId="503" priority="166"/>
    <cfRule type="duplicateValues" dxfId="502" priority="167"/>
    <cfRule type="duplicateValues" dxfId="501" priority="168"/>
    <cfRule type="duplicateValues" dxfId="500" priority="169"/>
    <cfRule type="duplicateValues" dxfId="499" priority="170"/>
    <cfRule type="duplicateValues" dxfId="498" priority="171"/>
    <cfRule type="duplicateValues" dxfId="497" priority="172"/>
    <cfRule type="duplicateValues" dxfId="496" priority="173"/>
    <cfRule type="duplicateValues" dxfId="495" priority="174"/>
    <cfRule type="duplicateValues" dxfId="494" priority="175"/>
    <cfRule type="duplicateValues" dxfId="493" priority="176"/>
  </conditionalFormatting>
  <conditionalFormatting sqref="B3">
    <cfRule type="duplicateValues" dxfId="492" priority="162"/>
  </conditionalFormatting>
  <conditionalFormatting sqref="B4">
    <cfRule type="duplicateValues" dxfId="491" priority="210085"/>
    <cfRule type="duplicateValues" dxfId="490" priority="210086"/>
    <cfRule type="duplicateValues" dxfId="489" priority="210087"/>
    <cfRule type="duplicateValues" dxfId="488" priority="210088"/>
    <cfRule type="duplicateValues" dxfId="487" priority="210089"/>
    <cfRule type="duplicateValues" dxfId="486" priority="210090"/>
    <cfRule type="duplicateValues" dxfId="485" priority="210091"/>
    <cfRule type="duplicateValues" dxfId="484" priority="210092"/>
    <cfRule type="duplicateValues" dxfId="483" priority="210093"/>
    <cfRule type="duplicateValues" dxfId="482" priority="210094"/>
    <cfRule type="duplicateValues" dxfId="481" priority="210095"/>
    <cfRule type="duplicateValues" dxfId="480" priority="210096"/>
    <cfRule type="duplicateValues" dxfId="479" priority="210097"/>
    <cfRule type="duplicateValues" dxfId="478" priority="210098"/>
    <cfRule type="duplicateValues" dxfId="477" priority="210099"/>
    <cfRule type="duplicateValues" dxfId="476" priority="210100"/>
    <cfRule type="duplicateValues" dxfId="475" priority="210101"/>
    <cfRule type="duplicateValues" dxfId="474" priority="210102"/>
    <cfRule type="duplicateValues" dxfId="473" priority="210103"/>
    <cfRule type="duplicateValues" dxfId="472" priority="210104"/>
    <cfRule type="duplicateValues" dxfId="471" priority="210105"/>
    <cfRule type="duplicateValues" dxfId="470" priority="210106"/>
    <cfRule type="duplicateValues" dxfId="469" priority="210107"/>
    <cfRule type="duplicateValues" dxfId="468" priority="210108"/>
    <cfRule type="duplicateValues" dxfId="467" priority="210109"/>
    <cfRule type="duplicateValues" dxfId="466" priority="210110"/>
    <cfRule type="duplicateValues" dxfId="465" priority="210111"/>
    <cfRule type="duplicateValues" dxfId="464" priority="210112"/>
    <cfRule type="duplicateValues" dxfId="463" priority="210113"/>
    <cfRule type="duplicateValues" dxfId="462" priority="210114"/>
    <cfRule type="duplicateValues" dxfId="461" priority="210115"/>
    <cfRule type="duplicateValues" dxfId="460" priority="210116"/>
    <cfRule type="duplicateValues" dxfId="459" priority="210117"/>
    <cfRule type="duplicateValues" dxfId="458" priority="210118"/>
    <cfRule type="duplicateValues" dxfId="457" priority="210119"/>
    <cfRule type="duplicateValues" dxfId="456" priority="210120"/>
    <cfRule type="duplicateValues" dxfId="455" priority="210121"/>
    <cfRule type="duplicateValues" dxfId="454" priority="210122"/>
    <cfRule type="duplicateValues" dxfId="453" priority="210123"/>
    <cfRule type="duplicateValues" dxfId="452" priority="210124"/>
    <cfRule type="duplicateValues" dxfId="451" priority="210125"/>
    <cfRule type="duplicateValues" dxfId="450" priority="210126"/>
    <cfRule type="duplicateValues" dxfId="449" priority="210127"/>
    <cfRule type="duplicateValues" dxfId="448" priority="210128"/>
    <cfRule type="duplicateValues" dxfId="447" priority="210129"/>
    <cfRule type="duplicateValues" dxfId="446" priority="210130"/>
    <cfRule type="duplicateValues" dxfId="445" priority="210131"/>
    <cfRule type="duplicateValues" dxfId="444" priority="210132"/>
    <cfRule type="duplicateValues" dxfId="443" priority="210133"/>
    <cfRule type="duplicateValues" dxfId="442" priority="210134"/>
    <cfRule type="duplicateValues" dxfId="441" priority="210135"/>
    <cfRule type="duplicateValues" dxfId="440" priority="210136"/>
    <cfRule type="duplicateValues" dxfId="439" priority="210137"/>
    <cfRule type="duplicateValues" dxfId="438" priority="210138"/>
    <cfRule type="duplicateValues" dxfId="437" priority="210139"/>
    <cfRule type="duplicateValues" dxfId="436" priority="210140"/>
    <cfRule type="duplicateValues" dxfId="435" priority="210141"/>
    <cfRule type="duplicateValues" dxfId="434" priority="210142"/>
    <cfRule type="duplicateValues" dxfId="433" priority="210143"/>
    <cfRule type="duplicateValues" dxfId="432" priority="210144"/>
    <cfRule type="duplicateValues" dxfId="431" priority="210145"/>
    <cfRule type="duplicateValues" dxfId="430" priority="210146"/>
    <cfRule type="duplicateValues" dxfId="429" priority="210147"/>
    <cfRule type="duplicateValues" dxfId="428" priority="210148"/>
    <cfRule type="duplicateValues" dxfId="427" priority="210149"/>
    <cfRule type="duplicateValues" dxfId="426" priority="210150"/>
    <cfRule type="duplicateValues" dxfId="425" priority="210151"/>
    <cfRule type="duplicateValues" dxfId="424" priority="210152"/>
    <cfRule type="duplicateValues" dxfId="423" priority="210153"/>
    <cfRule type="duplicateValues" dxfId="422" priority="210154"/>
    <cfRule type="duplicateValues" dxfId="421" priority="210155"/>
    <cfRule type="duplicateValues" dxfId="420" priority="210156"/>
    <cfRule type="duplicateValues" dxfId="419" priority="210158"/>
    <cfRule type="duplicateValues" dxfId="418" priority="210159"/>
    <cfRule type="duplicateValues" dxfId="417" priority="210160"/>
    <cfRule type="duplicateValues" dxfId="416" priority="210161"/>
    <cfRule type="duplicateValues" dxfId="415" priority="210162"/>
    <cfRule type="duplicateValues" dxfId="414" priority="210163"/>
    <cfRule type="duplicateValues" dxfId="413" priority="210164"/>
    <cfRule type="duplicateValues" dxfId="412" priority="210165"/>
    <cfRule type="duplicateValues" dxfId="411" priority="210166"/>
    <cfRule type="duplicateValues" dxfId="410" priority="210167"/>
    <cfRule type="duplicateValues" dxfId="409" priority="210168"/>
    <cfRule type="duplicateValues" dxfId="408" priority="210169"/>
    <cfRule type="duplicateValues" dxfId="407" priority="210170"/>
    <cfRule type="duplicateValues" dxfId="406" priority="210171"/>
    <cfRule type="duplicateValues" dxfId="405" priority="210172"/>
    <cfRule type="duplicateValues" dxfId="404" priority="210173"/>
    <cfRule type="duplicateValues" dxfId="403" priority="210174"/>
    <cfRule type="duplicateValues" dxfId="402" priority="210175"/>
    <cfRule type="duplicateValues" dxfId="401" priority="210176"/>
    <cfRule type="duplicateValues" dxfId="400" priority="210177"/>
    <cfRule type="duplicateValues" dxfId="399" priority="210178"/>
    <cfRule type="duplicateValues" dxfId="398" priority="210179"/>
    <cfRule type="duplicateValues" dxfId="397" priority="210180"/>
    <cfRule type="duplicateValues" dxfId="396" priority="210181"/>
    <cfRule type="duplicateValues" dxfId="395" priority="210182"/>
    <cfRule type="duplicateValues" dxfId="394" priority="210183"/>
    <cfRule type="duplicateValues" dxfId="393" priority="210184"/>
    <cfRule type="duplicateValues" dxfId="392" priority="210185"/>
    <cfRule type="duplicateValues" dxfId="391" priority="210186"/>
    <cfRule type="duplicateValues" dxfId="390" priority="210187"/>
    <cfRule type="duplicateValues" dxfId="389" priority="210188"/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5986-1E4E-49BE-93F3-A4D1E6D7909E}">
  <dimension ref="A1:I4"/>
  <sheetViews>
    <sheetView workbookViewId="0">
      <selection sqref="A1:I1"/>
    </sheetView>
  </sheetViews>
  <sheetFormatPr defaultRowHeight="14.4"/>
  <cols>
    <col min="1" max="1" width="3.33203125" bestFit="1" customWidth="1"/>
    <col min="2" max="2" width="12.6640625" customWidth="1"/>
    <col min="3" max="3" width="6.33203125" customWidth="1"/>
    <col min="4" max="4" width="11.21875" customWidth="1"/>
    <col min="5" max="5" width="16.44140625" customWidth="1"/>
    <col min="6" max="6" width="10.109375" customWidth="1"/>
    <col min="7" max="8" width="9.44140625" customWidth="1"/>
    <col min="9" max="9" width="38" customWidth="1"/>
  </cols>
  <sheetData>
    <row r="1" spans="1:9" ht="25.8">
      <c r="A1" s="280" t="s">
        <v>679</v>
      </c>
      <c r="B1" s="280"/>
      <c r="C1" s="280"/>
      <c r="D1" s="280"/>
      <c r="E1" s="281"/>
      <c r="F1" s="280"/>
      <c r="G1" s="280"/>
      <c r="H1" s="280"/>
      <c r="I1" s="280"/>
    </row>
    <row r="2" spans="1:9">
      <c r="A2" s="282" t="s">
        <v>4382</v>
      </c>
      <c r="B2" s="282"/>
      <c r="C2" s="282"/>
      <c r="D2" s="282"/>
      <c r="E2" s="283"/>
      <c r="F2" s="282"/>
      <c r="G2" s="282"/>
      <c r="H2" s="282"/>
      <c r="I2" s="282"/>
    </row>
    <row r="3" spans="1:9">
      <c r="A3" s="186" t="s">
        <v>22</v>
      </c>
      <c r="B3" s="186" t="s">
        <v>13</v>
      </c>
      <c r="C3" s="186" t="s">
        <v>26</v>
      </c>
      <c r="D3" s="186" t="s">
        <v>14</v>
      </c>
      <c r="E3" s="187" t="s">
        <v>15</v>
      </c>
      <c r="F3" s="186" t="s">
        <v>16</v>
      </c>
      <c r="G3" s="186" t="s">
        <v>17</v>
      </c>
      <c r="H3" s="186" t="s">
        <v>18</v>
      </c>
      <c r="I3" s="186" t="s">
        <v>19</v>
      </c>
    </row>
    <row r="4" spans="1:9">
      <c r="A4" s="155">
        <v>1</v>
      </c>
      <c r="B4" s="156"/>
      <c r="C4" s="155"/>
      <c r="D4" s="155"/>
      <c r="E4" s="157"/>
      <c r="F4" s="158"/>
      <c r="G4" s="158"/>
      <c r="H4" s="158"/>
      <c r="I4" s="155"/>
    </row>
  </sheetData>
  <mergeCells count="2">
    <mergeCell ref="A1:I1"/>
    <mergeCell ref="A2:I2"/>
  </mergeCells>
  <conditionalFormatting sqref="B1:B3">
    <cfRule type="duplicateValues" dxfId="388" priority="9"/>
    <cfRule type="duplicateValues" dxfId="387" priority="10"/>
    <cfRule type="duplicateValues" dxfId="386" priority="11"/>
    <cfRule type="duplicateValues" dxfId="385" priority="12"/>
    <cfRule type="duplicateValues" dxfId="384" priority="13"/>
    <cfRule type="duplicateValues" dxfId="383" priority="14"/>
    <cfRule type="duplicateValues" dxfId="382" priority="15"/>
    <cfRule type="duplicateValues" dxfId="381" priority="16"/>
    <cfRule type="duplicateValues" dxfId="380" priority="17"/>
    <cfRule type="duplicateValues" dxfId="379" priority="18"/>
    <cfRule type="duplicateValues" dxfId="378" priority="19"/>
    <cfRule type="duplicateValues" dxfId="377" priority="20"/>
    <cfRule type="duplicateValues" dxfId="376" priority="21"/>
    <cfRule type="duplicateValues" dxfId="375" priority="22"/>
    <cfRule type="duplicateValues" dxfId="374" priority="23"/>
    <cfRule type="duplicateValues" dxfId="373" priority="24"/>
    <cfRule type="duplicateValues" dxfId="372" priority="25"/>
    <cfRule type="duplicateValues" dxfId="371" priority="26"/>
    <cfRule type="duplicateValues" dxfId="370" priority="27"/>
    <cfRule type="duplicateValues" dxfId="369" priority="28"/>
    <cfRule type="duplicateValues" dxfId="368" priority="29"/>
    <cfRule type="duplicateValues" dxfId="367" priority="30"/>
    <cfRule type="duplicateValues" dxfId="366" priority="31"/>
    <cfRule type="duplicateValues" dxfId="365" priority="32"/>
    <cfRule type="duplicateValues" dxfId="364" priority="33"/>
    <cfRule type="duplicateValues" dxfId="363" priority="34"/>
    <cfRule type="duplicateValues" dxfId="362" priority="35"/>
    <cfRule type="duplicateValues" dxfId="361" priority="36"/>
    <cfRule type="duplicateValues" dxfId="360" priority="37"/>
    <cfRule type="duplicateValues" dxfId="359" priority="38"/>
    <cfRule type="duplicateValues" dxfId="358" priority="39"/>
    <cfRule type="duplicateValues" dxfId="357" priority="40"/>
    <cfRule type="duplicateValues" dxfId="356" priority="41"/>
    <cfRule type="duplicateValues" dxfId="355" priority="42"/>
    <cfRule type="duplicateValues" dxfId="354" priority="43"/>
    <cfRule type="duplicateValues" dxfId="353" priority="44"/>
    <cfRule type="duplicateValues" dxfId="352" priority="45"/>
    <cfRule type="duplicateValues" dxfId="351" priority="46"/>
    <cfRule type="duplicateValues" dxfId="350" priority="47"/>
    <cfRule type="duplicateValues" dxfId="349" priority="48"/>
    <cfRule type="duplicateValues" dxfId="348" priority="49"/>
    <cfRule type="duplicateValues" dxfId="347" priority="50"/>
    <cfRule type="duplicateValues" dxfId="346" priority="51"/>
    <cfRule type="duplicateValues" dxfId="345" priority="52"/>
    <cfRule type="duplicateValues" dxfId="344" priority="53"/>
    <cfRule type="duplicateValues" dxfId="343" priority="54"/>
    <cfRule type="duplicateValues" dxfId="342" priority="55"/>
  </conditionalFormatting>
  <conditionalFormatting sqref="B4">
    <cfRule type="duplicateValues" dxfId="341" priority="228855"/>
    <cfRule type="duplicateValues" dxfId="340" priority="228856"/>
    <cfRule type="duplicateValues" dxfId="339" priority="228857"/>
    <cfRule type="duplicateValues" dxfId="338" priority="228858"/>
    <cfRule type="duplicateValues" dxfId="337" priority="228859"/>
    <cfRule type="duplicateValues" dxfId="336" priority="228860"/>
    <cfRule type="duplicateValues" dxfId="335" priority="228861"/>
    <cfRule type="duplicateValues" dxfId="334" priority="228862"/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19CD-1C89-4498-B52F-6AF460119AE0}">
  <dimension ref="A1:I4"/>
  <sheetViews>
    <sheetView workbookViewId="0">
      <selection activeCell="A4" sqref="A4:I4"/>
    </sheetView>
  </sheetViews>
  <sheetFormatPr defaultRowHeight="14.4"/>
  <cols>
    <col min="1" max="1" width="3.33203125" bestFit="1" customWidth="1"/>
    <col min="2" max="2" width="10" customWidth="1"/>
    <col min="3" max="3" width="4.33203125" bestFit="1" customWidth="1"/>
    <col min="4" max="4" width="20" customWidth="1"/>
    <col min="5" max="5" width="13.88671875" customWidth="1"/>
    <col min="6" max="6" width="9.6640625" customWidth="1"/>
    <col min="7" max="7" width="10.109375" customWidth="1"/>
    <col min="8" max="8" width="9.88671875" customWidth="1"/>
    <col min="9" max="9" width="38.109375" customWidth="1"/>
  </cols>
  <sheetData>
    <row r="1" spans="1:9" ht="25.8">
      <c r="A1" s="280" t="s">
        <v>681</v>
      </c>
      <c r="B1" s="280"/>
      <c r="C1" s="280"/>
      <c r="D1" s="280"/>
      <c r="E1" s="281"/>
      <c r="F1" s="280"/>
      <c r="G1" s="280"/>
      <c r="H1" s="280"/>
      <c r="I1" s="280"/>
    </row>
    <row r="2" spans="1:9">
      <c r="A2" s="282" t="s">
        <v>682</v>
      </c>
      <c r="B2" s="282"/>
      <c r="C2" s="282"/>
      <c r="D2" s="282"/>
      <c r="E2" s="283"/>
      <c r="F2" s="282"/>
      <c r="G2" s="282"/>
      <c r="H2" s="282"/>
      <c r="I2" s="282"/>
    </row>
    <row r="3" spans="1:9">
      <c r="A3" s="186" t="s">
        <v>22</v>
      </c>
      <c r="B3" s="186" t="s">
        <v>13</v>
      </c>
      <c r="C3" s="186" t="s">
        <v>26</v>
      </c>
      <c r="D3" s="186" t="s">
        <v>14</v>
      </c>
      <c r="E3" s="187" t="s">
        <v>15</v>
      </c>
      <c r="F3" s="186" t="s">
        <v>16</v>
      </c>
      <c r="G3" s="186" t="s">
        <v>17</v>
      </c>
      <c r="H3" s="186" t="s">
        <v>18</v>
      </c>
      <c r="I3" s="186" t="s">
        <v>19</v>
      </c>
    </row>
    <row r="4" spans="1:9">
      <c r="A4" s="155"/>
      <c r="B4" s="156"/>
      <c r="C4" s="155"/>
      <c r="D4" s="155"/>
      <c r="E4" s="157"/>
      <c r="F4" s="158"/>
      <c r="G4" s="158"/>
      <c r="H4" s="158"/>
      <c r="I4" s="155"/>
    </row>
  </sheetData>
  <mergeCells count="2">
    <mergeCell ref="A1:I1"/>
    <mergeCell ref="A2:I2"/>
  </mergeCells>
  <conditionalFormatting sqref="B1:B3">
    <cfRule type="duplicateValues" dxfId="333" priority="9"/>
    <cfRule type="duplicateValues" dxfId="332" priority="10"/>
    <cfRule type="duplicateValues" dxfId="331" priority="11"/>
    <cfRule type="duplicateValues" dxfId="330" priority="12"/>
    <cfRule type="duplicateValues" dxfId="329" priority="13"/>
    <cfRule type="duplicateValues" dxfId="328" priority="14"/>
    <cfRule type="duplicateValues" dxfId="327" priority="15"/>
    <cfRule type="duplicateValues" dxfId="326" priority="16"/>
    <cfRule type="duplicateValues" dxfId="325" priority="17"/>
    <cfRule type="duplicateValues" dxfId="324" priority="18"/>
    <cfRule type="duplicateValues" dxfId="323" priority="19"/>
    <cfRule type="duplicateValues" dxfId="322" priority="20"/>
    <cfRule type="duplicateValues" dxfId="321" priority="21"/>
    <cfRule type="duplicateValues" dxfId="320" priority="22"/>
    <cfRule type="duplicateValues" dxfId="319" priority="23"/>
    <cfRule type="duplicateValues" dxfId="318" priority="24"/>
    <cfRule type="duplicateValues" dxfId="317" priority="25"/>
    <cfRule type="duplicateValues" dxfId="316" priority="26"/>
    <cfRule type="duplicateValues" dxfId="315" priority="27"/>
    <cfRule type="duplicateValues" dxfId="314" priority="28"/>
    <cfRule type="duplicateValues" dxfId="313" priority="29"/>
    <cfRule type="duplicateValues" dxfId="312" priority="30"/>
    <cfRule type="duplicateValues" dxfId="311" priority="31"/>
    <cfRule type="duplicateValues" dxfId="310" priority="32"/>
    <cfRule type="duplicateValues" dxfId="309" priority="33"/>
    <cfRule type="duplicateValues" dxfId="308" priority="34"/>
    <cfRule type="duplicateValues" dxfId="307" priority="35"/>
    <cfRule type="duplicateValues" dxfId="306" priority="36"/>
    <cfRule type="duplicateValues" dxfId="305" priority="37"/>
    <cfRule type="duplicateValues" dxfId="304" priority="38"/>
    <cfRule type="duplicateValues" dxfId="303" priority="39"/>
    <cfRule type="duplicateValues" dxfId="302" priority="40"/>
    <cfRule type="duplicateValues" dxfId="301" priority="41"/>
    <cfRule type="duplicateValues" dxfId="300" priority="42"/>
    <cfRule type="duplicateValues" dxfId="299" priority="43"/>
    <cfRule type="duplicateValues" dxfId="298" priority="44"/>
    <cfRule type="duplicateValues" dxfId="297" priority="45"/>
    <cfRule type="duplicateValues" dxfId="296" priority="46"/>
    <cfRule type="duplicateValues" dxfId="295" priority="47"/>
    <cfRule type="duplicateValues" dxfId="294" priority="48"/>
    <cfRule type="duplicateValues" dxfId="293" priority="49"/>
    <cfRule type="duplicateValues" dxfId="292" priority="50"/>
    <cfRule type="duplicateValues" dxfId="291" priority="51"/>
    <cfRule type="duplicateValues" dxfId="290" priority="52"/>
    <cfRule type="duplicateValues" dxfId="289" priority="53"/>
    <cfRule type="duplicateValues" dxfId="288" priority="54"/>
    <cfRule type="duplicateValues" dxfId="287" priority="55"/>
  </conditionalFormatting>
  <conditionalFormatting sqref="B4">
    <cfRule type="duplicateValues" dxfId="286" priority="221353"/>
    <cfRule type="duplicateValues" dxfId="285" priority="221354"/>
    <cfRule type="duplicateValues" dxfId="284" priority="221355"/>
    <cfRule type="duplicateValues" dxfId="283" priority="221356"/>
    <cfRule type="duplicateValues" dxfId="282" priority="221357"/>
    <cfRule type="duplicateValues" dxfId="281" priority="221358"/>
    <cfRule type="duplicateValues" dxfId="280" priority="221359"/>
    <cfRule type="duplicateValues" dxfId="279" priority="221360"/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FD6C-52F2-4027-95A9-8E9DC4C21C19}">
  <dimension ref="A1:I4"/>
  <sheetViews>
    <sheetView workbookViewId="0">
      <selection activeCell="B4" sqref="B4:I4"/>
    </sheetView>
  </sheetViews>
  <sheetFormatPr defaultRowHeight="14.4"/>
  <cols>
    <col min="2" max="2" width="12.6640625" customWidth="1"/>
    <col min="4" max="4" width="21.5546875" customWidth="1"/>
    <col min="5" max="5" width="15" customWidth="1"/>
    <col min="6" max="6" width="10.6640625" customWidth="1"/>
    <col min="7" max="7" width="10.44140625" customWidth="1"/>
    <col min="8" max="8" width="13.109375" customWidth="1"/>
    <col min="9" max="9" width="33.88671875" customWidth="1"/>
  </cols>
  <sheetData>
    <row r="1" spans="1:9" ht="25.8">
      <c r="A1" s="280" t="s">
        <v>864</v>
      </c>
      <c r="B1" s="280"/>
      <c r="C1" s="280"/>
      <c r="D1" s="280"/>
      <c r="E1" s="281"/>
      <c r="F1" s="280"/>
      <c r="G1" s="280"/>
      <c r="H1" s="280"/>
      <c r="I1" s="280"/>
    </row>
    <row r="2" spans="1:9" ht="15.6">
      <c r="A2" s="284" t="s">
        <v>865</v>
      </c>
      <c r="B2" s="284"/>
      <c r="C2" s="284"/>
      <c r="D2" s="284"/>
      <c r="E2" s="284"/>
      <c r="F2" s="284"/>
      <c r="G2" s="284"/>
      <c r="H2" s="284"/>
      <c r="I2" s="284"/>
    </row>
    <row r="3" spans="1:9">
      <c r="A3" s="37" t="s">
        <v>22</v>
      </c>
      <c r="B3" s="35" t="s">
        <v>13</v>
      </c>
      <c r="C3" s="35" t="s">
        <v>26</v>
      </c>
      <c r="D3" s="35" t="s">
        <v>14</v>
      </c>
      <c r="E3" s="36" t="s">
        <v>15</v>
      </c>
      <c r="F3" s="36" t="s">
        <v>16</v>
      </c>
      <c r="G3" s="36" t="s">
        <v>17</v>
      </c>
      <c r="H3" s="35" t="s">
        <v>18</v>
      </c>
      <c r="I3" s="35" t="s">
        <v>19</v>
      </c>
    </row>
    <row r="4" spans="1:9">
      <c r="A4" s="1">
        <v>1</v>
      </c>
      <c r="B4" s="13"/>
      <c r="C4" s="8"/>
      <c r="D4" s="12"/>
      <c r="E4" s="11"/>
      <c r="F4" s="10"/>
      <c r="G4" s="9"/>
      <c r="H4" s="8"/>
      <c r="I4" s="8"/>
    </row>
  </sheetData>
  <mergeCells count="2">
    <mergeCell ref="A1:I1"/>
    <mergeCell ref="A2:I2"/>
  </mergeCells>
  <conditionalFormatting sqref="B1">
    <cfRule type="duplicateValues" dxfId="278" priority="241"/>
    <cfRule type="duplicateValues" dxfId="277" priority="242"/>
    <cfRule type="duplicateValues" dxfId="276" priority="243"/>
    <cfRule type="duplicateValues" dxfId="275" priority="244"/>
    <cfRule type="duplicateValues" dxfId="274" priority="245"/>
    <cfRule type="duplicateValues" dxfId="273" priority="246"/>
    <cfRule type="duplicateValues" dxfId="272" priority="247"/>
    <cfRule type="duplicateValues" dxfId="271" priority="248"/>
    <cfRule type="duplicateValues" dxfId="270" priority="249"/>
    <cfRule type="duplicateValues" dxfId="269" priority="250"/>
    <cfRule type="duplicateValues" dxfId="268" priority="251"/>
    <cfRule type="duplicateValues" dxfId="267" priority="252"/>
    <cfRule type="duplicateValues" dxfId="266" priority="253"/>
    <cfRule type="duplicateValues" dxfId="265" priority="254"/>
    <cfRule type="duplicateValues" dxfId="264" priority="255"/>
    <cfRule type="duplicateValues" dxfId="263" priority="256"/>
    <cfRule type="duplicateValues" dxfId="262" priority="257"/>
    <cfRule type="duplicateValues" dxfId="261" priority="258"/>
    <cfRule type="duplicateValues" dxfId="260" priority="259"/>
    <cfRule type="duplicateValues" dxfId="259" priority="260"/>
    <cfRule type="duplicateValues" dxfId="258" priority="261"/>
    <cfRule type="duplicateValues" dxfId="257" priority="262"/>
    <cfRule type="duplicateValues" dxfId="256" priority="263"/>
    <cfRule type="duplicateValues" dxfId="255" priority="264"/>
    <cfRule type="duplicateValues" dxfId="254" priority="265"/>
    <cfRule type="duplicateValues" dxfId="253" priority="266"/>
    <cfRule type="duplicateValues" dxfId="252" priority="267"/>
    <cfRule type="duplicateValues" dxfId="251" priority="268"/>
    <cfRule type="duplicateValues" dxfId="250" priority="269"/>
    <cfRule type="duplicateValues" dxfId="249" priority="270"/>
    <cfRule type="duplicateValues" dxfId="248" priority="271"/>
    <cfRule type="duplicateValues" dxfId="247" priority="272"/>
    <cfRule type="duplicateValues" dxfId="246" priority="273"/>
    <cfRule type="duplicateValues" dxfId="245" priority="274"/>
    <cfRule type="duplicateValues" dxfId="244" priority="275"/>
    <cfRule type="duplicateValues" dxfId="243" priority="276"/>
    <cfRule type="duplicateValues" dxfId="242" priority="277"/>
    <cfRule type="duplicateValues" dxfId="241" priority="278"/>
    <cfRule type="duplicateValues" dxfId="240" priority="279"/>
    <cfRule type="duplicateValues" dxfId="239" priority="280"/>
    <cfRule type="duplicateValues" dxfId="238" priority="281"/>
    <cfRule type="duplicateValues" dxfId="237" priority="282"/>
    <cfRule type="duplicateValues" dxfId="236" priority="283"/>
    <cfRule type="duplicateValues" dxfId="235" priority="284"/>
    <cfRule type="duplicateValues" dxfId="234" priority="285"/>
    <cfRule type="duplicateValues" dxfId="233" priority="286"/>
    <cfRule type="duplicateValues" dxfId="232" priority="287"/>
  </conditionalFormatting>
  <conditionalFormatting sqref="B2">
    <cfRule type="duplicateValues" dxfId="231" priority="1"/>
    <cfRule type="duplicateValues" dxfId="230" priority="2"/>
    <cfRule type="duplicateValues" dxfId="229" priority="3"/>
    <cfRule type="duplicateValues" dxfId="228" priority="4"/>
    <cfRule type="duplicateValues" dxfId="227" priority="5"/>
    <cfRule type="duplicateValues" dxfId="226" priority="6"/>
    <cfRule type="duplicateValues" dxfId="225" priority="7"/>
    <cfRule type="duplicateValues" dxfId="224" priority="8"/>
    <cfRule type="duplicateValues" dxfId="223" priority="9"/>
    <cfRule type="duplicateValues" dxfId="222" priority="10"/>
    <cfRule type="duplicateValues" dxfId="221" priority="11"/>
    <cfRule type="duplicateValues" dxfId="220" priority="12"/>
    <cfRule type="duplicateValues" dxfId="219" priority="13"/>
    <cfRule type="duplicateValues" dxfId="218" priority="14"/>
    <cfRule type="duplicateValues" dxfId="217" priority="15"/>
    <cfRule type="duplicateValues" dxfId="216" priority="16"/>
    <cfRule type="duplicateValues" dxfId="215" priority="17"/>
    <cfRule type="duplicateValues" dxfId="214" priority="18"/>
    <cfRule type="duplicateValues" dxfId="213" priority="19"/>
    <cfRule type="duplicateValues" dxfId="212" priority="20"/>
    <cfRule type="duplicateValues" dxfId="211" priority="21"/>
    <cfRule type="duplicateValues" dxfId="210" priority="22"/>
    <cfRule type="duplicateValues" dxfId="209" priority="23"/>
    <cfRule type="duplicateValues" dxfId="208" priority="24"/>
    <cfRule type="duplicateValues" dxfId="207" priority="25"/>
    <cfRule type="duplicateValues" dxfId="206" priority="26"/>
    <cfRule type="duplicateValues" dxfId="205" priority="27"/>
    <cfRule type="duplicateValues" dxfId="204" priority="28"/>
    <cfRule type="duplicateValues" dxfId="203" priority="29"/>
    <cfRule type="duplicateValues" dxfId="202" priority="30"/>
    <cfRule type="duplicateValues" dxfId="201" priority="31"/>
    <cfRule type="duplicateValues" dxfId="200" priority="32"/>
    <cfRule type="duplicateValues" dxfId="199" priority="33"/>
    <cfRule type="duplicateValues" dxfId="198" priority="34"/>
    <cfRule type="duplicateValues" dxfId="197" priority="35"/>
    <cfRule type="duplicateValues" dxfId="196" priority="36"/>
    <cfRule type="duplicateValues" dxfId="195" priority="37"/>
    <cfRule type="duplicateValues" dxfId="194" priority="38"/>
    <cfRule type="duplicateValues" dxfId="193" priority="39"/>
    <cfRule type="duplicateValues" dxfId="192" priority="40"/>
    <cfRule type="duplicateValues" dxfId="191" priority="41"/>
    <cfRule type="duplicateValues" dxfId="190" priority="42"/>
    <cfRule type="duplicateValues" dxfId="189" priority="43"/>
    <cfRule type="duplicateValues" dxfId="188" priority="44"/>
    <cfRule type="duplicateValues" dxfId="187" priority="45"/>
    <cfRule type="duplicateValues" dxfId="186" priority="46"/>
    <cfRule type="duplicateValues" dxfId="185" priority="47"/>
    <cfRule type="duplicateValues" dxfId="184" priority="48"/>
    <cfRule type="duplicateValues" dxfId="183" priority="49"/>
    <cfRule type="duplicateValues" dxfId="182" priority="50"/>
    <cfRule type="duplicateValues" dxfId="181" priority="51"/>
    <cfRule type="duplicateValues" dxfId="180" priority="52"/>
    <cfRule type="duplicateValues" dxfId="179" priority="53"/>
    <cfRule type="duplicateValues" dxfId="178" priority="54"/>
    <cfRule type="duplicateValues" dxfId="177" priority="55"/>
    <cfRule type="duplicateValues" dxfId="176" priority="56"/>
    <cfRule type="duplicateValues" dxfId="175" priority="57"/>
    <cfRule type="duplicateValues" dxfId="174" priority="58"/>
    <cfRule type="duplicateValues" dxfId="173" priority="59"/>
    <cfRule type="duplicateValues" dxfId="172" priority="60"/>
    <cfRule type="duplicateValues" dxfId="171" priority="61"/>
    <cfRule type="duplicateValues" dxfId="170" priority="62"/>
    <cfRule type="duplicateValues" dxfId="169" priority="63"/>
    <cfRule type="duplicateValues" dxfId="168" priority="64"/>
    <cfRule type="duplicateValues" dxfId="167" priority="65"/>
    <cfRule type="duplicateValues" dxfId="166" priority="66"/>
    <cfRule type="duplicateValues" dxfId="165" priority="67"/>
    <cfRule type="duplicateValues" dxfId="164" priority="68"/>
    <cfRule type="duplicateValues" dxfId="163" priority="69"/>
    <cfRule type="duplicateValues" dxfId="162" priority="70"/>
    <cfRule type="duplicateValues" dxfId="161" priority="71"/>
    <cfRule type="duplicateValues" dxfId="160" priority="72"/>
    <cfRule type="duplicateValues" dxfId="159" priority="73"/>
    <cfRule type="duplicateValues" dxfId="158" priority="74"/>
    <cfRule type="duplicateValues" dxfId="157" priority="75"/>
    <cfRule type="duplicateValues" dxfId="156" priority="76"/>
    <cfRule type="duplicateValues" dxfId="155" priority="77"/>
    <cfRule type="duplicateValues" dxfId="154" priority="78"/>
    <cfRule type="duplicateValues" dxfId="153" priority="79"/>
    <cfRule type="duplicateValues" dxfId="152" priority="80"/>
    <cfRule type="duplicateValues" dxfId="151" priority="81"/>
    <cfRule type="duplicateValues" dxfId="150" priority="82"/>
    <cfRule type="duplicateValues" dxfId="149" priority="83"/>
  </conditionalFormatting>
  <conditionalFormatting sqref="B3">
    <cfRule type="duplicateValues" dxfId="148" priority="188"/>
    <cfRule type="duplicateValues" dxfId="147" priority="189"/>
    <cfRule type="duplicateValues" dxfId="146" priority="190"/>
    <cfRule type="duplicateValues" dxfId="145" priority="191"/>
    <cfRule type="duplicateValues" dxfId="144" priority="192"/>
    <cfRule type="duplicateValues" dxfId="143" priority="193"/>
    <cfRule type="duplicateValues" dxfId="142" priority="194"/>
    <cfRule type="duplicateValues" dxfId="141" priority="195"/>
    <cfRule type="duplicateValues" dxfId="140" priority="196"/>
    <cfRule type="duplicateValues" dxfId="139" priority="197"/>
    <cfRule type="duplicateValues" dxfId="138" priority="198"/>
    <cfRule type="duplicateValues" dxfId="137" priority="199"/>
    <cfRule type="duplicateValues" dxfId="136" priority="200"/>
    <cfRule type="duplicateValues" dxfId="135" priority="201"/>
    <cfRule type="duplicateValues" dxfId="134" priority="202"/>
    <cfRule type="duplicateValues" dxfId="133" priority="203"/>
    <cfRule type="duplicateValues" dxfId="132" priority="204"/>
    <cfRule type="duplicateValues" dxfId="131" priority="205"/>
    <cfRule type="duplicateValues" dxfId="130" priority="206"/>
    <cfRule type="duplicateValues" dxfId="129" priority="207"/>
    <cfRule type="duplicateValues" dxfId="128" priority="208"/>
    <cfRule type="duplicateValues" dxfId="127" priority="209"/>
    <cfRule type="duplicateValues" dxfId="126" priority="210"/>
    <cfRule type="duplicateValues" dxfId="125" priority="211"/>
    <cfRule type="duplicateValues" dxfId="124" priority="212"/>
    <cfRule type="duplicateValues" dxfId="123" priority="213"/>
    <cfRule type="duplicateValues" dxfId="122" priority="214"/>
    <cfRule type="duplicateValues" dxfId="121" priority="215"/>
    <cfRule type="duplicateValues" dxfId="120" priority="216"/>
    <cfRule type="duplicateValues" dxfId="119" priority="217"/>
    <cfRule type="duplicateValues" dxfId="118" priority="218"/>
    <cfRule type="duplicateValues" dxfId="117" priority="219"/>
    <cfRule type="duplicateValues" dxfId="116" priority="220"/>
    <cfRule type="duplicateValues" dxfId="115" priority="221"/>
    <cfRule type="duplicateValues" dxfId="114" priority="222"/>
    <cfRule type="duplicateValues" dxfId="113" priority="223"/>
    <cfRule type="duplicateValues" dxfId="112" priority="224"/>
    <cfRule type="duplicateValues" dxfId="111" priority="225"/>
    <cfRule type="duplicateValues" dxfId="110" priority="226"/>
    <cfRule type="duplicateValues" dxfId="109" priority="227"/>
    <cfRule type="duplicateValues" dxfId="108" priority="228"/>
    <cfRule type="duplicateValues" dxfId="107" priority="229"/>
    <cfRule type="duplicateValues" dxfId="106" priority="230"/>
    <cfRule type="duplicateValues" dxfId="105" priority="231"/>
    <cfRule type="duplicateValues" dxfId="104" priority="232"/>
  </conditionalFormatting>
  <conditionalFormatting sqref="B3:B4">
    <cfRule type="duplicateValues" dxfId="103" priority="84"/>
    <cfRule type="duplicateValues" dxfId="102" priority="85"/>
    <cfRule type="duplicateValues" dxfId="101" priority="86"/>
    <cfRule type="duplicateValues" dxfId="100" priority="87"/>
    <cfRule type="duplicateValues" dxfId="99" priority="88"/>
    <cfRule type="duplicateValues" dxfId="98" priority="89"/>
    <cfRule type="duplicateValues" dxfId="97" priority="90"/>
    <cfRule type="duplicateValues" dxfId="96" priority="91"/>
    <cfRule type="duplicateValues" dxfId="95" priority="92"/>
    <cfRule type="duplicateValues" dxfId="94" priority="93"/>
    <cfRule type="duplicateValues" dxfId="93" priority="94"/>
    <cfRule type="duplicateValues" dxfId="92" priority="95"/>
    <cfRule type="duplicateValues" dxfId="91" priority="96"/>
    <cfRule type="duplicateValues" dxfId="90" priority="97"/>
    <cfRule type="duplicateValues" dxfId="89" priority="98"/>
    <cfRule type="duplicateValues" dxfId="88" priority="99"/>
    <cfRule type="duplicateValues" dxfId="87" priority="100"/>
    <cfRule type="duplicateValues" dxfId="86" priority="101"/>
    <cfRule type="duplicateValues" dxfId="85" priority="102"/>
    <cfRule type="duplicateValues" dxfId="84" priority="103"/>
    <cfRule type="duplicateValues" dxfId="83" priority="104"/>
    <cfRule type="duplicateValues" dxfId="82" priority="105"/>
    <cfRule type="duplicateValues" dxfId="81" priority="106"/>
    <cfRule type="duplicateValues" dxfId="80" priority="107"/>
    <cfRule type="duplicateValues" dxfId="79" priority="108"/>
    <cfRule type="duplicateValues" dxfId="78" priority="109"/>
    <cfRule type="duplicateValues" dxfId="77" priority="130"/>
    <cfRule type="duplicateValues" dxfId="76" priority="131"/>
    <cfRule type="duplicateValues" dxfId="75" priority="132"/>
    <cfRule type="duplicateValues" dxfId="74" priority="133"/>
    <cfRule type="duplicateValues" dxfId="73" priority="134"/>
    <cfRule type="duplicateValues" dxfId="72" priority="135"/>
    <cfRule type="duplicateValues" dxfId="71" priority="136"/>
    <cfRule type="duplicateValues" dxfId="70" priority="137"/>
    <cfRule type="duplicateValues" dxfId="69" priority="138"/>
    <cfRule type="duplicateValues" dxfId="68" priority="139"/>
    <cfRule type="duplicateValues" dxfId="67" priority="140"/>
    <cfRule type="duplicateValues" dxfId="66" priority="141"/>
    <cfRule type="duplicateValues" dxfId="65" priority="142"/>
  </conditionalFormatting>
  <conditionalFormatting sqref="B4">
    <cfRule type="duplicateValues" dxfId="64" priority="110"/>
    <cfRule type="duplicateValues" dxfId="63" priority="111"/>
    <cfRule type="duplicateValues" dxfId="62" priority="112"/>
    <cfRule type="duplicateValues" dxfId="61" priority="113"/>
    <cfRule type="duplicateValues" dxfId="60" priority="114"/>
    <cfRule type="duplicateValues" dxfId="59" priority="115"/>
    <cfRule type="duplicateValues" dxfId="58" priority="116"/>
    <cfRule type="duplicateValues" dxfId="57" priority="117"/>
    <cfRule type="duplicateValues" dxfId="56" priority="118"/>
    <cfRule type="duplicateValues" dxfId="55" priority="119"/>
    <cfRule type="duplicateValues" dxfId="54" priority="120"/>
    <cfRule type="duplicateValues" dxfId="53" priority="121"/>
    <cfRule type="duplicateValues" dxfId="52" priority="122"/>
    <cfRule type="duplicateValues" dxfId="51" priority="123"/>
    <cfRule type="duplicateValues" dxfId="50" priority="124"/>
    <cfRule type="duplicateValues" dxfId="49" priority="125"/>
    <cfRule type="duplicateValues" dxfId="48" priority="126"/>
    <cfRule type="duplicateValues" dxfId="47" priority="127"/>
    <cfRule type="duplicateValues" dxfId="46" priority="128"/>
    <cfRule type="duplicateValues" dxfId="45" priority="129"/>
    <cfRule type="duplicateValues" dxfId="44" priority="143"/>
    <cfRule type="duplicateValues" dxfId="43" priority="144"/>
    <cfRule type="duplicateValues" dxfId="42" priority="145"/>
    <cfRule type="duplicateValues" dxfId="41" priority="146"/>
    <cfRule type="duplicateValues" dxfId="40" priority="147"/>
    <cfRule type="duplicateValues" dxfId="39" priority="148"/>
    <cfRule type="duplicateValues" dxfId="38" priority="149"/>
    <cfRule type="duplicateValues" dxfId="37" priority="150"/>
    <cfRule type="duplicateValues" dxfId="36" priority="151"/>
    <cfRule type="duplicateValues" dxfId="35" priority="152"/>
    <cfRule type="duplicateValues" dxfId="34" priority="153"/>
    <cfRule type="duplicateValues" dxfId="33" priority="154"/>
    <cfRule type="duplicateValues" dxfId="32" priority="155"/>
    <cfRule type="duplicateValues" dxfId="31" priority="156"/>
    <cfRule type="duplicateValues" dxfId="30" priority="157"/>
    <cfRule type="duplicateValues" dxfId="29" priority="158"/>
    <cfRule type="duplicateValues" dxfId="28" priority="159"/>
    <cfRule type="duplicateValues" dxfId="27" priority="160"/>
    <cfRule type="duplicateValues" dxfId="26" priority="161"/>
    <cfRule type="duplicateValues" dxfId="25" priority="162"/>
    <cfRule type="duplicateValues" dxfId="24" priority="163"/>
    <cfRule type="duplicateValues" dxfId="23" priority="164"/>
    <cfRule type="duplicateValues" dxfId="22" priority="165"/>
    <cfRule type="duplicateValues" dxfId="21" priority="166"/>
    <cfRule type="duplicateValues" dxfId="20" priority="167"/>
    <cfRule type="duplicateValues" dxfId="19" priority="168"/>
    <cfRule type="duplicateValues" dxfId="18" priority="169"/>
    <cfRule type="duplicateValues" dxfId="17" priority="170"/>
    <cfRule type="duplicateValues" dxfId="16" priority="171"/>
    <cfRule type="duplicateValues" dxfId="15" priority="172"/>
    <cfRule type="duplicateValues" dxfId="14" priority="173"/>
    <cfRule type="duplicateValues" dxfId="13" priority="174"/>
    <cfRule type="duplicateValues" dxfId="12" priority="175"/>
    <cfRule type="duplicateValues" dxfId="11" priority="176"/>
    <cfRule type="duplicateValues" dxfId="10" priority="177"/>
    <cfRule type="duplicateValues" dxfId="9" priority="178"/>
    <cfRule type="duplicateValues" dxfId="8" priority="179"/>
    <cfRule type="duplicateValues" dxfId="7" priority="180"/>
    <cfRule type="duplicateValues" dxfId="6" priority="181"/>
    <cfRule type="duplicateValues" dxfId="5" priority="182"/>
    <cfRule type="duplicateValues" dxfId="4" priority="183"/>
    <cfRule type="duplicateValues" dxfId="3" priority="184"/>
    <cfRule type="duplicateValues" dxfId="2" priority="185"/>
    <cfRule type="duplicateValues" dxfId="1" priority="186"/>
    <cfRule type="duplicateValues" dxfId="0" priority="18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BUGATTI</vt:lpstr>
      <vt:lpstr>BURJ</vt:lpstr>
      <vt:lpstr>MERCEDES</vt:lpstr>
      <vt:lpstr>AMBERHALL</vt:lpstr>
      <vt:lpstr>CIRCLE</vt:lpstr>
      <vt:lpstr>AQUARISE</vt:lpstr>
      <vt:lpstr>ELITE</vt:lpstr>
      <vt:lpstr>CULLINAN</vt:lpstr>
      <vt:lpstr>ETHEREA</vt:lpstr>
      <vt:lpstr>FLARE 01</vt:lpstr>
      <vt:lpstr>FLARE 02</vt:lpstr>
      <vt:lpstr>GHOST</vt:lpstr>
      <vt:lpstr>HAVEN</vt:lpstr>
      <vt:lpstr>GROVE</vt:lpstr>
      <vt:lpstr>HILLCREST</vt:lpstr>
      <vt:lpstr>HILLSIDE</vt:lpstr>
      <vt:lpstr>HILL VIEWS</vt:lpstr>
      <vt:lpstr>IVORY</vt:lpstr>
      <vt:lpstr>MOONLIGHT</vt:lpstr>
      <vt:lpstr>ONE BY BINGHATTI</vt:lpstr>
      <vt:lpstr>LUXURIA</vt:lpstr>
      <vt:lpstr>MAYBACH 6</vt:lpstr>
      <vt:lpstr>MAYBACH ULTIMATE LUXURY</vt:lpstr>
      <vt:lpstr>PROJECT MAYBACH</vt:lpstr>
      <vt:lpstr>PINNACLE</vt:lpstr>
      <vt:lpstr>RUBY</vt:lpstr>
      <vt:lpstr>VISION ICONIC</vt:lpstr>
      <vt:lpstr>SKYBLADE</vt:lpstr>
      <vt:lpstr>SKYHALL</vt:lpstr>
      <vt:lpstr>SKY TERRACES</vt:lpstr>
      <vt:lpstr>SKYFLAME 1</vt:lpstr>
      <vt:lpstr>SKYFLAME 2</vt:lpstr>
      <vt:lpstr>SKY RISE</vt:lpstr>
      <vt:lpstr>STARLIGHT</vt:lpstr>
      <vt:lpstr>TITANIA</vt:lpstr>
      <vt:lpstr>TWILIGHT</vt:lpstr>
      <vt:lpstr>VINTAGE</vt:lpstr>
      <vt:lpstr>BINGHATTI PHANTOM</vt:lpstr>
      <vt:lpstr>CIRLCE</vt:lpstr>
      <vt:lpstr>AURORA</vt:lpstr>
      <vt:lpstr>ORCHID</vt:lpstr>
      <vt:lpstr>ROYALE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Aquino DeVera</dc:creator>
  <cp:lastModifiedBy>Jenny Aquino De Vera</cp:lastModifiedBy>
  <dcterms:created xsi:type="dcterms:W3CDTF">2025-04-06T19:51:03Z</dcterms:created>
  <dcterms:modified xsi:type="dcterms:W3CDTF">2026-05-07T07:51:39Z</dcterms:modified>
</cp:coreProperties>
</file>