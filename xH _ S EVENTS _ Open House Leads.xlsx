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ac Mega Sales Event - On Sit" sheetId="1" r:id="rId4"/>
    <sheet state="hidden" name="Emaar Event 8th Aug" sheetId="2" r:id="rId5"/>
    <sheet state="visible" name="Armani Event - China Golden Wee" sheetId="3" r:id="rId6"/>
    <sheet state="visible" name="Oct 5 2019 - Chinese Event On S" sheetId="4" r:id="rId7"/>
    <sheet state="hidden" name="EMAAR SALES EVENT Mktg Leads Ju" sheetId="5" r:id="rId8"/>
    <sheet state="hidden" name="Creek Open House Leads  2019" sheetId="6" r:id="rId9"/>
    <sheet state="hidden" name="Emaar Sales Event Mktg Leads 20" sheetId="7" r:id="rId10"/>
    <sheet state="visible" name="Damac Open House 2020 Mktg Lead" sheetId="8" r:id="rId11"/>
    <sheet state="visible" name="EMAAR EVENT AUG 8TH" sheetId="9" r:id="rId12"/>
    <sheet state="visible" name="DAMAC Jordan Mktg Leads Oct 201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6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<sst xmlns="http://schemas.openxmlformats.org/spreadsheetml/2006/main" count="1670" uniqueCount="956">
  <si>
    <t>Name</t>
  </si>
  <si>
    <t>Mobile</t>
  </si>
  <si>
    <t>Agent</t>
  </si>
  <si>
    <t>Lahori</t>
  </si>
  <si>
    <t>0522241906</t>
  </si>
  <si>
    <t>Suvidha</t>
  </si>
  <si>
    <t>Aseem</t>
  </si>
  <si>
    <t>0556688358</t>
  </si>
  <si>
    <t>Edyta</t>
  </si>
  <si>
    <t>0523381802</t>
  </si>
  <si>
    <t>Nathan</t>
  </si>
  <si>
    <t>Ayham</t>
  </si>
  <si>
    <t>0552415561</t>
  </si>
  <si>
    <t>Dr. Amany</t>
  </si>
  <si>
    <t>0504681710</t>
  </si>
  <si>
    <t>Nadia</t>
  </si>
  <si>
    <t>Pedro Eusebio</t>
  </si>
  <si>
    <t>0555817863 (Nadia)</t>
  </si>
  <si>
    <t>Aneesh</t>
  </si>
  <si>
    <t>nadia will give</t>
  </si>
  <si>
    <t xml:space="preserve">Ranjith </t>
  </si>
  <si>
    <t>0504515492</t>
  </si>
  <si>
    <t>Yasser Abassi</t>
  </si>
  <si>
    <t>0527891212</t>
  </si>
  <si>
    <t>Elena</t>
  </si>
  <si>
    <t>Ameena</t>
  </si>
  <si>
    <t>0523808000</t>
  </si>
  <si>
    <t>Claudine</t>
  </si>
  <si>
    <t>0504271329</t>
  </si>
  <si>
    <t>Mr. Hussain</t>
  </si>
  <si>
    <t>0507861493</t>
  </si>
  <si>
    <t>Vikas</t>
  </si>
  <si>
    <t>Mr. Govind Mishra</t>
  </si>
  <si>
    <t>0504414651</t>
  </si>
  <si>
    <t>Syed Tarik</t>
  </si>
  <si>
    <t>0553905686</t>
  </si>
  <si>
    <t>Hasnain</t>
  </si>
  <si>
    <t>0506452906</t>
  </si>
  <si>
    <t>Akmal</t>
  </si>
  <si>
    <t>0506539457</t>
  </si>
  <si>
    <t>Aman</t>
  </si>
  <si>
    <t>Alex &amp; Max</t>
  </si>
  <si>
    <t>0564602411</t>
  </si>
  <si>
    <t>Gracia</t>
  </si>
  <si>
    <t>0551082621</t>
  </si>
  <si>
    <t>Arif</t>
  </si>
  <si>
    <t>Manu</t>
  </si>
  <si>
    <t>0549986198</t>
  </si>
  <si>
    <t>Ashutush Johari</t>
  </si>
  <si>
    <t>0554612626</t>
  </si>
  <si>
    <t>Maryam</t>
  </si>
  <si>
    <t>Mohammad Sadiq</t>
  </si>
  <si>
    <t>0501108606</t>
  </si>
  <si>
    <t>Jacqueline Farid</t>
  </si>
  <si>
    <t>0508450317</t>
  </si>
  <si>
    <t>Aimal khan</t>
  </si>
  <si>
    <t>0509551085</t>
  </si>
  <si>
    <t>Fatinfur</t>
  </si>
  <si>
    <t>0509446698</t>
  </si>
  <si>
    <t>Shilpa Hingorani</t>
  </si>
  <si>
    <t>0544067409</t>
  </si>
  <si>
    <t>Arshe</t>
  </si>
  <si>
    <t>Omran</t>
  </si>
  <si>
    <t>0558845570</t>
  </si>
  <si>
    <t>Raj</t>
  </si>
  <si>
    <t>Ejaz</t>
  </si>
  <si>
    <t>0521056595</t>
  </si>
  <si>
    <t>Ms. Nina Yang</t>
  </si>
  <si>
    <t>Jenny</t>
  </si>
  <si>
    <t>Ms. Jing Li</t>
  </si>
  <si>
    <t>May</t>
  </si>
  <si>
    <t>Mary Li</t>
  </si>
  <si>
    <t>Pradanesh/Ravi</t>
  </si>
  <si>
    <t>0555811705</t>
  </si>
  <si>
    <t>Aysel</t>
  </si>
  <si>
    <t>Musa</t>
  </si>
  <si>
    <t>Sama</t>
  </si>
  <si>
    <t>Aftab</t>
  </si>
  <si>
    <t>0507158210</t>
  </si>
  <si>
    <t>Nigina</t>
  </si>
  <si>
    <t>Ali</t>
  </si>
  <si>
    <t>0529111609</t>
  </si>
  <si>
    <t>Pretash</t>
  </si>
  <si>
    <t>0505018193</t>
  </si>
  <si>
    <t>Tatiana</t>
  </si>
  <si>
    <t>Abdulqader</t>
  </si>
  <si>
    <t>0501578787</t>
  </si>
  <si>
    <t>Kishore</t>
  </si>
  <si>
    <t>0506538982</t>
  </si>
  <si>
    <t>Sameera</t>
  </si>
  <si>
    <t>0563301340</t>
  </si>
  <si>
    <t>Sanjeev</t>
  </si>
  <si>
    <t>0504507148</t>
  </si>
  <si>
    <t>Yexi</t>
  </si>
  <si>
    <t>0557859228</t>
  </si>
  <si>
    <t>Han Wu</t>
  </si>
  <si>
    <t>Dan</t>
  </si>
  <si>
    <t>0555253513</t>
  </si>
  <si>
    <t>Tommy</t>
  </si>
  <si>
    <t>smalves@afkool.com</t>
  </si>
  <si>
    <t>Sofia</t>
  </si>
  <si>
    <t>raj@baadubai.com</t>
  </si>
  <si>
    <t>biyam.emrico@gmail.com</t>
  </si>
  <si>
    <t>Morteza Hoseini</t>
  </si>
  <si>
    <t>diegojaviercarranzaweb@gmail.com</t>
  </si>
  <si>
    <t>Diego Javier Carranza</t>
  </si>
  <si>
    <t>clickinternational123@gmail.com</t>
  </si>
  <si>
    <t>Click International</t>
  </si>
  <si>
    <t>vipinvasu26@gmail.com</t>
  </si>
  <si>
    <t>Vipin Vasu</t>
  </si>
  <si>
    <t>aswaninari@gmail.com</t>
  </si>
  <si>
    <t>Nari Aswani</t>
  </si>
  <si>
    <t>Timestamp</t>
  </si>
  <si>
    <t>Email Address</t>
  </si>
  <si>
    <t>Mobile 联系电话:</t>
  </si>
  <si>
    <t>Name 姓名:</t>
  </si>
  <si>
    <t>Name of Agent who Invited You. 邀请您的代理商名称</t>
  </si>
  <si>
    <t>I am looking to buy an Emaar Property. 我想购买Emaar物业</t>
  </si>
  <si>
    <t>Wsl0218@163.com</t>
  </si>
  <si>
    <t>0528612641</t>
  </si>
  <si>
    <t>Wei</t>
  </si>
  <si>
    <t>Mr Saad</t>
  </si>
  <si>
    <t>Aparment 公寓</t>
  </si>
  <si>
    <t>jiajing0117@hotmail.com</t>
  </si>
  <si>
    <t>0523725873</t>
  </si>
  <si>
    <t>Jiajin Hu</t>
  </si>
  <si>
    <t>Tong Wu</t>
  </si>
  <si>
    <t>BOOKED</t>
  </si>
  <si>
    <t>Registered in Emaar System</t>
  </si>
  <si>
    <t>kacir1986@gmail.com</t>
  </si>
  <si>
    <t>0507141833</t>
  </si>
  <si>
    <t>Ye Gao</t>
  </si>
  <si>
    <t xml:space="preserve">249411699@qq.com </t>
  </si>
  <si>
    <t xml:space="preserve">Dan Xu </t>
  </si>
  <si>
    <t>shifang830815@gmail.com</t>
  </si>
  <si>
    <t>0523118654</t>
  </si>
  <si>
    <t>Fang Shi</t>
  </si>
  <si>
    <t>Plot 情节</t>
  </si>
  <si>
    <t>635145848@qq.com</t>
  </si>
  <si>
    <t>0508684289</t>
  </si>
  <si>
    <t>hai chao</t>
  </si>
  <si>
    <t>noemail@noemail.com</t>
  </si>
  <si>
    <t>0503444929</t>
  </si>
  <si>
    <t>Fahad Beljufla</t>
  </si>
  <si>
    <t xml:space="preserve">NIGINA </t>
  </si>
  <si>
    <t>tanaf@emirates.net.ae</t>
  </si>
  <si>
    <t>0506567319</t>
  </si>
  <si>
    <t>Abubakar Al Amry</t>
  </si>
  <si>
    <t>Daolichen@163.com</t>
  </si>
  <si>
    <t>05000</t>
  </si>
  <si>
    <t>Daolichen</t>
  </si>
  <si>
    <t>Kevy</t>
  </si>
  <si>
    <t>Villa 别墅</t>
  </si>
  <si>
    <t>gomes2003@gmail.com</t>
  </si>
  <si>
    <t xml:space="preserve">Hao Qin </t>
  </si>
  <si>
    <t xml:space="preserve">tong wu </t>
  </si>
  <si>
    <t>Chinayiwu@163.com</t>
  </si>
  <si>
    <t>0551828918</t>
  </si>
  <si>
    <t>Wu</t>
  </si>
  <si>
    <t>shiyi. lei@hotmail.com</t>
  </si>
  <si>
    <t>0563500207</t>
  </si>
  <si>
    <t xml:space="preserve">Shiyi </t>
  </si>
  <si>
    <t>Ming Yan</t>
  </si>
  <si>
    <t>no@email.com</t>
  </si>
  <si>
    <t>0544497977</t>
  </si>
  <si>
    <t>Blericy</t>
  </si>
  <si>
    <t>mushtaq</t>
  </si>
  <si>
    <t>1986585725@qq.com</t>
  </si>
  <si>
    <t>0508583268</t>
  </si>
  <si>
    <t>Jiping Chang</t>
  </si>
  <si>
    <t>Tong</t>
  </si>
  <si>
    <t>Besim_hasabaj@live.dk</t>
  </si>
  <si>
    <t>0544200076</t>
  </si>
  <si>
    <t>Besim</t>
  </si>
  <si>
    <t>Mushtaq</t>
  </si>
  <si>
    <t>jk250@hotmail.com</t>
  </si>
  <si>
    <t>0504207586</t>
  </si>
  <si>
    <t>Jitender Singh</t>
  </si>
  <si>
    <t xml:space="preserve">hysni.besim.llc@gmail.com </t>
  </si>
  <si>
    <t>0501700739</t>
  </si>
  <si>
    <t>hysni besim</t>
  </si>
  <si>
    <t xml:space="preserve">no@email.com </t>
  </si>
  <si>
    <t>0509827403</t>
  </si>
  <si>
    <t>Sumeet Goenka</t>
  </si>
  <si>
    <t>Shruti</t>
  </si>
  <si>
    <t>ayporson@outlook.com</t>
  </si>
  <si>
    <t>0525277375</t>
  </si>
  <si>
    <t>popoola afis</t>
  </si>
  <si>
    <t>arif</t>
  </si>
  <si>
    <t>kselwette1@gmail.com</t>
  </si>
  <si>
    <t>0507587227</t>
  </si>
  <si>
    <t>jelwette kamal</t>
  </si>
  <si>
    <t>aly</t>
  </si>
  <si>
    <t>do not send invitation anymore only here for food</t>
  </si>
  <si>
    <t>minghu@gmail.com</t>
  </si>
  <si>
    <t>0503560680</t>
  </si>
  <si>
    <t>ming</t>
  </si>
  <si>
    <t>43363434@qq.com</t>
  </si>
  <si>
    <t>0553651088</t>
  </si>
  <si>
    <t>Andrew Fang</t>
  </si>
  <si>
    <t>azaqindustries@gmail.com</t>
  </si>
  <si>
    <t>shahzad</t>
  </si>
  <si>
    <t>muhstaq</t>
  </si>
  <si>
    <t>vestin@163.com</t>
  </si>
  <si>
    <t>0547775897</t>
  </si>
  <si>
    <t>Barry</t>
  </si>
  <si>
    <t>Wu Tong</t>
  </si>
  <si>
    <t>crdubai@eim.ae</t>
  </si>
  <si>
    <t>0504510828</t>
  </si>
  <si>
    <t>chen ran</t>
  </si>
  <si>
    <t>michaelz@mmi.ae</t>
  </si>
  <si>
    <t>0566839662</t>
  </si>
  <si>
    <t>zhiga liu</t>
  </si>
  <si>
    <t>0504231160</t>
  </si>
  <si>
    <t>chiali huang</t>
  </si>
  <si>
    <t>han wu</t>
  </si>
  <si>
    <t>Hong Zhou</t>
  </si>
  <si>
    <t>Hong</t>
  </si>
  <si>
    <t>a77aan@163.com</t>
  </si>
  <si>
    <t>Rex</t>
  </si>
  <si>
    <t>liangjianquan@hotmail.com</t>
  </si>
  <si>
    <t>0506751292</t>
  </si>
  <si>
    <t>jian quan liang</t>
  </si>
  <si>
    <t>mary</t>
  </si>
  <si>
    <t>y.njeeb@gmail.com</t>
  </si>
  <si>
    <t>0547135268</t>
  </si>
  <si>
    <t>yosef perakat</t>
  </si>
  <si>
    <t>agne</t>
  </si>
  <si>
    <t>finzermohammed@gmail.com</t>
  </si>
  <si>
    <t>0553279696</t>
  </si>
  <si>
    <t>Finzer Mohammed</t>
  </si>
  <si>
    <t>ke00011@hotmail.com</t>
  </si>
  <si>
    <t>0506312807</t>
  </si>
  <si>
    <t>zheng Rong</t>
  </si>
  <si>
    <t>kevinzidane@hotmail.com</t>
  </si>
  <si>
    <t>+85268956187</t>
  </si>
  <si>
    <t>kai huang</t>
  </si>
  <si>
    <t>wing</t>
  </si>
  <si>
    <t>501672606@qq.com</t>
  </si>
  <si>
    <t>0557381988</t>
  </si>
  <si>
    <t>amy</t>
  </si>
  <si>
    <t>1229658984@qq.com</t>
  </si>
  <si>
    <t>0555527796</t>
  </si>
  <si>
    <t>Mary</t>
  </si>
  <si>
    <t>alyraza74@hotmail.com</t>
  </si>
  <si>
    <t>0556466732</t>
  </si>
  <si>
    <t>Ali Raza</t>
  </si>
  <si>
    <t>Georgina</t>
  </si>
  <si>
    <t>ivan@saeles.us</t>
  </si>
  <si>
    <t>1914770-5070</t>
  </si>
  <si>
    <t>Ivan Seales</t>
  </si>
  <si>
    <t>Waqas Khan</t>
  </si>
  <si>
    <t>bu_yacoob22@hotmail.com</t>
  </si>
  <si>
    <t>0097366369009</t>
  </si>
  <si>
    <t>Adel Alamer</t>
  </si>
  <si>
    <t>Vikas Mangwani</t>
  </si>
  <si>
    <t>Nikhat@alsamiah.com</t>
  </si>
  <si>
    <t>0504680377</t>
  </si>
  <si>
    <t>Nikhat Ali</t>
  </si>
  <si>
    <t>Dubaiwayanzu@gmail.com</t>
  </si>
  <si>
    <t>Chen Chao</t>
  </si>
  <si>
    <t>Shahriar Hemami</t>
  </si>
  <si>
    <t>Kai Huang</t>
  </si>
  <si>
    <t>John An</t>
  </si>
  <si>
    <t>Villa</t>
  </si>
  <si>
    <t>Mr Chen</t>
  </si>
  <si>
    <t>directordubai@gmail.com</t>
  </si>
  <si>
    <t>Krash Kumar</t>
  </si>
  <si>
    <t>Muhamad</t>
  </si>
  <si>
    <t>aypopson@outlook.com</t>
  </si>
  <si>
    <t>Popoola Afis</t>
  </si>
  <si>
    <t>blenniumslimq@gmail.com</t>
  </si>
  <si>
    <t>Blerig</t>
  </si>
  <si>
    <t>nikhat@alsamiah.com</t>
  </si>
  <si>
    <t>Xuan Liu</t>
  </si>
  <si>
    <t>Qin Liu</t>
  </si>
  <si>
    <t>Registered in Emaar System a day after event</t>
  </si>
  <si>
    <t>Lishuang.liza@gmail.com</t>
  </si>
  <si>
    <t>0507154888</t>
  </si>
  <si>
    <t>Liza li</t>
  </si>
  <si>
    <t>Tong wu</t>
  </si>
  <si>
    <t>Shan@hsproperty.ae</t>
  </si>
  <si>
    <t>00966500705555</t>
  </si>
  <si>
    <t>Majed al outaiby</t>
  </si>
  <si>
    <t xml:space="preserve">Ali &amp; shan </t>
  </si>
  <si>
    <t>Lisa@gmail.com</t>
  </si>
  <si>
    <t>042014534</t>
  </si>
  <si>
    <t>Lisa</t>
  </si>
  <si>
    <t xml:space="preserve">Advertising </t>
  </si>
  <si>
    <t>Allylamic@hotmail.com</t>
  </si>
  <si>
    <t>Daviddeqin@icloud.com</t>
  </si>
  <si>
    <t>05019744580</t>
  </si>
  <si>
    <t>David qin</t>
  </si>
  <si>
    <t>Hamdan.hbr.95@gmail.com</t>
  </si>
  <si>
    <t>056833818</t>
  </si>
  <si>
    <t>Hamdan</t>
  </si>
  <si>
    <t>Dilafruz</t>
  </si>
  <si>
    <t>Jacqui@jacqui-lee.com</t>
  </si>
  <si>
    <t>0525968466</t>
  </si>
  <si>
    <t>Jacqui shaddock</t>
  </si>
  <si>
    <t>Same bright this client but we don’t know who invited her</t>
  </si>
  <si>
    <t>shirley887@foxmail.com</t>
  </si>
  <si>
    <t>0551685510</t>
  </si>
  <si>
    <t>Shirley</t>
  </si>
  <si>
    <t>itach1984@163.com</t>
  </si>
  <si>
    <t>+8613922236672</t>
  </si>
  <si>
    <t>Tao</t>
  </si>
  <si>
    <t>Han</t>
  </si>
  <si>
    <t>Zhangxiaotuan@126.com</t>
  </si>
  <si>
    <t>0509288916</t>
  </si>
  <si>
    <t>Coco</t>
  </si>
  <si>
    <t>Sadathpp@gmail.com</t>
  </si>
  <si>
    <t>0503405062</t>
  </si>
  <si>
    <t>Muhammed sadath</t>
  </si>
  <si>
    <t>Tamara</t>
  </si>
  <si>
    <t>Adorn.sun@gmail.com</t>
  </si>
  <si>
    <t>0553901888</t>
  </si>
  <si>
    <t>Adorn Sun</t>
  </si>
  <si>
    <t>melody520145@hotmail.com</t>
  </si>
  <si>
    <t>Zhuojing</t>
  </si>
  <si>
    <t>tong wu</t>
  </si>
  <si>
    <t>744933060@qq.com</t>
  </si>
  <si>
    <t>0505268706</t>
  </si>
  <si>
    <t>Bo</t>
  </si>
  <si>
    <t>3192938@qq.com</t>
  </si>
  <si>
    <t>0503728178</t>
  </si>
  <si>
    <t>Zhao</t>
  </si>
  <si>
    <t>Saad (</t>
  </si>
  <si>
    <t>Wty20198888@126.com</t>
  </si>
  <si>
    <t>HeHeweixuan</t>
  </si>
  <si>
    <t>729847948@qq.com</t>
  </si>
  <si>
    <t>0558229599</t>
  </si>
  <si>
    <t>Yu Chang</t>
  </si>
  <si>
    <t>Fahad malik</t>
  </si>
  <si>
    <t>Faisalkalhumaidan@gmail.com</t>
  </si>
  <si>
    <t>+96595588669</t>
  </si>
  <si>
    <t>Faisal Alhumaidan</t>
  </si>
  <si>
    <t>Aysel &amp; sherry</t>
  </si>
  <si>
    <t>NAME</t>
  </si>
  <si>
    <t>EMAIL</t>
  </si>
  <si>
    <t>MOBILE</t>
  </si>
  <si>
    <t>EVENTS</t>
  </si>
  <si>
    <t>JOB TITLE</t>
  </si>
  <si>
    <t xml:space="preserve">SOURCE </t>
  </si>
  <si>
    <t>AGENT</t>
  </si>
  <si>
    <t>Afsar Mahfooz</t>
  </si>
  <si>
    <t>mahfooz_afsar@yahoo.com</t>
  </si>
  <si>
    <t>EMAAR SALES EVENT 27TH</t>
  </si>
  <si>
    <t>Business development manager</t>
  </si>
  <si>
    <t>FB</t>
  </si>
  <si>
    <t>Mayur</t>
  </si>
  <si>
    <t>Nyleve_13</t>
  </si>
  <si>
    <t>evelynpandalag@gmail.com</t>
  </si>
  <si>
    <t>Sales executive</t>
  </si>
  <si>
    <t>Ratna Anwar Ratna</t>
  </si>
  <si>
    <t>shahidali767775@gmail.com</t>
  </si>
  <si>
    <t>Kerja</t>
  </si>
  <si>
    <t>Nelly</t>
  </si>
  <si>
    <t>Issa Hamed</t>
  </si>
  <si>
    <t>ssrshn@yahoo.com</t>
  </si>
  <si>
    <t>ssrshn@gmail.com</t>
  </si>
  <si>
    <t>Apple Cruz</t>
  </si>
  <si>
    <t>maritescruzcapiz@gmail.com</t>
  </si>
  <si>
    <t>Domestic Helper</t>
  </si>
  <si>
    <t>Sharif Qadoumi</t>
  </si>
  <si>
    <t>sharif.37@hotmail.com</t>
  </si>
  <si>
    <t>Company owner</t>
  </si>
  <si>
    <t>Fayaz Rajput</t>
  </si>
  <si>
    <t>fayaz.raajput@gmail.com</t>
  </si>
  <si>
    <t>Agricultural Engineer</t>
  </si>
  <si>
    <t>Jacob Abraham</t>
  </si>
  <si>
    <t>jacobabrm9@gmail.com</t>
  </si>
  <si>
    <t>construction manager</t>
  </si>
  <si>
    <t>Agne</t>
  </si>
  <si>
    <t>Subrat Nayak</t>
  </si>
  <si>
    <t>subratnayak_india@yahoo.co.in</t>
  </si>
  <si>
    <t>acct executive</t>
  </si>
  <si>
    <t>Mohit Das</t>
  </si>
  <si>
    <t>mohit-das@live.com</t>
  </si>
  <si>
    <t>Business Development Manager</t>
  </si>
  <si>
    <t>Lorelee Rivera</t>
  </si>
  <si>
    <t>leelai_koolit@yahoo.com</t>
  </si>
  <si>
    <t>Operations Manager</t>
  </si>
  <si>
    <t>انعم سلیم احمد</t>
  </si>
  <si>
    <t>anamaltaf@gmail.com</t>
  </si>
  <si>
    <t>Teacher</t>
  </si>
  <si>
    <t>Horcajo Siclaf Eduard</t>
  </si>
  <si>
    <t>falciseduard16@gmail.com</t>
  </si>
  <si>
    <t>Owner</t>
  </si>
  <si>
    <t>Sulinder Singh</t>
  </si>
  <si>
    <t>sulindersingh.zahura@gmail.com</t>
  </si>
  <si>
    <t>Senior Project Supervisor</t>
  </si>
  <si>
    <t>Muhammad Zubair Rasheed</t>
  </si>
  <si>
    <t>zbrs02@gmail.com</t>
  </si>
  <si>
    <t>Web Application Developer</t>
  </si>
  <si>
    <t>Niranka Dias</t>
  </si>
  <si>
    <t>nithudias@yahoo.com</t>
  </si>
  <si>
    <t>Business Development Executive</t>
  </si>
  <si>
    <t>Marigold Urban</t>
  </si>
  <si>
    <t>glojules@yahoo.com</t>
  </si>
  <si>
    <t>Finance Manager</t>
  </si>
  <si>
    <t>Rajesh Raj</t>
  </si>
  <si>
    <t>rajhosangadi@gmail.com</t>
  </si>
  <si>
    <t>Finance Executive</t>
  </si>
  <si>
    <t>Shika Pb</t>
  </si>
  <si>
    <t>shika.pb@gmail.com</t>
  </si>
  <si>
    <t>Sales Officer</t>
  </si>
  <si>
    <t>Aylar</t>
  </si>
  <si>
    <t>Salim Abdul</t>
  </si>
  <si>
    <t>Salim@3my.ae</t>
  </si>
  <si>
    <t>Logistic</t>
  </si>
  <si>
    <t>Manoj Pareek</t>
  </si>
  <si>
    <t>mvpareek@gmail.com</t>
  </si>
  <si>
    <t>AUTHORISED CONSULTANT</t>
  </si>
  <si>
    <t>Mohammed Ismail</t>
  </si>
  <si>
    <t>ismailmajaz@gmail.com</t>
  </si>
  <si>
    <t>partner</t>
  </si>
  <si>
    <t>Aamer Mahmood</t>
  </si>
  <si>
    <t>luckyamer7@gmail.com</t>
  </si>
  <si>
    <t>cargo asystant</t>
  </si>
  <si>
    <t>Karryn Laniogg</t>
  </si>
  <si>
    <t>karen.laniog30@gmail.com</t>
  </si>
  <si>
    <t>Shop Specialist</t>
  </si>
  <si>
    <t>Edappalayam Suresh</t>
  </si>
  <si>
    <t>edappalayamsuresh@gmail.com</t>
  </si>
  <si>
    <t>Sharjah</t>
  </si>
  <si>
    <t>Saba</t>
  </si>
  <si>
    <t>Chathura Jayanath</t>
  </si>
  <si>
    <t>chathura003@yahoo.com</t>
  </si>
  <si>
    <t>Quantity Surveyor</t>
  </si>
  <si>
    <t>Ileana Alzou</t>
  </si>
  <si>
    <t>alzou1@hotmail.com</t>
  </si>
  <si>
    <t>teacher</t>
  </si>
  <si>
    <t>Nadia Cinches</t>
  </si>
  <si>
    <t>nadiacinches@gmail.com</t>
  </si>
  <si>
    <t>cleaning worker</t>
  </si>
  <si>
    <t>Suvi</t>
  </si>
  <si>
    <t>samih musameh</t>
  </si>
  <si>
    <t>samihbmw@gmail.com</t>
  </si>
  <si>
    <t>City pharmacy company store manager</t>
  </si>
  <si>
    <t>kh💙a💙t💙a💙b</t>
  </si>
  <si>
    <t>khatab363@gmail.com</t>
  </si>
  <si>
    <t>Customer serves representative</t>
  </si>
  <si>
    <t>Praveen Punnose</t>
  </si>
  <si>
    <t>mcpunnose@yahoo.co.in</t>
  </si>
  <si>
    <t>Managing Director</t>
  </si>
  <si>
    <t>Iulia</t>
  </si>
  <si>
    <t>Satish Babu</t>
  </si>
  <si>
    <t>mr.satishb@gmail.com</t>
  </si>
  <si>
    <t>Senior Officer</t>
  </si>
  <si>
    <t>Sameh Nabil</t>
  </si>
  <si>
    <t>samehmahdy77@gmail.com</t>
  </si>
  <si>
    <t>Sales / Limousine</t>
  </si>
  <si>
    <t>Khusro</t>
  </si>
  <si>
    <t>Gram Zerimar</t>
  </si>
  <si>
    <t>gramzerimar98@gmail.com</t>
  </si>
  <si>
    <t>Cook</t>
  </si>
  <si>
    <t>Sony Bhatia</t>
  </si>
  <si>
    <t>altarunelectricalllc@hotmail.com</t>
  </si>
  <si>
    <t>Esraa Alkhafaji</t>
  </si>
  <si>
    <t>esra23dnan@gmail.com</t>
  </si>
  <si>
    <t>NA</t>
  </si>
  <si>
    <t>Alfredo R.abulencia jr.</t>
  </si>
  <si>
    <t>ODERFLA.ABULENCIA@GMAIL.COM</t>
  </si>
  <si>
    <t>Gas attendant</t>
  </si>
  <si>
    <t>haidi</t>
  </si>
  <si>
    <t>Mash Malo</t>
  </si>
  <si>
    <t>mustaphasannoh2012@gmail.com</t>
  </si>
  <si>
    <t>businessman</t>
  </si>
  <si>
    <t>Haidi</t>
  </si>
  <si>
    <t>Mehdi Ridène</t>
  </si>
  <si>
    <t>mehdi.ridene@ymail.com</t>
  </si>
  <si>
    <t>IT Project Manager</t>
  </si>
  <si>
    <t>Waqas</t>
  </si>
  <si>
    <t>Jeet Das</t>
  </si>
  <si>
    <t>badal.shyamal23@gmail.com</t>
  </si>
  <si>
    <t>cargo office</t>
  </si>
  <si>
    <t>Hanady Saleh</t>
  </si>
  <si>
    <t>hanady-1989@hotmail.com</t>
  </si>
  <si>
    <t>Assisstant professor</t>
  </si>
  <si>
    <t>Maryum Khan</t>
  </si>
  <si>
    <t>nabeelshah75@yahoo.com</t>
  </si>
  <si>
    <t>house wife</t>
  </si>
  <si>
    <t>Shelbi Nowfal</t>
  </si>
  <si>
    <t>shelbinowfal@gmail.com</t>
  </si>
  <si>
    <t>business</t>
  </si>
  <si>
    <t>Bilal</t>
  </si>
  <si>
    <t>Bilalfaizi4@gmail.com</t>
  </si>
  <si>
    <t>Finance manager</t>
  </si>
  <si>
    <t>Jasmine Garcia</t>
  </si>
  <si>
    <t>jquiroben888@gmail.com</t>
  </si>
  <si>
    <t>yes</t>
  </si>
  <si>
    <t>Bam Bam Chris</t>
  </si>
  <si>
    <t>chris@discovernomad.com</t>
  </si>
  <si>
    <t>Ownership</t>
  </si>
  <si>
    <t>Shie Romero</t>
  </si>
  <si>
    <t>shieryan_01@yahoo.com</t>
  </si>
  <si>
    <t>Receptionist</t>
  </si>
  <si>
    <t>Joan Barbero Talon</t>
  </si>
  <si>
    <t>joantalon@yahoo.com</t>
  </si>
  <si>
    <t>Accountant General</t>
  </si>
  <si>
    <t>Zunaira Omar</t>
  </si>
  <si>
    <t>zunerakhalid@hotmail.com</t>
  </si>
  <si>
    <t>Manager</t>
  </si>
  <si>
    <t>Fazi Ali</t>
  </si>
  <si>
    <t>faziali4@gmail.com</t>
  </si>
  <si>
    <t>Fedex courier</t>
  </si>
  <si>
    <t>Gretchen Avendaño</t>
  </si>
  <si>
    <t>shiewa_11@yahoo.com</t>
  </si>
  <si>
    <t>Accountant</t>
  </si>
  <si>
    <t>Abdul rahaman</t>
  </si>
  <si>
    <t>shaikhabdulrahaman953@gmail.com</t>
  </si>
  <si>
    <t>Salesman</t>
  </si>
  <si>
    <t>Mohammed Sayed Harish</t>
  </si>
  <si>
    <t>harismang@hotmail.com</t>
  </si>
  <si>
    <t>Public relation officer</t>
  </si>
  <si>
    <t>Muhammad Furqan Siddiqui</t>
  </si>
  <si>
    <t>furqan.siddz@gmail.com</t>
  </si>
  <si>
    <t>Relationship Manager</t>
  </si>
  <si>
    <t>Ilhem</t>
  </si>
  <si>
    <t>Rafeeq Salam</t>
  </si>
  <si>
    <t>rafeeqpana@yahoo.com</t>
  </si>
  <si>
    <t>Sales Manager</t>
  </si>
  <si>
    <t>khamouchredouane</t>
  </si>
  <si>
    <t>khamouchredouane@gmail.com</t>
  </si>
  <si>
    <t>I love DUBAI</t>
  </si>
  <si>
    <t>Gemma Hillam</t>
  </si>
  <si>
    <t>gemma_hillam@hotmail.com</t>
  </si>
  <si>
    <t>Senior Space Planning Manager</t>
  </si>
  <si>
    <t>JC Daclison Estela</t>
  </si>
  <si>
    <t>estellacarlojames10@gmail.com</t>
  </si>
  <si>
    <t>Storekeeper</t>
  </si>
  <si>
    <t>Jessica</t>
  </si>
  <si>
    <t>Angello Michael Freeman</t>
  </si>
  <si>
    <t>angello.freeman@gmail.com</t>
  </si>
  <si>
    <t>Marketing Manager</t>
  </si>
  <si>
    <t>Zahid Karak</t>
  </si>
  <si>
    <t>zahidkhan13821@gmail.com</t>
  </si>
  <si>
    <t>Camp Boss</t>
  </si>
  <si>
    <t>Fs Kazmi</t>
  </si>
  <si>
    <t>fariasajjad483@gmail.com</t>
  </si>
  <si>
    <t>sales managet</t>
  </si>
  <si>
    <t>Abdul Salam</t>
  </si>
  <si>
    <t>iabdussalam@gmail.com</t>
  </si>
  <si>
    <t>Sales Executive</t>
  </si>
  <si>
    <t>Rafeeq Vp</t>
  </si>
  <si>
    <t>vpraf2007@gmail.com</t>
  </si>
  <si>
    <t>My Own Business</t>
  </si>
  <si>
    <t>Abuzar</t>
  </si>
  <si>
    <t>abuzarzaidi2000@yahoo.com</t>
  </si>
  <si>
    <t>accountant and document controller</t>
  </si>
  <si>
    <t>Castro Mhigerl</t>
  </si>
  <si>
    <t>decastrogl2016@gmail.com</t>
  </si>
  <si>
    <t>Facialist</t>
  </si>
  <si>
    <t>Mv Mohamed</t>
  </si>
  <si>
    <t>alfawas@gmail.com</t>
  </si>
  <si>
    <t>Victoria</t>
  </si>
  <si>
    <t>Nauman Hanif</t>
  </si>
  <si>
    <t>nhanif17@gmail.com</t>
  </si>
  <si>
    <t>None</t>
  </si>
  <si>
    <t>Tanveer hussain</t>
  </si>
  <si>
    <t>tanveer522@outlook.com</t>
  </si>
  <si>
    <t>Its true</t>
  </si>
  <si>
    <t>Geronimo De Olazo Jr</t>
  </si>
  <si>
    <t>geronimodeolazo@yahoo.com</t>
  </si>
  <si>
    <t>chemical engineer</t>
  </si>
  <si>
    <t>Pabebe Hon</t>
  </si>
  <si>
    <t>hydz_sayson@yahoo.com</t>
  </si>
  <si>
    <t>Production Staff</t>
  </si>
  <si>
    <t>Dila</t>
  </si>
  <si>
    <t>Deepak Kori</t>
  </si>
  <si>
    <t>deepak_20121978@yahoo.com</t>
  </si>
  <si>
    <t>Assistant Of Housekeeper</t>
  </si>
  <si>
    <t>Vera Pancho</t>
  </si>
  <si>
    <t>verapancho_rn@yahoo.com</t>
  </si>
  <si>
    <t>Sales &amp; Marketing Manager</t>
  </si>
  <si>
    <t>Zohaib</t>
  </si>
  <si>
    <t>Shirley Darcy</t>
  </si>
  <si>
    <t>shirleygs2019@yahoo.com</t>
  </si>
  <si>
    <t>Hair beauty</t>
  </si>
  <si>
    <t>Prasanna Chachan</t>
  </si>
  <si>
    <t>prasannachachan@gmail.com</t>
  </si>
  <si>
    <t>Gm</t>
  </si>
  <si>
    <t>Sabu Kuriakose</t>
  </si>
  <si>
    <t>sabu@alshulauae.ae</t>
  </si>
  <si>
    <t>Finance Director</t>
  </si>
  <si>
    <t>Suneth Mohottala</t>
  </si>
  <si>
    <t>suneth.mohottala@gmail.com</t>
  </si>
  <si>
    <t>kitchen Manager</t>
  </si>
  <si>
    <t>waqas</t>
  </si>
  <si>
    <t>Mamun Khan</t>
  </si>
  <si>
    <t>amamunkhan82@gmail.com</t>
  </si>
  <si>
    <t>Myra Pau-angelycah</t>
  </si>
  <si>
    <t>myra_baniaga@yahoo.com</t>
  </si>
  <si>
    <t>Assistant</t>
  </si>
  <si>
    <t>Roo Oberga Stephen</t>
  </si>
  <si>
    <t>stephenkwameo400@googlemail.com</t>
  </si>
  <si>
    <t>Kelam Oba</t>
  </si>
  <si>
    <t>malllek@gmail.com</t>
  </si>
  <si>
    <t>Salse</t>
  </si>
  <si>
    <t>Apoorva Mishra</t>
  </si>
  <si>
    <t>apoorvamishra21@yahoo.com</t>
  </si>
  <si>
    <t>Dental Surgeon</t>
  </si>
  <si>
    <t>Rafi Bevinje</t>
  </si>
  <si>
    <t>rafibevinje1003@gmail.com</t>
  </si>
  <si>
    <t>Eni</t>
  </si>
  <si>
    <t>Lulia</t>
  </si>
  <si>
    <t>Daniel Fisayo Aribanusi</t>
  </si>
  <si>
    <t>physay2@gamil.com</t>
  </si>
  <si>
    <t>Shahul Hameed</t>
  </si>
  <si>
    <t>ma.shahul@yahoo.com</t>
  </si>
  <si>
    <t>Stewarding supervisor</t>
  </si>
  <si>
    <t>Isaac Edozie Ogbonna</t>
  </si>
  <si>
    <t>isaacedozieogbonna@gmail.com</t>
  </si>
  <si>
    <t>Player</t>
  </si>
  <si>
    <t>PROJECT</t>
  </si>
  <si>
    <t>SOURCE</t>
  </si>
  <si>
    <t>Omar Dawood</t>
  </si>
  <si>
    <t>omaramjaddawood@gmail.com</t>
  </si>
  <si>
    <t>CREEK OPEN HOUSE</t>
  </si>
  <si>
    <t>Student</t>
  </si>
  <si>
    <t>Alain Rictola</t>
  </si>
  <si>
    <t>alanoclarit36@gmail.com</t>
  </si>
  <si>
    <t>housekeeping</t>
  </si>
  <si>
    <t>Ragu Varan</t>
  </si>
  <si>
    <t>poovairagu@gmail.com</t>
  </si>
  <si>
    <t>Electrical Engineer</t>
  </si>
  <si>
    <t>saba</t>
  </si>
  <si>
    <t>Jahangir Alam</t>
  </si>
  <si>
    <t>jahangir14320011@gmail.com</t>
  </si>
  <si>
    <t>Ifti Khar</t>
  </si>
  <si>
    <t>ifti8525@yahoo.com</t>
  </si>
  <si>
    <t>QA/QC MANAGER -NUROL LLC</t>
  </si>
  <si>
    <t>suvi</t>
  </si>
  <si>
    <t>Madhukar Pandey</t>
  </si>
  <si>
    <t>madhukarp773@gmail.com</t>
  </si>
  <si>
    <t>lubna</t>
  </si>
  <si>
    <t>Joben Domingo</t>
  </si>
  <si>
    <t>jobendomingo@gmail.com</t>
  </si>
  <si>
    <t>Medical Claims Officer</t>
  </si>
  <si>
    <t>Mohammed Wajid</t>
  </si>
  <si>
    <t>wajidriyaz83@gmail.com</t>
  </si>
  <si>
    <t>Asif Nanjwani</t>
  </si>
  <si>
    <t>asif.nanjwani@gmail.com</t>
  </si>
  <si>
    <t>Consultant</t>
  </si>
  <si>
    <t>dila</t>
  </si>
  <si>
    <t>Zakariya Mohammed</t>
  </si>
  <si>
    <t>zakariya.star@gmail.com</t>
  </si>
  <si>
    <t>Customer Service</t>
  </si>
  <si>
    <t>Hamza Sahbi</t>
  </si>
  <si>
    <t>Hamza.Sahbi@hotmail.com</t>
  </si>
  <si>
    <t>HSEM</t>
  </si>
  <si>
    <t>Lubna</t>
  </si>
  <si>
    <t>Sideeque Kp</t>
  </si>
  <si>
    <t>kpsideeque@gmail.com</t>
  </si>
  <si>
    <t>00971559546628</t>
  </si>
  <si>
    <t>Person in charge</t>
  </si>
  <si>
    <t>Fretzie Nacion</t>
  </si>
  <si>
    <t>fnacion@creekcruises.com</t>
  </si>
  <si>
    <t>00971602228596</t>
  </si>
  <si>
    <t>Managing director</t>
  </si>
  <si>
    <t>Beatriz Manzano</t>
  </si>
  <si>
    <t>beamf128@yahoo.es</t>
  </si>
  <si>
    <t>00971566039444</t>
  </si>
  <si>
    <t>Business Intelligence and Analytics Manager.</t>
  </si>
  <si>
    <t>MD Salim Uddin</t>
  </si>
  <si>
    <t>mdsalim.uddin.3597@gmail.com</t>
  </si>
  <si>
    <t>00971557628363</t>
  </si>
  <si>
    <t>private</t>
  </si>
  <si>
    <t>Riyazkr Kr</t>
  </si>
  <si>
    <t>riyaz01.kr@gmail.com</t>
  </si>
  <si>
    <t>00971589859009</t>
  </si>
  <si>
    <t>Managing Director/Owner</t>
  </si>
  <si>
    <t>Manoj Varghese</t>
  </si>
  <si>
    <t>manojdxb@yahoo.com</t>
  </si>
  <si>
    <t>00971555544285</t>
  </si>
  <si>
    <t>DIRECTOR</t>
  </si>
  <si>
    <t>Irfan Ali</t>
  </si>
  <si>
    <t>irfan195a@gmail.com</t>
  </si>
  <si>
    <t>00971558628102</t>
  </si>
  <si>
    <t>accountant</t>
  </si>
  <si>
    <t>Muhammad Shahbaz</t>
  </si>
  <si>
    <t>sa.challo@yahoo.com</t>
  </si>
  <si>
    <t>00971507920376</t>
  </si>
  <si>
    <t>Investor</t>
  </si>
  <si>
    <t>John Erold Llanora</t>
  </si>
  <si>
    <t>Johneroldllanora27@yahoo.com</t>
  </si>
  <si>
    <t>00971547497422</t>
  </si>
  <si>
    <t>Florest</t>
  </si>
  <si>
    <t>Sartaj Aziz</t>
  </si>
  <si>
    <t>seemabaziz82@gmail.com</t>
  </si>
  <si>
    <t>00971567832912</t>
  </si>
  <si>
    <t>Senior Operations Manager</t>
  </si>
  <si>
    <t>Arun Jaiswal</t>
  </si>
  <si>
    <t>arunj@hotmail.com</t>
  </si>
  <si>
    <t>00971505526982</t>
  </si>
  <si>
    <t>Sr Buyer</t>
  </si>
  <si>
    <t>T K Shaji Thottukanny</t>
  </si>
  <si>
    <t>Shajitk000@gmail.com</t>
  </si>
  <si>
    <t>00971564552533</t>
  </si>
  <si>
    <t>Transport Manager</t>
  </si>
  <si>
    <t>Ricky Albofera Aguirre</t>
  </si>
  <si>
    <t>kboy8139@yahoo.com</t>
  </si>
  <si>
    <t>00971501481367</t>
  </si>
  <si>
    <t>Commis1(Line Cook)</t>
  </si>
  <si>
    <t>Abu Yousuf</t>
  </si>
  <si>
    <t>Yousuf.abu@gmail.com</t>
  </si>
  <si>
    <t>00971508407241</t>
  </si>
  <si>
    <t>IT Manager</t>
  </si>
  <si>
    <t>Ghada Kaoud</t>
  </si>
  <si>
    <t>Ghada_kaoud@hotmail.com</t>
  </si>
  <si>
    <t>00971507979129</t>
  </si>
  <si>
    <t>Student superviser</t>
  </si>
  <si>
    <t>Kuldeep Bhatnagar</t>
  </si>
  <si>
    <t>bhatnagar.kuldeep@gmail.com</t>
  </si>
  <si>
    <t>EMAIL ONLY</t>
  </si>
  <si>
    <t>Please let me know the cost.</t>
  </si>
  <si>
    <t>Vladimir Katon</t>
  </si>
  <si>
    <t>vladee17@yahoo.com</t>
  </si>
  <si>
    <t>EMAAR SALES EVENT 12TH JULY</t>
  </si>
  <si>
    <t>Evandro</t>
  </si>
  <si>
    <t>evandro.oliveira@yahoo.com</t>
  </si>
  <si>
    <t>Sabiha Yusuf</t>
  </si>
  <si>
    <t>sabiha.yusuf57@yahoo.com</t>
  </si>
  <si>
    <t>Binu Thankappan</t>
  </si>
  <si>
    <t>binumbinus@gmail.com</t>
  </si>
  <si>
    <t>Saira</t>
  </si>
  <si>
    <t>Ronalyn</t>
  </si>
  <si>
    <t>ronalynresare19@yahoo.com</t>
  </si>
  <si>
    <t>00971557412683</t>
  </si>
  <si>
    <t>Email</t>
  </si>
  <si>
    <t>Mohamed faiz</t>
  </si>
  <si>
    <t xml:space="preserve"> faizdxb@live.com</t>
  </si>
  <si>
    <t xml:space="preserve"> 00971509897429</t>
  </si>
  <si>
    <t>Shahrzad</t>
  </si>
  <si>
    <t>Ashif</t>
  </si>
  <si>
    <t>maaiasif@gmail.com</t>
  </si>
  <si>
    <t>00971505021963</t>
  </si>
  <si>
    <t>khusro</t>
  </si>
  <si>
    <t>Rahul</t>
  </si>
  <si>
    <t>sabhnani4@hotmail.com</t>
  </si>
  <si>
    <t>00971508256311</t>
  </si>
  <si>
    <t>zohaib</t>
  </si>
  <si>
    <t>Chandan</t>
  </si>
  <si>
    <t>msm_chandan12@yahoo.co.in</t>
  </si>
  <si>
    <t xml:space="preserve"> 00971555422078</t>
  </si>
  <si>
    <t>tamara</t>
  </si>
  <si>
    <t>Umesh</t>
  </si>
  <si>
    <t>umeshsa@gmail.com</t>
  </si>
  <si>
    <t>00971509285246</t>
  </si>
  <si>
    <t>shyrose</t>
  </si>
  <si>
    <t>Genalin C Pardilla</t>
  </si>
  <si>
    <t>ghenpard@yahoo.com</t>
  </si>
  <si>
    <t xml:space="preserve"> 00971525224937</t>
  </si>
  <si>
    <t>sama</t>
  </si>
  <si>
    <t>Shrikanth</t>
  </si>
  <si>
    <t>Shrikanthshenoy520@gmail.com</t>
  </si>
  <si>
    <t>00971561895150</t>
  </si>
  <si>
    <t>Hoda</t>
  </si>
  <si>
    <t>Hodasatef@hotmail.com</t>
  </si>
  <si>
    <t>001006072680</t>
  </si>
  <si>
    <t>DEVELOPER</t>
  </si>
  <si>
    <t>Project</t>
  </si>
  <si>
    <t>INQUIRY</t>
  </si>
  <si>
    <t>CTY.</t>
  </si>
  <si>
    <t>ASSIGNED</t>
  </si>
  <si>
    <t>COMMENTS</t>
  </si>
  <si>
    <t>DAMAC</t>
  </si>
  <si>
    <t>Damac Open House 2020 Saad</t>
  </si>
  <si>
    <t>Hai Pham</t>
  </si>
  <si>
    <t>howdyhai2000@yahoo.com</t>
  </si>
  <si>
    <t>Vicky</t>
  </si>
  <si>
    <t>Watsapp is sent</t>
  </si>
  <si>
    <t>Majdi Aldbeisi</t>
  </si>
  <si>
    <t>majdi.al@hotmail.com</t>
  </si>
  <si>
    <t>Spoke to him but he is not sure if he can come for open house or no</t>
  </si>
  <si>
    <t>Sachin</t>
  </si>
  <si>
    <t>Getspatil@gmail.com</t>
  </si>
  <si>
    <t>Not interested</t>
  </si>
  <si>
    <t>Kangan Dhawan</t>
  </si>
  <si>
    <t>kangan_2001@hotmail.com</t>
  </si>
  <si>
    <t>Good lead. Client looking for 5BR furnished villa offered Paramuont. Trying to arrange a meeting. I’m in touch with her</t>
  </si>
  <si>
    <t>Damac Open House 2020</t>
  </si>
  <si>
    <t>Property Ajman</t>
  </si>
  <si>
    <t>quratulain.bhre@gmail.com</t>
  </si>
  <si>
    <t>He is a broker in Ajman</t>
  </si>
  <si>
    <t>Anil Kumar Rathore</t>
  </si>
  <si>
    <t>anilkumarathore@yahoo.com</t>
  </si>
  <si>
    <t>He's looking for rent</t>
  </si>
  <si>
    <t>Henna Jaya</t>
  </si>
  <si>
    <t>hennajaya12@gmail.com</t>
  </si>
  <si>
    <t>9710588273551</t>
  </si>
  <si>
    <t>6/5 br details sent, cash buyer</t>
  </si>
  <si>
    <t>Geeta Bajaj</t>
  </si>
  <si>
    <t>geeta.pbajaj@gmail.com</t>
  </si>
  <si>
    <t>971557369691</t>
  </si>
  <si>
    <t>By mistake applied, not interested</t>
  </si>
  <si>
    <t>Shaique Khan</t>
  </si>
  <si>
    <t>admin@archdesignconceptjlt.com</t>
  </si>
  <si>
    <t>971506249690</t>
  </si>
  <si>
    <t>Interested in 6 beds. Will come for open House on Saturday</t>
  </si>
  <si>
    <t>Farida Shabbir</t>
  </si>
  <si>
    <t>shabfar2010@gmail.com</t>
  </si>
  <si>
    <t>9710504536732</t>
  </si>
  <si>
    <t>Not sure if she can come. 
She will confirm tomorrow</t>
  </si>
  <si>
    <t>Ola Aboud</t>
  </si>
  <si>
    <t>olaaboud@hotmail.com</t>
  </si>
  <si>
    <t>971507213710</t>
  </si>
  <si>
    <t>Akaash</t>
  </si>
  <si>
    <t>Arabic speaker, She doesn’t want to buy</t>
  </si>
  <si>
    <t>Samir Fethani</t>
  </si>
  <si>
    <t>samir_fethani@yahoo.com</t>
  </si>
  <si>
    <t>"h&amp;S Mass Email"</t>
  </si>
  <si>
    <t>No answer. Details sent by what’s app and waiting for response.</t>
  </si>
  <si>
    <t>KARZABA</t>
  </si>
  <si>
    <t>karsimo@hotmail.com</t>
  </si>
  <si>
    <t>Currently in Geneva, looking for a 4 bed villa. Will follow up tomorrow</t>
  </si>
  <si>
    <t>Dr TRIKAM Dangaria</t>
  </si>
  <si>
    <t>dangariat@hotmail.com</t>
  </si>
  <si>
    <t>Client is coming on Friday</t>
  </si>
  <si>
    <t>Bill</t>
  </si>
  <si>
    <t>billlipton@yahoo.com</t>
  </si>
  <si>
    <t>Invitation is sent</t>
  </si>
  <si>
    <t>ANANTHAN NAIDU</t>
  </si>
  <si>
    <t>ananthan@kangroup.net</t>
  </si>
  <si>
    <t>wrong number</t>
  </si>
  <si>
    <t>Masood ahmed Qazi</t>
  </si>
  <si>
    <t>maqazi777@gmail.com</t>
  </si>
  <si>
    <t>Fake</t>
  </si>
  <si>
    <t>Damac</t>
  </si>
  <si>
    <t>Kinjal Parikh</t>
  </si>
  <si>
    <t>kinjal2684@gmail.com</t>
  </si>
  <si>
    <t>She is time waster, she dont have money and wants to visit with family for weekend. 🙈</t>
  </si>
  <si>
    <t>Jobie Limbaco</t>
  </si>
  <si>
    <t>jobilita@yahoo.com</t>
  </si>
  <si>
    <t>Asked for prices and availability, she asked for details over whatsapp</t>
  </si>
  <si>
    <t>Asma Al Zubairy</t>
  </si>
  <si>
    <t>ams.alzubirye@hotmail.com</t>
  </si>
  <si>
    <t>No Feedback</t>
  </si>
  <si>
    <t>Majid Al-Ali</t>
  </si>
  <si>
    <t>majidbinmasoud@gmail.com</t>
  </si>
  <si>
    <t>Ask me to call on Friday to confirm the time.</t>
  </si>
  <si>
    <t>Ather C</t>
  </si>
  <si>
    <t>ather@fp.com</t>
  </si>
  <si>
    <t>Not interested. He did not register</t>
  </si>
  <si>
    <t>Murtuza Doriwala</t>
  </si>
  <si>
    <t>msdoriwala@yahoo.co.uk</t>
  </si>
  <si>
    <t>Spoke to him he is coming for meeting</t>
  </si>
  <si>
    <t>Ayesha Fawad</t>
  </si>
  <si>
    <t>aash.fb@gmail.com</t>
  </si>
  <si>
    <t>Number is out of service</t>
  </si>
  <si>
    <t>saeed almansoori</t>
  </si>
  <si>
    <t>ms_maqweeen@hotmail.com</t>
  </si>
  <si>
    <t xml:space="preserve"> sent invitations they will be coming tomorrow</t>
  </si>
  <si>
    <t xml:space="preserve">Damac Open House 2020 </t>
  </si>
  <si>
    <t>Sheila Duff Earles</t>
  </si>
  <si>
    <t>sheilaearles@yahoo.co.uk</t>
  </si>
  <si>
    <t>I have shared all the details over WhatsApp, Asked me to call after 11:30 tomorrow</t>
  </si>
  <si>
    <t>Siham Aqel</t>
  </si>
  <si>
    <t>sihamaqel3@gmail.com</t>
  </si>
  <si>
    <t>Shruti / Vikas</t>
  </si>
  <si>
    <t>Shruti:not a buyer, cannot afford  / Vikas: Never Registered</t>
  </si>
  <si>
    <t>Kulthum Mohammed</t>
  </si>
  <si>
    <t>kulthum14@hotmail.com</t>
  </si>
  <si>
    <t>switched off</t>
  </si>
  <si>
    <t>Damac Open House Saad</t>
  </si>
  <si>
    <t>Ali Shabaz</t>
  </si>
  <si>
    <t>sak84@hotmail.com</t>
  </si>
  <si>
    <t>Can meet in this week</t>
  </si>
  <si>
    <t xml:space="preserve">Damac Open House </t>
  </si>
  <si>
    <t>Lulu Lulu</t>
  </si>
  <si>
    <t>marielouisehamouch@hotmail.com</t>
  </si>
  <si>
    <t>No Answer</t>
  </si>
  <si>
    <t>Damac Open House</t>
  </si>
  <si>
    <t>Zuike David</t>
  </si>
  <si>
    <t>davideze485@gmail.com</t>
  </si>
  <si>
    <t>Client is coming at 4 pm.</t>
  </si>
  <si>
    <t>Drf Eid</t>
  </si>
  <si>
    <t>drfeid@hotmail.com</t>
  </si>
  <si>
    <t>Welcome To My Profile🌹</t>
  </si>
  <si>
    <t>malak1515.mm@gmail.com</t>
  </si>
  <si>
    <t>Mahmood Benz</t>
  </si>
  <si>
    <t>mahmoudg810@gmail.com</t>
  </si>
  <si>
    <t>Open House at Trump Villa</t>
  </si>
  <si>
    <t>Sofyan</t>
  </si>
  <si>
    <t>sufyan61@yahoo.com</t>
  </si>
  <si>
    <t>Tabassum Meenai</t>
  </si>
  <si>
    <t>tabz_m@hotmail.com</t>
  </si>
  <si>
    <t>Options discussed</t>
  </si>
  <si>
    <t>Rabab Al Rayes ا</t>
  </si>
  <si>
    <t>rabab_alrayes1@hotmail.com</t>
  </si>
  <si>
    <t>Asif</t>
  </si>
  <si>
    <t>Wrong Number</t>
  </si>
  <si>
    <t>Sonia Elias</t>
  </si>
  <si>
    <t>s.elias@comcast.net</t>
  </si>
  <si>
    <t>Alyaseen</t>
  </si>
  <si>
    <t>no answer</t>
  </si>
  <si>
    <t>Ak Ahamed</t>
  </si>
  <si>
    <t>akammad@gmail.com</t>
  </si>
  <si>
    <t>Number is switched off</t>
  </si>
  <si>
    <t>Hanadi Hafez Kayali</t>
  </si>
  <si>
    <t>hanadihafez3@gmail.com</t>
  </si>
  <si>
    <t>she hadnt any inquiry</t>
  </si>
  <si>
    <t>leily</t>
  </si>
  <si>
    <t>leilylotfi@yahoo.com</t>
  </si>
  <si>
    <t>this number does not connect</t>
  </si>
  <si>
    <t>Zeid</t>
  </si>
  <si>
    <t>zeid.saeed555@gmail.com</t>
  </si>
  <si>
    <t>client t is Intrested in v2, wants to come and see, but he is in Abudhabi, will come after lockdown</t>
  </si>
  <si>
    <t>Obaid Anwar</t>
  </si>
  <si>
    <t>obaid_gaziani@eim.ae</t>
  </si>
  <si>
    <t>Spoke with client, coming on Friday for viewing</t>
  </si>
  <si>
    <t>Mash Khan</t>
  </si>
  <si>
    <t>mashkhan@emirates.net.ae</t>
  </si>
  <si>
    <t>NO Feedback</t>
  </si>
  <si>
    <t>EVENT</t>
  </si>
  <si>
    <t>COMMENT</t>
  </si>
  <si>
    <t>FEEDBACK</t>
  </si>
  <si>
    <t>JORDAN EVENT</t>
  </si>
  <si>
    <t>Abood Alwansah</t>
  </si>
  <si>
    <t>hamaydasam@yahoo.com</t>
  </si>
  <si>
    <t>2_bedrooms</t>
  </si>
  <si>
    <t>sent to Jordan team</t>
  </si>
  <si>
    <t>Ahmad Alradaideh</t>
  </si>
  <si>
    <t>ahmad.alradaideh@gmail.com</t>
  </si>
  <si>
    <t>Ashraf Muammar Alnawafleh</t>
  </si>
  <si>
    <t>ashrafpetra@yahoo.com</t>
  </si>
  <si>
    <t>1_bedroom</t>
  </si>
  <si>
    <t>Hani Dahleh</t>
  </si>
  <si>
    <t>abudahleh_85@hotmail.com</t>
  </si>
  <si>
    <t>No answer, sent a whatsapp text</t>
  </si>
  <si>
    <t>Talal Adil Haqi</t>
  </si>
  <si>
    <t>talalhaqe@yahoo.com</t>
  </si>
  <si>
    <t>3_bedrooms</t>
  </si>
  <si>
    <t>mona bustaji</t>
  </si>
  <si>
    <t>mohd.bostaji@emirates.com</t>
  </si>
  <si>
    <t>Client didnt register</t>
  </si>
  <si>
    <t>Peter Joseph Frangieh</t>
  </si>
  <si>
    <t>peter.franjieh@yahoo.com</t>
  </si>
  <si>
    <t xml:space="preserve">Confirmed </t>
  </si>
  <si>
    <t>Hussam Skek-sign Hussam Skek</t>
  </si>
  <si>
    <t>artwork-sign@hotmail.com</t>
  </si>
  <si>
    <t>Duplicated</t>
  </si>
  <si>
    <t>Nabil Shihada</t>
  </si>
  <si>
    <t>tampatruckstop@yahoo.com</t>
  </si>
  <si>
    <t>No answer and no whatsapp</t>
  </si>
  <si>
    <t>Motaz Ghannam Alawneh</t>
  </si>
  <si>
    <t>motazghlh@yahoo.com</t>
  </si>
  <si>
    <t>Ahmad Habib</t>
  </si>
  <si>
    <t>ahmadinsurance75@gmail.com</t>
  </si>
  <si>
    <t>4 beds villa, all the rooms budget 2 M</t>
  </si>
  <si>
    <t>Ray Hanania</t>
  </si>
  <si>
    <t>ray_hanania@hotmail.com</t>
  </si>
  <si>
    <t>Khalil Ahmed</t>
  </si>
  <si>
    <t>khalil.ahmad6263@gmail.com</t>
  </si>
  <si>
    <t>not interested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</si>
</sst>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"/>
    <numFmt numFmtId="166" formatCode="mmm-d-yy"/>
  </numFmts>
  <fonts count="26"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color theme="1"/>
      <name val="Verdana"/>
    </font>
    <font>
      <b/>
      <color theme="1"/>
      <name val="Arial"/>
    </font>
    <font>
      <color rgb="FFFFFFFF"/>
      <name val="Arial"/>
    </font>
    <font>
      <color rgb="FF000000"/>
      <name val="Arial"/>
    </font>
    <font>
      <b/>
      <sz val="9.0"/>
      <color rgb="FFFF0000"/>
      <name val="Arial"/>
    </font>
    <font>
      <b/>
      <sz val="9.0"/>
      <color rgb="FF000000"/>
      <name val="Arial"/>
    </font>
    <font>
      <b/>
      <color rgb="FFFF0000"/>
      <name val="Verdana"/>
    </font>
    <font>
      <b/>
      <i/>
      <sz val="9.0"/>
      <color rgb="FFFF0000"/>
      <name val="Arial"/>
    </font>
    <font>
      <sz val="9.0"/>
      <color theme="1"/>
      <name val="Arial"/>
    </font>
    <font>
      <b/>
      <i/>
      <color rgb="FF0000FF"/>
      <name val="Verdana"/>
    </font>
    <font>
      <i/>
      <color rgb="FF0000FF"/>
      <name val="Verdana"/>
    </font>
    <font>
      <color rgb="FFFF0000"/>
      <name val="Arial"/>
    </font>
    <font>
      <sz val="9.0"/>
      <color rgb="FF000000"/>
      <name val="Arial"/>
    </font>
    <font>
      <u/>
      <sz val="11.0"/>
      <color rgb="FF1155CC"/>
      <name val="Calibri"/>
    </font>
    <font>
      <b/>
      <sz val="11.0"/>
      <color theme="1"/>
      <name val="Calibri"/>
    </font>
    <font>
      <b/>
      <u/>
      <sz val="11.0"/>
      <color rgb="FF000000"/>
      <name val="Calibri"/>
    </font>
    <font>
      <b/>
      <sz val="11.0"/>
      <color rgb="FF000000"/>
      <name val="Calibri"/>
    </font>
    <font>
      <b/>
      <sz val="11.0"/>
      <color rgb="FF000000"/>
      <name val="Arial"/>
    </font>
    <font>
      <color rgb="FF000000"/>
      <name val="Verdana"/>
    </font>
    <font>
      <b/>
      <color rgb="FFF3F3F3"/>
      <name val="Arial"/>
    </font>
    <font>
      <b/>
      <color rgb="FFF3F3F3"/>
      <name val="Verdana"/>
    </font>
    <font>
      <b/>
      <color theme="1"/>
      <name val="Times New Roman"/>
    </font>
    <font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quotePrefix="1"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3" fontId="2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1" fillId="3" fontId="2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vertical="bottom"/>
    </xf>
    <xf borderId="0" fillId="3" fontId="2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quotePrefix="1" borderId="0" fillId="3" fontId="2" numFmtId="0" xfId="0" applyAlignment="1" applyFont="1">
      <alignment vertical="bottom"/>
    </xf>
    <xf borderId="0" fillId="4" fontId="5" numFmtId="164" xfId="0" applyAlignment="1" applyFill="1" applyFont="1" applyNumberFormat="1">
      <alignment horizontal="right" vertical="bottom"/>
    </xf>
    <xf borderId="0" fillId="4" fontId="5" numFmtId="0" xfId="0" applyAlignment="1" applyFont="1">
      <alignment vertical="bottom"/>
    </xf>
    <xf quotePrefix="1" borderId="0" fillId="4" fontId="5" numFmtId="0" xfId="0" applyAlignment="1" applyFont="1">
      <alignment vertical="bottom"/>
    </xf>
    <xf borderId="1" fillId="4" fontId="5" numFmtId="0" xfId="0" applyAlignment="1" applyBorder="1" applyFont="1">
      <alignment shrinkToFit="0" vertical="bottom" wrapText="0"/>
    </xf>
    <xf borderId="0" fillId="4" fontId="2" numFmtId="0" xfId="0" applyAlignment="1" applyFont="1">
      <alignment vertical="bottom"/>
    </xf>
    <xf borderId="0" fillId="5" fontId="6" numFmtId="165" xfId="0" applyAlignment="1" applyFill="1" applyFont="1" applyNumberFormat="1">
      <alignment horizontal="center" vertical="bottom"/>
    </xf>
    <xf borderId="0" fillId="5" fontId="6" numFmtId="0" xfId="0" applyAlignment="1" applyFont="1">
      <alignment vertical="bottom"/>
    </xf>
    <xf borderId="0" fillId="3" fontId="6" numFmtId="165" xfId="0" applyAlignment="1" applyFont="1" applyNumberFormat="1">
      <alignment horizontal="center" vertical="bottom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1" fillId="3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0" fontId="14" numFmtId="0" xfId="0" applyAlignment="1" applyBorder="1" applyFont="1">
      <alignment vertical="bottom"/>
    </xf>
    <xf borderId="1" fillId="0" fontId="15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left" vertical="bottom"/>
    </xf>
    <xf borderId="0" fillId="3" fontId="15" numFmtId="0" xfId="0" applyAlignment="1" applyFont="1">
      <alignment vertical="bottom"/>
    </xf>
    <xf borderId="0" fillId="3" fontId="8" numFmtId="0" xfId="0" applyAlignment="1" applyFont="1">
      <alignment vertical="bottom"/>
    </xf>
    <xf borderId="1" fillId="0" fontId="3" numFmtId="0" xfId="0" applyAlignment="1" applyBorder="1" applyFont="1">
      <alignment horizontal="left" vertical="bottom"/>
    </xf>
    <xf quotePrefix="1" borderId="1" fillId="0" fontId="3" numFmtId="0" xfId="0" applyAlignment="1" applyBorder="1" applyFont="1">
      <alignment horizontal="left" vertical="bottom"/>
    </xf>
    <xf borderId="1" fillId="5" fontId="16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  <xf borderId="0" fillId="0" fontId="2" numFmtId="0" xfId="0" applyAlignment="1" applyFont="1">
      <alignment horizontal="left"/>
    </xf>
    <xf quotePrefix="1" borderId="1" fillId="0" fontId="3" numFmtId="0" xfId="0" applyAlignment="1" applyBorder="1" applyFont="1">
      <alignment vertical="bottom"/>
    </xf>
    <xf quotePrefix="1" borderId="1" fillId="0" fontId="2" numFmtId="0" xfId="0" applyAlignment="1" applyBorder="1" applyFont="1">
      <alignment vertical="bottom"/>
    </xf>
    <xf borderId="1" fillId="5" fontId="18" numFmtId="0" xfId="0" applyAlignment="1" applyBorder="1" applyFont="1">
      <alignment horizontal="center" shrinkToFit="0" vertical="bottom" wrapText="1"/>
    </xf>
    <xf borderId="1" fillId="5" fontId="19" numFmtId="0" xfId="0" applyAlignment="1" applyBorder="1" applyFont="1">
      <alignment horizontal="center" shrinkToFit="0" vertical="bottom" wrapText="1"/>
    </xf>
    <xf borderId="1" fillId="5" fontId="19" numFmtId="49" xfId="0" applyAlignment="1" applyBorder="1" applyFont="1" applyNumberFormat="1">
      <alignment horizontal="center" shrinkToFit="0" vertical="bottom" wrapText="1"/>
    </xf>
    <xf borderId="1" fillId="5" fontId="19" numFmtId="0" xfId="0" applyAlignment="1" applyBorder="1" applyFont="1">
      <alignment horizontal="center" vertical="bottom"/>
    </xf>
    <xf borderId="1" fillId="5" fontId="20" numFmtId="0" xfId="0" applyAlignment="1" applyBorder="1" applyFont="1">
      <alignment horizontal="center" shrinkToFit="0" vertical="bottom" wrapText="0"/>
    </xf>
    <xf borderId="1" fillId="5" fontId="4" numFmtId="0" xfId="0" applyAlignment="1" applyBorder="1" applyFont="1">
      <alignment horizontal="center" vertical="bottom"/>
    </xf>
    <xf borderId="1" fillId="5" fontId="19" numFmtId="0" xfId="0" applyAlignment="1" applyBorder="1" applyFont="1">
      <alignment horizontal="center" shrinkToFit="0" vertical="bottom" wrapText="0"/>
    </xf>
    <xf borderId="1" fillId="5" fontId="21" numFmtId="0" xfId="0" applyAlignment="1" applyBorder="1" applyFont="1">
      <alignment horizontal="right" vertical="bottom"/>
    </xf>
    <xf borderId="1" fillId="5" fontId="17" numFmtId="0" xfId="0" applyAlignment="1" applyBorder="1" applyFont="1">
      <alignment horizontal="center" vertical="bottom"/>
    </xf>
    <xf borderId="1" fillId="5" fontId="17" numFmtId="0" xfId="0" applyAlignment="1" applyBorder="1" applyFont="1">
      <alignment horizontal="center" shrinkToFit="0" vertical="bottom" wrapText="0"/>
    </xf>
    <xf borderId="1" fillId="6" fontId="22" numFmtId="0" xfId="0" applyAlignment="1" applyBorder="1" applyFill="1" applyFont="1">
      <alignment horizontal="left" vertical="bottom"/>
    </xf>
    <xf borderId="1" fillId="6" fontId="23" numFmtId="0" xfId="0" applyAlignment="1" applyBorder="1" applyFont="1">
      <alignment horizontal="center" vertical="bottom"/>
    </xf>
    <xf borderId="1" fillId="6" fontId="23" numFmtId="0" xfId="0" applyAlignment="1" applyBorder="1" applyFont="1">
      <alignment vertical="bottom"/>
    </xf>
    <xf borderId="1" fillId="6" fontId="22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0" fontId="24" numFmtId="166" xfId="0" applyAlignment="1" applyBorder="1" applyFont="1" applyNumberFormat="1">
      <alignment horizontal="left" vertical="bottom"/>
    </xf>
    <xf borderId="1" fillId="0" fontId="25" numFmtId="0" xfId="0" applyAlignment="1" applyBorder="1" applyFont="1">
      <alignment horizontal="center" vertical="bottom"/>
    </xf>
    <xf borderId="1" fillId="0" fontId="25" numFmtId="0" xfId="0" applyAlignment="1" applyBorder="1" applyFont="1">
      <alignment vertical="bottom"/>
    </xf>
    <xf borderId="1" fillId="0" fontId="25" numFmtId="0" xfId="0" applyAlignment="1" applyBorder="1" applyFont="1">
      <alignment horizontal="right" vertical="bottom"/>
    </xf>
    <xf borderId="1" fillId="0" fontId="25" numFmtId="0" xfId="0" applyAlignment="1" applyBorder="1" applyFont="1">
      <alignment shrinkToFit="0" vertical="bottom" wrapText="0"/>
    </xf>
    <xf borderId="1" fillId="0" fontId="24" numFmtId="165" xfId="0" applyAlignment="1" applyBorder="1" applyFont="1" applyNumberFormat="1">
      <alignment horizontal="left" vertical="bottom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3.57"/>
    <col customWidth="1" min="3" max="3" width="22.43"/>
    <col customWidth="1" min="4" max="6" width="14.43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3" t="s">
        <v>3</v>
      </c>
      <c r="B2" s="4" t="s">
        <v>4</v>
      </c>
      <c r="C2" s="3" t="s">
        <v>5</v>
      </c>
    </row>
    <row r="3" ht="15.75" customHeight="1">
      <c r="A3" s="3" t="s">
        <v>6</v>
      </c>
      <c r="B3" s="4" t="s">
        <v>7</v>
      </c>
      <c r="C3" s="3" t="s">
        <v>5</v>
      </c>
    </row>
    <row r="4" ht="15.75" customHeight="1">
      <c r="A4" s="3" t="s">
        <v>8</v>
      </c>
      <c r="B4" s="4" t="s">
        <v>9</v>
      </c>
      <c r="C4" s="3" t="s">
        <v>10</v>
      </c>
    </row>
    <row r="5" ht="15.75" customHeight="1">
      <c r="A5" s="3" t="s">
        <v>11</v>
      </c>
      <c r="B5" s="4" t="s">
        <v>12</v>
      </c>
      <c r="C5" s="3" t="s">
        <v>10</v>
      </c>
    </row>
    <row r="6" ht="15.75" customHeight="1">
      <c r="A6" s="3" t="s">
        <v>13</v>
      </c>
      <c r="B6" s="4" t="s">
        <v>14</v>
      </c>
      <c r="C6" s="3" t="s">
        <v>15</v>
      </c>
    </row>
    <row r="7" ht="15.75" customHeight="1">
      <c r="A7" s="3" t="s">
        <v>16</v>
      </c>
      <c r="B7" s="4" t="s">
        <v>17</v>
      </c>
      <c r="C7" s="3" t="s">
        <v>15</v>
      </c>
    </row>
    <row r="8" ht="15.75" customHeight="1">
      <c r="A8" s="3" t="s">
        <v>18</v>
      </c>
      <c r="B8" s="5" t="s">
        <v>19</v>
      </c>
      <c r="C8" s="3" t="s">
        <v>15</v>
      </c>
    </row>
    <row r="9" ht="15.75" customHeight="1">
      <c r="A9" s="3" t="s">
        <v>20</v>
      </c>
      <c r="B9" s="4" t="s">
        <v>21</v>
      </c>
      <c r="C9" s="3" t="s">
        <v>15</v>
      </c>
    </row>
    <row r="10" ht="15.75" customHeight="1">
      <c r="A10" s="3" t="s">
        <v>22</v>
      </c>
      <c r="B10" s="4" t="s">
        <v>23</v>
      </c>
      <c r="C10" s="3" t="s">
        <v>24</v>
      </c>
    </row>
    <row r="11" ht="15.75" customHeight="1">
      <c r="A11" s="3" t="s">
        <v>25</v>
      </c>
      <c r="B11" s="4" t="s">
        <v>26</v>
      </c>
      <c r="C11" s="3" t="s">
        <v>24</v>
      </c>
    </row>
    <row r="12" ht="15.75" customHeight="1">
      <c r="A12" s="3" t="s">
        <v>27</v>
      </c>
      <c r="B12" s="4" t="s">
        <v>28</v>
      </c>
      <c r="C12" s="3" t="s">
        <v>24</v>
      </c>
    </row>
    <row r="13" ht="15.75" customHeight="1">
      <c r="A13" s="3" t="s">
        <v>29</v>
      </c>
      <c r="B13" s="4" t="s">
        <v>30</v>
      </c>
      <c r="C13" s="3" t="s">
        <v>31</v>
      </c>
    </row>
    <row r="14" ht="15.75" customHeight="1">
      <c r="A14" s="3" t="s">
        <v>32</v>
      </c>
      <c r="B14" s="4" t="s">
        <v>33</v>
      </c>
      <c r="C14" s="3" t="s">
        <v>31</v>
      </c>
    </row>
    <row r="15" ht="15.75" customHeight="1">
      <c r="A15" s="3" t="s">
        <v>34</v>
      </c>
      <c r="B15" s="4" t="s">
        <v>35</v>
      </c>
      <c r="C15" s="3" t="s">
        <v>31</v>
      </c>
    </row>
    <row r="16" ht="15.75" customHeight="1">
      <c r="A16" s="3" t="s">
        <v>36</v>
      </c>
      <c r="B16" s="4" t="s">
        <v>37</v>
      </c>
      <c r="C16" s="3" t="s">
        <v>31</v>
      </c>
    </row>
    <row r="17" ht="15.75" customHeight="1">
      <c r="A17" s="3" t="s">
        <v>38</v>
      </c>
      <c r="B17" s="4" t="s">
        <v>39</v>
      </c>
      <c r="C17" s="3" t="s">
        <v>40</v>
      </c>
    </row>
    <row r="18" ht="15.75" customHeight="1">
      <c r="A18" s="3" t="s">
        <v>41</v>
      </c>
      <c r="B18" s="4" t="s">
        <v>42</v>
      </c>
      <c r="C18" s="3" t="s">
        <v>40</v>
      </c>
    </row>
    <row r="19" ht="15.75" customHeight="1">
      <c r="A19" s="3" t="s">
        <v>43</v>
      </c>
      <c r="B19" s="4" t="s">
        <v>44</v>
      </c>
      <c r="C19" s="3" t="s">
        <v>45</v>
      </c>
    </row>
    <row r="20" ht="15.75" customHeight="1">
      <c r="A20" s="3" t="s">
        <v>46</v>
      </c>
      <c r="B20" s="4" t="s">
        <v>47</v>
      </c>
      <c r="C20" s="3" t="s">
        <v>45</v>
      </c>
    </row>
    <row r="21" ht="15.75" customHeight="1">
      <c r="A21" s="3" t="s">
        <v>48</v>
      </c>
      <c r="B21" s="4" t="s">
        <v>49</v>
      </c>
      <c r="C21" s="3" t="s">
        <v>50</v>
      </c>
    </row>
    <row r="22" ht="15.75" customHeight="1">
      <c r="A22" s="3" t="s">
        <v>51</v>
      </c>
      <c r="B22" s="4" t="s">
        <v>52</v>
      </c>
      <c r="C22" s="3" t="s">
        <v>50</v>
      </c>
    </row>
    <row r="23" ht="15.75" customHeight="1">
      <c r="A23" s="3" t="s">
        <v>53</v>
      </c>
      <c r="B23" s="4" t="s">
        <v>54</v>
      </c>
      <c r="C23" s="3" t="s">
        <v>50</v>
      </c>
    </row>
    <row r="24" ht="15.75" customHeight="1">
      <c r="A24" s="3" t="s">
        <v>55</v>
      </c>
      <c r="B24" s="4" t="s">
        <v>56</v>
      </c>
      <c r="C24" s="3" t="s">
        <v>50</v>
      </c>
    </row>
    <row r="25" ht="15.75" customHeight="1">
      <c r="A25" s="3" t="s">
        <v>57</v>
      </c>
      <c r="B25" s="4" t="s">
        <v>58</v>
      </c>
      <c r="C25" s="3" t="s">
        <v>50</v>
      </c>
    </row>
    <row r="26" ht="15.75" customHeight="1">
      <c r="A26" s="3" t="s">
        <v>59</v>
      </c>
      <c r="B26" s="4" t="s">
        <v>60</v>
      </c>
      <c r="C26" s="3" t="s">
        <v>61</v>
      </c>
    </row>
    <row r="27" ht="15.75" customHeight="1">
      <c r="A27" s="3" t="s">
        <v>62</v>
      </c>
      <c r="B27" s="4" t="s">
        <v>63</v>
      </c>
      <c r="C27" s="3" t="s">
        <v>61</v>
      </c>
    </row>
    <row r="28" ht="15.75" customHeight="1">
      <c r="A28" s="3" t="s">
        <v>64</v>
      </c>
      <c r="B28" s="4" t="s">
        <v>30</v>
      </c>
      <c r="C28" s="3" t="s">
        <v>61</v>
      </c>
    </row>
    <row r="29" ht="15.75" customHeight="1">
      <c r="A29" s="3" t="s">
        <v>65</v>
      </c>
      <c r="B29" s="4" t="s">
        <v>66</v>
      </c>
      <c r="C29" s="3" t="s">
        <v>61</v>
      </c>
    </row>
    <row r="30" ht="15.75" customHeight="1">
      <c r="A30" s="3" t="s">
        <v>67</v>
      </c>
      <c r="B30" s="3"/>
      <c r="C30" s="3" t="s">
        <v>68</v>
      </c>
    </row>
    <row r="31" ht="15.75" customHeight="1">
      <c r="A31" s="3" t="s">
        <v>69</v>
      </c>
      <c r="B31" s="3"/>
      <c r="C31" s="3" t="s">
        <v>68</v>
      </c>
    </row>
    <row r="32" ht="15.75" customHeight="1">
      <c r="A32" s="3" t="s">
        <v>70</v>
      </c>
      <c r="B32" s="4" t="s">
        <v>54</v>
      </c>
      <c r="C32" s="3" t="s">
        <v>71</v>
      </c>
    </row>
    <row r="33" ht="15.75" customHeight="1">
      <c r="A33" s="3" t="s">
        <v>72</v>
      </c>
      <c r="B33" s="4" t="s">
        <v>73</v>
      </c>
      <c r="C33" s="3" t="s">
        <v>74</v>
      </c>
    </row>
    <row r="34" ht="15.75" customHeight="1">
      <c r="A34" s="3" t="s">
        <v>75</v>
      </c>
      <c r="B34" s="5"/>
      <c r="C34" s="3" t="s">
        <v>76</v>
      </c>
    </row>
    <row r="35" ht="15.75" customHeight="1">
      <c r="A35" s="3" t="s">
        <v>77</v>
      </c>
      <c r="B35" s="4" t="s">
        <v>78</v>
      </c>
      <c r="C35" s="3" t="s">
        <v>79</v>
      </c>
    </row>
    <row r="36" ht="15.75" customHeight="1">
      <c r="A36" s="3" t="s">
        <v>80</v>
      </c>
      <c r="B36" s="4" t="s">
        <v>81</v>
      </c>
      <c r="C36" s="3" t="s">
        <v>79</v>
      </c>
    </row>
    <row r="37" ht="15.75" customHeight="1">
      <c r="A37" s="3" t="s">
        <v>82</v>
      </c>
      <c r="B37" s="4" t="s">
        <v>83</v>
      </c>
      <c r="C37" s="3" t="s">
        <v>84</v>
      </c>
    </row>
    <row r="38" ht="15.75" customHeight="1">
      <c r="A38" s="3" t="s">
        <v>85</v>
      </c>
      <c r="B38" s="4" t="s">
        <v>86</v>
      </c>
      <c r="C38" s="3" t="s">
        <v>84</v>
      </c>
    </row>
    <row r="39" ht="15.75" customHeight="1">
      <c r="A39" s="3" t="s">
        <v>87</v>
      </c>
      <c r="B39" s="4" t="s">
        <v>88</v>
      </c>
      <c r="C39" s="3" t="s">
        <v>84</v>
      </c>
    </row>
    <row r="40" ht="15.75" customHeight="1">
      <c r="A40" s="3" t="s">
        <v>89</v>
      </c>
      <c r="B40" s="4" t="s">
        <v>90</v>
      </c>
      <c r="C40" s="3" t="s">
        <v>84</v>
      </c>
    </row>
    <row r="41" ht="15.75" customHeight="1">
      <c r="A41" s="3" t="s">
        <v>91</v>
      </c>
      <c r="B41" s="4" t="s">
        <v>92</v>
      </c>
      <c r="C41" s="3" t="s">
        <v>84</v>
      </c>
    </row>
    <row r="42" ht="15.75" customHeight="1">
      <c r="A42" s="3" t="s">
        <v>93</v>
      </c>
      <c r="B42" s="4" t="s">
        <v>94</v>
      </c>
      <c r="C42" s="3" t="s">
        <v>95</v>
      </c>
    </row>
    <row r="43" ht="15.75" customHeight="1">
      <c r="A43" s="3" t="s">
        <v>96</v>
      </c>
      <c r="B43" s="4" t="s">
        <v>97</v>
      </c>
      <c r="C43" s="3" t="s">
        <v>98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6">
        <v>5.08885433E8</v>
      </c>
      <c r="B1" s="7" t="s">
        <v>99</v>
      </c>
      <c r="C1" s="7">
        <f>+971508885433</f>
        <v>971508885433</v>
      </c>
      <c r="D1" s="7" t="s">
        <v>100</v>
      </c>
    </row>
    <row r="2" ht="15.75" customHeight="1">
      <c r="A2" s="6">
        <v>5.06441226E8</v>
      </c>
      <c r="B2" s="7" t="s">
        <v>101</v>
      </c>
      <c r="C2" s="7">
        <f>+9710506441126</f>
        <v>9710506441126</v>
      </c>
      <c r="D2" s="7" t="s">
        <v>64</v>
      </c>
    </row>
    <row r="3" ht="15.75" customHeight="1">
      <c r="A3" s="6">
        <v>9.809130919106E12</v>
      </c>
      <c r="B3" s="7" t="s">
        <v>102</v>
      </c>
      <c r="C3" s="6">
        <v>9.809388979985E12</v>
      </c>
      <c r="D3" s="7" t="s">
        <v>103</v>
      </c>
    </row>
    <row r="4" ht="15.75" customHeight="1">
      <c r="A4" s="6">
        <v>5.28731508E8</v>
      </c>
      <c r="B4" s="7" t="s">
        <v>104</v>
      </c>
      <c r="C4" s="7">
        <f>+971528731508</f>
        <v>971528731508</v>
      </c>
      <c r="D4" s="7" t="s">
        <v>105</v>
      </c>
    </row>
    <row r="5" ht="15.75" customHeight="1">
      <c r="A5" s="6">
        <v>5.44757222E8</v>
      </c>
      <c r="B5" s="7" t="s">
        <v>106</v>
      </c>
      <c r="C5" s="6">
        <v>9.71544757222E11</v>
      </c>
      <c r="D5" s="7" t="s">
        <v>107</v>
      </c>
    </row>
    <row r="6" ht="15.75" customHeight="1">
      <c r="A6" s="6">
        <v>5.2902439E8</v>
      </c>
      <c r="B6" s="7" t="s">
        <v>108</v>
      </c>
      <c r="C6" s="7">
        <f>+9710529024390</f>
        <v>9710529024390</v>
      </c>
      <c r="D6" s="7" t="s">
        <v>109</v>
      </c>
    </row>
    <row r="7" ht="15.75" customHeight="1">
      <c r="A7" s="6">
        <v>5.06522487E8</v>
      </c>
      <c r="B7" s="7" t="s">
        <v>110</v>
      </c>
      <c r="C7" s="7">
        <f>+919004955174</f>
        <v>919004955174</v>
      </c>
      <c r="D7" s="7" t="s">
        <v>111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 ht="15.75" customHeight="1">
      <c r="A1" s="8" t="s">
        <v>112</v>
      </c>
      <c r="B1" s="8" t="s">
        <v>113</v>
      </c>
      <c r="C1" s="8" t="s">
        <v>114</v>
      </c>
      <c r="D1" s="8" t="s">
        <v>115</v>
      </c>
      <c r="E1" s="9" t="s">
        <v>116</v>
      </c>
      <c r="F1" s="10" t="s">
        <v>117</v>
      </c>
      <c r="G1" s="11"/>
      <c r="H1" s="8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13">
        <v>43806.45506421296</v>
      </c>
      <c r="B2" s="14" t="s">
        <v>118</v>
      </c>
      <c r="C2" s="15" t="s">
        <v>119</v>
      </c>
      <c r="D2" s="14" t="s">
        <v>120</v>
      </c>
      <c r="E2" s="14" t="s">
        <v>121</v>
      </c>
      <c r="F2" s="14" t="s">
        <v>122</v>
      </c>
      <c r="G2" s="14"/>
      <c r="H2" s="14"/>
    </row>
    <row r="3" ht="15.75" customHeight="1">
      <c r="A3" s="13">
        <v>43806.45515534723</v>
      </c>
      <c r="B3" s="14" t="s">
        <v>118</v>
      </c>
      <c r="C3" s="15" t="s">
        <v>119</v>
      </c>
      <c r="D3" s="14" t="s">
        <v>120</v>
      </c>
      <c r="E3" s="14" t="s">
        <v>121</v>
      </c>
      <c r="F3" s="14" t="s">
        <v>122</v>
      </c>
      <c r="G3" s="14"/>
      <c r="H3" s="14"/>
    </row>
    <row r="4" ht="15.75" customHeight="1">
      <c r="A4" s="16">
        <v>43806.45759899306</v>
      </c>
      <c r="B4" s="8" t="s">
        <v>123</v>
      </c>
      <c r="C4" s="17" t="s">
        <v>124</v>
      </c>
      <c r="D4" s="8" t="s">
        <v>125</v>
      </c>
      <c r="E4" s="8" t="s">
        <v>126</v>
      </c>
      <c r="F4" s="8" t="s">
        <v>122</v>
      </c>
      <c r="G4" s="8" t="s">
        <v>127</v>
      </c>
      <c r="H4" s="14" t="s">
        <v>128</v>
      </c>
    </row>
    <row r="5" ht="15.75" customHeight="1">
      <c r="A5" s="13">
        <v>43806.47705553241</v>
      </c>
      <c r="B5" s="14" t="s">
        <v>129</v>
      </c>
      <c r="C5" s="15" t="s">
        <v>130</v>
      </c>
      <c r="D5" s="14" t="s">
        <v>131</v>
      </c>
      <c r="E5" s="14" t="s">
        <v>95</v>
      </c>
      <c r="F5" s="14" t="s">
        <v>122</v>
      </c>
      <c r="G5" s="14"/>
      <c r="H5" s="14"/>
    </row>
    <row r="6" ht="15.75" customHeight="1">
      <c r="A6" s="16">
        <v>43807.477060185185</v>
      </c>
      <c r="B6" s="8" t="s">
        <v>132</v>
      </c>
      <c r="C6" s="8">
        <v>8.613521580052E12</v>
      </c>
      <c r="D6" s="8" t="s">
        <v>133</v>
      </c>
      <c r="E6" s="8" t="s">
        <v>126</v>
      </c>
      <c r="F6" s="8" t="s">
        <v>122</v>
      </c>
      <c r="G6" s="8" t="s">
        <v>127</v>
      </c>
      <c r="H6" s="14" t="s">
        <v>128</v>
      </c>
    </row>
    <row r="7" ht="15.75" customHeight="1">
      <c r="A7" s="13">
        <v>43806.53109541666</v>
      </c>
      <c r="B7" s="14" t="s">
        <v>134</v>
      </c>
      <c r="C7" s="15" t="s">
        <v>135</v>
      </c>
      <c r="D7" s="14" t="s">
        <v>136</v>
      </c>
      <c r="E7" s="14" t="s">
        <v>126</v>
      </c>
      <c r="F7" s="14" t="s">
        <v>137</v>
      </c>
      <c r="G7" s="14"/>
      <c r="H7" s="14"/>
    </row>
    <row r="8" ht="15.75" customHeight="1">
      <c r="A8" s="13">
        <v>43806.5352334375</v>
      </c>
      <c r="B8" s="14" t="s">
        <v>138</v>
      </c>
      <c r="C8" s="15" t="s">
        <v>139</v>
      </c>
      <c r="D8" s="14" t="s">
        <v>140</v>
      </c>
      <c r="E8" s="14" t="s">
        <v>126</v>
      </c>
      <c r="F8" s="14" t="s">
        <v>137</v>
      </c>
      <c r="G8" s="14"/>
      <c r="H8" s="14"/>
    </row>
    <row r="9" ht="15.75" customHeight="1">
      <c r="A9" s="13">
        <v>43806.53630820602</v>
      </c>
      <c r="B9" s="14" t="s">
        <v>141</v>
      </c>
      <c r="C9" s="15" t="s">
        <v>142</v>
      </c>
      <c r="D9" s="14" t="s">
        <v>143</v>
      </c>
      <c r="E9" s="14" t="s">
        <v>144</v>
      </c>
      <c r="F9" s="14" t="s">
        <v>122</v>
      </c>
      <c r="G9" s="14"/>
      <c r="H9" s="14"/>
    </row>
    <row r="10" ht="15.75" customHeight="1">
      <c r="A10" s="13">
        <v>43806.56402881944</v>
      </c>
      <c r="B10" s="14" t="s">
        <v>145</v>
      </c>
      <c r="C10" s="15" t="s">
        <v>146</v>
      </c>
      <c r="D10" s="14" t="s">
        <v>147</v>
      </c>
      <c r="E10" s="14" t="s">
        <v>79</v>
      </c>
      <c r="F10" s="14" t="s">
        <v>122</v>
      </c>
      <c r="G10" s="14"/>
      <c r="H10" s="14"/>
    </row>
    <row r="11" ht="15.75" customHeight="1">
      <c r="A11" s="13">
        <v>43806.58730837963</v>
      </c>
      <c r="B11" s="14" t="s">
        <v>148</v>
      </c>
      <c r="C11" s="15" t="s">
        <v>149</v>
      </c>
      <c r="D11" s="14" t="s">
        <v>150</v>
      </c>
      <c r="E11" s="14" t="s">
        <v>151</v>
      </c>
      <c r="F11" s="14" t="s">
        <v>152</v>
      </c>
      <c r="G11" s="14"/>
      <c r="H11" s="14"/>
    </row>
    <row r="12" ht="15.75" customHeight="1">
      <c r="A12" s="13">
        <v>43806.629972002316</v>
      </c>
      <c r="B12" s="14" t="s">
        <v>153</v>
      </c>
      <c r="C12" s="14">
        <v>5.67910888E8</v>
      </c>
      <c r="D12" s="14" t="s">
        <v>154</v>
      </c>
      <c r="E12" s="14" t="s">
        <v>155</v>
      </c>
      <c r="F12" s="14" t="s">
        <v>122</v>
      </c>
      <c r="G12" s="14"/>
      <c r="H12" s="14"/>
    </row>
    <row r="13" ht="15.75" customHeight="1">
      <c r="A13" s="13">
        <v>43806.630342627315</v>
      </c>
      <c r="B13" s="14" t="s">
        <v>156</v>
      </c>
      <c r="C13" s="15" t="s">
        <v>157</v>
      </c>
      <c r="D13" s="14" t="s">
        <v>158</v>
      </c>
      <c r="E13" s="14"/>
      <c r="F13" s="14" t="s">
        <v>152</v>
      </c>
      <c r="G13" s="14"/>
      <c r="H13" s="14"/>
    </row>
    <row r="14" ht="15.75" customHeight="1">
      <c r="A14" s="13">
        <v>43806.6424440625</v>
      </c>
      <c r="B14" s="14" t="s">
        <v>159</v>
      </c>
      <c r="C14" s="15" t="s">
        <v>160</v>
      </c>
      <c r="D14" s="14" t="s">
        <v>161</v>
      </c>
      <c r="E14" s="14" t="s">
        <v>162</v>
      </c>
      <c r="F14" s="14" t="s">
        <v>122</v>
      </c>
      <c r="G14" s="14"/>
      <c r="H14" s="14"/>
    </row>
    <row r="15" ht="15.75" customHeight="1">
      <c r="A15" s="13">
        <v>43806.65017789352</v>
      </c>
      <c r="B15" s="14" t="s">
        <v>163</v>
      </c>
      <c r="C15" s="15" t="s">
        <v>164</v>
      </c>
      <c r="D15" s="14" t="s">
        <v>165</v>
      </c>
      <c r="E15" s="14" t="s">
        <v>166</v>
      </c>
      <c r="F15" s="14" t="s">
        <v>122</v>
      </c>
      <c r="G15" s="14"/>
      <c r="H15" s="14"/>
    </row>
    <row r="16" ht="15.75" customHeight="1">
      <c r="A16" s="13">
        <v>43806.657956932875</v>
      </c>
      <c r="B16" s="14" t="s">
        <v>167</v>
      </c>
      <c r="C16" s="15" t="s">
        <v>168</v>
      </c>
      <c r="D16" s="14" t="s">
        <v>169</v>
      </c>
      <c r="E16" s="14" t="s">
        <v>170</v>
      </c>
      <c r="F16" s="14" t="s">
        <v>152</v>
      </c>
      <c r="G16" s="14"/>
      <c r="H16" s="14"/>
    </row>
    <row r="17" ht="15.75" customHeight="1">
      <c r="A17" s="13">
        <v>43806.65122092592</v>
      </c>
      <c r="B17" s="14" t="s">
        <v>171</v>
      </c>
      <c r="C17" s="15" t="s">
        <v>172</v>
      </c>
      <c r="D17" s="14" t="s">
        <v>173</v>
      </c>
      <c r="E17" s="14" t="s">
        <v>174</v>
      </c>
      <c r="F17" s="14" t="s">
        <v>122</v>
      </c>
      <c r="G17" s="14"/>
      <c r="H17" s="14"/>
    </row>
    <row r="18" ht="15.75" customHeight="1">
      <c r="A18" s="13">
        <v>43806.65376385416</v>
      </c>
      <c r="B18" s="14" t="s">
        <v>175</v>
      </c>
      <c r="C18" s="15" t="s">
        <v>176</v>
      </c>
      <c r="D18" s="14" t="s">
        <v>177</v>
      </c>
      <c r="E18" s="14" t="s">
        <v>84</v>
      </c>
      <c r="F18" s="14" t="s">
        <v>122</v>
      </c>
      <c r="G18" s="14"/>
      <c r="H18" s="14"/>
    </row>
    <row r="19" ht="15.75" customHeight="1">
      <c r="A19" s="13">
        <v>43806.65533421296</v>
      </c>
      <c r="B19" s="14" t="s">
        <v>178</v>
      </c>
      <c r="C19" s="15" t="s">
        <v>179</v>
      </c>
      <c r="D19" s="14" t="s">
        <v>180</v>
      </c>
      <c r="E19" s="14" t="s">
        <v>174</v>
      </c>
      <c r="F19" s="14" t="s">
        <v>122</v>
      </c>
      <c r="G19" s="14"/>
      <c r="H19" s="14"/>
    </row>
    <row r="20" ht="15.75" customHeight="1">
      <c r="A20" s="13">
        <v>43806.656454317126</v>
      </c>
      <c r="B20" s="14" t="s">
        <v>181</v>
      </c>
      <c r="C20" s="15" t="s">
        <v>182</v>
      </c>
      <c r="D20" s="14" t="s">
        <v>183</v>
      </c>
      <c r="E20" s="14" t="s">
        <v>184</v>
      </c>
      <c r="F20" s="14" t="s">
        <v>122</v>
      </c>
      <c r="G20" s="14"/>
      <c r="H20" s="14"/>
    </row>
    <row r="21" ht="15.75" customHeight="1">
      <c r="A21" s="13">
        <v>43806.65712873843</v>
      </c>
      <c r="B21" s="14" t="s">
        <v>185</v>
      </c>
      <c r="C21" s="15" t="s">
        <v>186</v>
      </c>
      <c r="D21" s="14" t="s">
        <v>187</v>
      </c>
      <c r="E21" s="14" t="s">
        <v>188</v>
      </c>
      <c r="F21" s="14" t="s">
        <v>122</v>
      </c>
      <c r="G21" s="14"/>
      <c r="H21" s="14"/>
    </row>
    <row r="22" ht="15.75" customHeight="1">
      <c r="A22" s="18">
        <v>43806.65835070601</v>
      </c>
      <c r="B22" s="19" t="s">
        <v>189</v>
      </c>
      <c r="C22" s="20" t="s">
        <v>190</v>
      </c>
      <c r="D22" s="19" t="s">
        <v>191</v>
      </c>
      <c r="E22" s="19" t="s">
        <v>192</v>
      </c>
      <c r="F22" s="19" t="s">
        <v>137</v>
      </c>
      <c r="G22" s="21" t="s">
        <v>193</v>
      </c>
      <c r="H22" s="22"/>
    </row>
    <row r="23" ht="15.75" customHeight="1">
      <c r="A23" s="13">
        <v>43806.65953538194</v>
      </c>
      <c r="B23" s="14" t="s">
        <v>194</v>
      </c>
      <c r="C23" s="15" t="s">
        <v>195</v>
      </c>
      <c r="D23" s="14" t="s">
        <v>196</v>
      </c>
      <c r="E23" s="14" t="s">
        <v>170</v>
      </c>
      <c r="F23" s="14" t="s">
        <v>152</v>
      </c>
      <c r="G23" s="14"/>
      <c r="H23" s="14"/>
    </row>
    <row r="24" ht="15.75" customHeight="1">
      <c r="A24" s="13">
        <v>43806.660309432875</v>
      </c>
      <c r="B24" s="14" t="s">
        <v>197</v>
      </c>
      <c r="C24" s="15" t="s">
        <v>198</v>
      </c>
      <c r="D24" s="14" t="s">
        <v>199</v>
      </c>
      <c r="E24" s="14"/>
      <c r="F24" s="14" t="s">
        <v>122</v>
      </c>
      <c r="G24" s="14"/>
      <c r="H24" s="14"/>
    </row>
    <row r="25" ht="15.75" customHeight="1">
      <c r="A25" s="13">
        <v>43806.66105008102</v>
      </c>
      <c r="B25" s="14" t="s">
        <v>200</v>
      </c>
      <c r="C25" s="14">
        <v>9.811643939E9</v>
      </c>
      <c r="D25" s="14" t="s">
        <v>201</v>
      </c>
      <c r="E25" s="14" t="s">
        <v>202</v>
      </c>
      <c r="F25" s="14" t="s">
        <v>122</v>
      </c>
      <c r="G25" s="14"/>
      <c r="H25" s="14"/>
    </row>
    <row r="26" ht="15.75" customHeight="1">
      <c r="A26" s="13">
        <v>43806.66253818287</v>
      </c>
      <c r="B26" s="14" t="s">
        <v>203</v>
      </c>
      <c r="C26" s="15" t="s">
        <v>204</v>
      </c>
      <c r="D26" s="14" t="s">
        <v>205</v>
      </c>
      <c r="E26" s="14" t="s">
        <v>206</v>
      </c>
      <c r="F26" s="14" t="s">
        <v>152</v>
      </c>
      <c r="G26" s="14"/>
      <c r="H26" s="14"/>
    </row>
    <row r="27" ht="15.75" customHeight="1">
      <c r="A27" s="13">
        <v>43806.66357826389</v>
      </c>
      <c r="B27" s="14" t="s">
        <v>207</v>
      </c>
      <c r="C27" s="15" t="s">
        <v>208</v>
      </c>
      <c r="D27" s="14" t="s">
        <v>209</v>
      </c>
      <c r="E27" s="14" t="s">
        <v>126</v>
      </c>
      <c r="F27" s="14" t="s">
        <v>122</v>
      </c>
      <c r="G27" s="14"/>
      <c r="H27" s="14"/>
    </row>
    <row r="28" ht="15.75" customHeight="1">
      <c r="A28" s="13">
        <v>43806.66476909722</v>
      </c>
      <c r="B28" s="14" t="s">
        <v>210</v>
      </c>
      <c r="C28" s="15" t="s">
        <v>211</v>
      </c>
      <c r="D28" s="14" t="s">
        <v>212</v>
      </c>
      <c r="E28" s="14"/>
      <c r="F28" s="14" t="s">
        <v>122</v>
      </c>
      <c r="G28" s="14"/>
      <c r="H28" s="14"/>
    </row>
    <row r="29" ht="15.75" customHeight="1">
      <c r="A29" s="13">
        <v>43806.66535638889</v>
      </c>
      <c r="B29" s="14" t="s">
        <v>163</v>
      </c>
      <c r="C29" s="15" t="s">
        <v>213</v>
      </c>
      <c r="D29" s="14" t="s">
        <v>214</v>
      </c>
      <c r="E29" s="14" t="s">
        <v>215</v>
      </c>
      <c r="F29" s="14" t="s">
        <v>122</v>
      </c>
      <c r="G29" s="14"/>
      <c r="H29" s="14"/>
    </row>
    <row r="30" ht="15.75" customHeight="1">
      <c r="A30" s="13">
        <v>43806.66574621528</v>
      </c>
      <c r="B30" s="14" t="s">
        <v>163</v>
      </c>
      <c r="C30" s="14">
        <v>1.3712507676E10</v>
      </c>
      <c r="D30" s="14" t="s">
        <v>216</v>
      </c>
      <c r="E30" s="14" t="s">
        <v>217</v>
      </c>
      <c r="F30" s="14" t="s">
        <v>122</v>
      </c>
      <c r="G30" s="14"/>
      <c r="H30" s="14"/>
    </row>
    <row r="31" ht="15.75" customHeight="1">
      <c r="A31" s="13">
        <v>43806.6671272338</v>
      </c>
      <c r="B31" s="14" t="s">
        <v>218</v>
      </c>
      <c r="C31" s="14">
        <v>1.3501385051E10</v>
      </c>
      <c r="D31" s="14" t="s">
        <v>219</v>
      </c>
      <c r="E31" s="14" t="s">
        <v>126</v>
      </c>
      <c r="F31" s="14" t="s">
        <v>122</v>
      </c>
      <c r="G31" s="14"/>
      <c r="H31" s="14"/>
    </row>
    <row r="32" ht="15.75" customHeight="1">
      <c r="A32" s="13">
        <v>43806.66826314815</v>
      </c>
      <c r="B32" s="14" t="s">
        <v>220</v>
      </c>
      <c r="C32" s="15" t="s">
        <v>221</v>
      </c>
      <c r="D32" s="14" t="s">
        <v>222</v>
      </c>
      <c r="E32" s="14" t="s">
        <v>223</v>
      </c>
      <c r="F32" s="14" t="s">
        <v>122</v>
      </c>
      <c r="G32" s="14"/>
      <c r="H32" s="14"/>
    </row>
    <row r="33" ht="15.75" customHeight="1">
      <c r="A33" s="13">
        <v>43806.67045284722</v>
      </c>
      <c r="B33" s="14" t="s">
        <v>224</v>
      </c>
      <c r="C33" s="15" t="s">
        <v>225</v>
      </c>
      <c r="D33" s="14" t="s">
        <v>226</v>
      </c>
      <c r="E33" s="14" t="s">
        <v>227</v>
      </c>
      <c r="F33" s="14" t="s">
        <v>122</v>
      </c>
      <c r="G33" s="14"/>
      <c r="H33" s="14"/>
    </row>
    <row r="34" ht="15.75" customHeight="1">
      <c r="A34" s="13">
        <v>43806.67969700231</v>
      </c>
      <c r="B34" s="14" t="s">
        <v>228</v>
      </c>
      <c r="C34" s="15" t="s">
        <v>229</v>
      </c>
      <c r="D34" s="14" t="s">
        <v>230</v>
      </c>
      <c r="E34" s="14" t="s">
        <v>174</v>
      </c>
      <c r="F34" s="14" t="s">
        <v>122</v>
      </c>
      <c r="G34" s="14"/>
      <c r="H34" s="14"/>
    </row>
    <row r="35" ht="15.75" customHeight="1">
      <c r="A35" s="13">
        <v>43806.68808681713</v>
      </c>
      <c r="B35" s="14" t="s">
        <v>231</v>
      </c>
      <c r="C35" s="15" t="s">
        <v>232</v>
      </c>
      <c r="D35" s="14" t="s">
        <v>233</v>
      </c>
      <c r="E35" s="14" t="s">
        <v>95</v>
      </c>
      <c r="F35" s="14" t="s">
        <v>152</v>
      </c>
      <c r="G35" s="14"/>
      <c r="H35" s="14"/>
    </row>
    <row r="36" ht="15.75" customHeight="1">
      <c r="A36" s="13">
        <v>43806.749372986116</v>
      </c>
      <c r="B36" s="14" t="s">
        <v>234</v>
      </c>
      <c r="C36" s="14" t="s">
        <v>235</v>
      </c>
      <c r="D36" s="14" t="s">
        <v>236</v>
      </c>
      <c r="E36" s="14" t="s">
        <v>237</v>
      </c>
      <c r="F36" s="14" t="s">
        <v>122</v>
      </c>
      <c r="G36" s="14"/>
      <c r="H36" s="14"/>
    </row>
    <row r="37" ht="15.75" customHeight="1">
      <c r="A37" s="13">
        <v>43806.750739780095</v>
      </c>
      <c r="B37" s="14" t="s">
        <v>238</v>
      </c>
      <c r="C37" s="15" t="s">
        <v>239</v>
      </c>
      <c r="D37" s="14" t="s">
        <v>240</v>
      </c>
      <c r="E37" s="14" t="s">
        <v>223</v>
      </c>
      <c r="F37" s="14" t="s">
        <v>122</v>
      </c>
      <c r="G37" s="14"/>
      <c r="H37" s="14"/>
    </row>
    <row r="38" ht="15.75" customHeight="1">
      <c r="A38" s="13">
        <v>43806.75286337963</v>
      </c>
      <c r="B38" s="14" t="s">
        <v>241</v>
      </c>
      <c r="C38" s="15" t="s">
        <v>242</v>
      </c>
      <c r="D38" s="14" t="s">
        <v>243</v>
      </c>
      <c r="E38" s="14"/>
      <c r="F38" s="14" t="s">
        <v>122</v>
      </c>
      <c r="G38" s="14"/>
      <c r="H38" s="14"/>
    </row>
    <row r="39" ht="15.75" customHeight="1">
      <c r="A39" s="13">
        <v>43806.797611064816</v>
      </c>
      <c r="B39" s="14" t="s">
        <v>244</v>
      </c>
      <c r="C39" s="15" t="s">
        <v>245</v>
      </c>
      <c r="D39" s="14" t="s">
        <v>246</v>
      </c>
      <c r="E39" s="14" t="s">
        <v>247</v>
      </c>
      <c r="F39" s="14" t="s">
        <v>152</v>
      </c>
      <c r="G39" s="14"/>
      <c r="H39" s="14"/>
    </row>
    <row r="40" ht="15.75" customHeight="1">
      <c r="A40" s="13">
        <v>43806.531805555554</v>
      </c>
      <c r="B40" s="14" t="s">
        <v>248</v>
      </c>
      <c r="C40" s="14" t="s">
        <v>249</v>
      </c>
      <c r="D40" s="14" t="s">
        <v>250</v>
      </c>
      <c r="E40" s="14" t="s">
        <v>251</v>
      </c>
      <c r="F40" s="14"/>
      <c r="G40" s="14"/>
      <c r="H40" s="14"/>
    </row>
    <row r="41" ht="15.75" customHeight="1">
      <c r="A41" s="13">
        <v>43806.059583333335</v>
      </c>
      <c r="B41" s="14" t="s">
        <v>252</v>
      </c>
      <c r="C41" s="15" t="s">
        <v>253</v>
      </c>
      <c r="D41" s="14" t="s">
        <v>254</v>
      </c>
      <c r="E41" s="14" t="s">
        <v>255</v>
      </c>
      <c r="F41" s="14"/>
      <c r="G41" s="14"/>
      <c r="H41" s="14"/>
    </row>
    <row r="42" ht="15.75" customHeight="1">
      <c r="A42" s="13">
        <v>43806.06166666667</v>
      </c>
      <c r="B42" s="14" t="s">
        <v>256</v>
      </c>
      <c r="C42" s="15" t="s">
        <v>257</v>
      </c>
      <c r="D42" s="14" t="s">
        <v>258</v>
      </c>
      <c r="E42" s="14" t="s">
        <v>144</v>
      </c>
      <c r="F42" s="14"/>
      <c r="G42" s="14"/>
      <c r="H42" s="14"/>
    </row>
    <row r="43" ht="15.75" customHeight="1">
      <c r="A43" s="23">
        <v>43806.0</v>
      </c>
      <c r="B43" s="14" t="s">
        <v>259</v>
      </c>
      <c r="C43" s="14">
        <v>5.69652961E8</v>
      </c>
      <c r="D43" s="14" t="s">
        <v>260</v>
      </c>
      <c r="E43" s="14"/>
      <c r="F43" s="14"/>
      <c r="G43" s="14"/>
      <c r="H43" s="14"/>
    </row>
    <row r="44" ht="15.75" customHeight="1">
      <c r="A44" s="23">
        <v>43806.0</v>
      </c>
      <c r="B44" s="14" t="s">
        <v>261</v>
      </c>
      <c r="C44" s="14"/>
      <c r="D44" s="14"/>
      <c r="E44" s="14" t="s">
        <v>80</v>
      </c>
      <c r="F44" s="14" t="s">
        <v>152</v>
      </c>
      <c r="G44" s="14"/>
      <c r="H44" s="14"/>
    </row>
    <row r="45" ht="15.75" customHeight="1">
      <c r="A45" s="23">
        <v>43806.0</v>
      </c>
      <c r="B45" s="14"/>
      <c r="C45" s="14">
        <v>5.57381988E8</v>
      </c>
      <c r="D45" s="24" t="s">
        <v>262</v>
      </c>
      <c r="E45" s="14" t="s">
        <v>243</v>
      </c>
      <c r="F45" s="14"/>
      <c r="G45" s="14"/>
      <c r="H45" s="14"/>
    </row>
    <row r="46" ht="15.75" customHeight="1">
      <c r="A46" s="23">
        <v>43806.0</v>
      </c>
      <c r="B46" s="14" t="s">
        <v>241</v>
      </c>
      <c r="C46" s="14">
        <v>5.55527796E8</v>
      </c>
      <c r="D46" s="14" t="s">
        <v>263</v>
      </c>
      <c r="E46" s="14" t="s">
        <v>243</v>
      </c>
      <c r="F46" s="14" t="s">
        <v>264</v>
      </c>
      <c r="G46" s="14"/>
      <c r="H46" s="14"/>
    </row>
    <row r="47" ht="15.75" customHeight="1">
      <c r="A47" s="23">
        <v>43806.0</v>
      </c>
      <c r="B47" s="14"/>
      <c r="C47" s="14">
        <v>5.06256187E8</v>
      </c>
      <c r="D47" s="14" t="s">
        <v>265</v>
      </c>
      <c r="E47" s="14"/>
      <c r="F47" s="14" t="s">
        <v>122</v>
      </c>
      <c r="G47" s="14"/>
      <c r="H47" s="14"/>
    </row>
    <row r="48" ht="15.75" customHeight="1">
      <c r="A48" s="23">
        <v>43806.0</v>
      </c>
      <c r="B48" s="14" t="s">
        <v>266</v>
      </c>
      <c r="C48" s="14">
        <v>5.28181704E8</v>
      </c>
      <c r="D48" s="14" t="s">
        <v>267</v>
      </c>
      <c r="E48" s="14" t="s">
        <v>45</v>
      </c>
      <c r="F48" s="14" t="s">
        <v>122</v>
      </c>
      <c r="G48" s="14"/>
      <c r="H48" s="14"/>
    </row>
    <row r="49" ht="15.75" customHeight="1">
      <c r="A49" s="23">
        <v>43806.0</v>
      </c>
      <c r="B49" s="14"/>
      <c r="C49" s="14">
        <v>5.855910029E9</v>
      </c>
      <c r="D49" s="14" t="s">
        <v>268</v>
      </c>
      <c r="E49" s="14" t="s">
        <v>174</v>
      </c>
      <c r="F49" s="14"/>
      <c r="G49" s="14"/>
      <c r="H49" s="14"/>
    </row>
    <row r="50" ht="15.75" customHeight="1">
      <c r="A50" s="23">
        <v>43806.0</v>
      </c>
      <c r="B50" s="14"/>
      <c r="C50" s="14">
        <v>5.09827403E8</v>
      </c>
      <c r="D50" s="14" t="s">
        <v>183</v>
      </c>
      <c r="E50" s="14" t="s">
        <v>184</v>
      </c>
      <c r="F50" s="14" t="s">
        <v>122</v>
      </c>
      <c r="G50" s="14"/>
      <c r="H50" s="14"/>
    </row>
    <row r="51" ht="15.75" customHeight="1">
      <c r="A51" s="23">
        <v>43806.0</v>
      </c>
      <c r="B51" s="14" t="s">
        <v>269</v>
      </c>
      <c r="C51" s="14">
        <v>5.25277375E8</v>
      </c>
      <c r="D51" s="14" t="s">
        <v>270</v>
      </c>
      <c r="E51" s="14" t="s">
        <v>45</v>
      </c>
      <c r="F51" s="14" t="s">
        <v>122</v>
      </c>
      <c r="G51" s="14"/>
      <c r="H51" s="14"/>
    </row>
    <row r="52" ht="15.75" customHeight="1">
      <c r="A52" s="23">
        <v>43806.0</v>
      </c>
      <c r="B52" s="14" t="s">
        <v>271</v>
      </c>
      <c r="C52" s="14">
        <v>5.44497977E8</v>
      </c>
      <c r="D52" s="14" t="s">
        <v>272</v>
      </c>
      <c r="E52" s="14" t="s">
        <v>174</v>
      </c>
      <c r="F52" s="14"/>
      <c r="G52" s="14"/>
      <c r="H52" s="14"/>
    </row>
    <row r="53" ht="15.75" customHeight="1">
      <c r="A53" s="23">
        <v>43806.0</v>
      </c>
      <c r="B53" s="14" t="s">
        <v>273</v>
      </c>
      <c r="C53" s="14">
        <v>5.04680374E8</v>
      </c>
      <c r="D53" s="14" t="s">
        <v>258</v>
      </c>
      <c r="E53" s="14" t="s">
        <v>79</v>
      </c>
      <c r="F53" s="14"/>
      <c r="G53" s="14"/>
      <c r="H53" s="14"/>
    </row>
    <row r="54" ht="15.75" customHeight="1">
      <c r="A54" s="25">
        <v>43806.0</v>
      </c>
      <c r="B54" s="8" t="s">
        <v>163</v>
      </c>
      <c r="C54" s="8">
        <v>9.710527476335E12</v>
      </c>
      <c r="D54" s="8" t="s">
        <v>274</v>
      </c>
      <c r="E54" s="8" t="s">
        <v>243</v>
      </c>
      <c r="F54" s="8" t="s">
        <v>122</v>
      </c>
      <c r="G54" s="8" t="s">
        <v>127</v>
      </c>
      <c r="H54" s="14" t="s">
        <v>128</v>
      </c>
    </row>
    <row r="55" ht="15.75" customHeight="1">
      <c r="A55" s="8"/>
      <c r="B55" s="8" t="s">
        <v>163</v>
      </c>
      <c r="C55" s="8">
        <v>9.710527476553E12</v>
      </c>
      <c r="D55" s="8" t="s">
        <v>275</v>
      </c>
      <c r="E55" s="8" t="s">
        <v>243</v>
      </c>
      <c r="F55" s="8" t="s">
        <v>122</v>
      </c>
      <c r="G55" s="8" t="s">
        <v>127</v>
      </c>
      <c r="H55" s="26" t="s">
        <v>276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4" t="s">
        <v>112</v>
      </c>
      <c r="B1" s="14" t="s">
        <v>113</v>
      </c>
      <c r="C1" s="14" t="s">
        <v>114</v>
      </c>
      <c r="D1" s="14" t="s">
        <v>115</v>
      </c>
      <c r="E1" s="14" t="s">
        <v>116</v>
      </c>
      <c r="F1" s="26" t="s">
        <v>117</v>
      </c>
    </row>
    <row r="2" ht="15.75" customHeight="1">
      <c r="A2" s="13">
        <v>43743.49919217592</v>
      </c>
      <c r="B2" s="14" t="s">
        <v>277</v>
      </c>
      <c r="C2" s="15" t="s">
        <v>278</v>
      </c>
      <c r="D2" s="14" t="s">
        <v>279</v>
      </c>
      <c r="E2" s="14" t="s">
        <v>280</v>
      </c>
      <c r="F2" s="14" t="s">
        <v>137</v>
      </c>
    </row>
    <row r="3" ht="15.75" customHeight="1">
      <c r="A3" s="13">
        <v>43743.501688564815</v>
      </c>
      <c r="B3" s="14" t="s">
        <v>281</v>
      </c>
      <c r="C3" s="15" t="s">
        <v>282</v>
      </c>
      <c r="D3" s="14" t="s">
        <v>283</v>
      </c>
      <c r="E3" s="14" t="s">
        <v>284</v>
      </c>
      <c r="F3" s="14" t="s">
        <v>137</v>
      </c>
    </row>
    <row r="4" ht="15.75" customHeight="1">
      <c r="A4" s="13">
        <v>43743.51297391204</v>
      </c>
      <c r="B4" s="14" t="s">
        <v>285</v>
      </c>
      <c r="C4" s="15" t="s">
        <v>286</v>
      </c>
      <c r="D4" s="14" t="s">
        <v>287</v>
      </c>
      <c r="E4" s="14" t="s">
        <v>288</v>
      </c>
      <c r="F4" s="14" t="s">
        <v>122</v>
      </c>
    </row>
    <row r="5" ht="15.75" customHeight="1">
      <c r="A5" s="13">
        <v>43743.51334359954</v>
      </c>
      <c r="B5" s="14" t="s">
        <v>285</v>
      </c>
      <c r="C5" s="15" t="s">
        <v>286</v>
      </c>
      <c r="D5" s="14" t="s">
        <v>287</v>
      </c>
      <c r="E5" s="14" t="s">
        <v>288</v>
      </c>
      <c r="F5" s="14" t="s">
        <v>122</v>
      </c>
    </row>
    <row r="6" ht="15.75" customHeight="1">
      <c r="A6" s="13">
        <v>43743.51418322917</v>
      </c>
      <c r="B6" s="14" t="s">
        <v>289</v>
      </c>
      <c r="C6" s="14"/>
      <c r="D6" s="14"/>
      <c r="E6" s="14"/>
      <c r="F6" s="14" t="s">
        <v>122</v>
      </c>
    </row>
    <row r="7" ht="15.75" customHeight="1">
      <c r="A7" s="13">
        <v>43743.52329611111</v>
      </c>
      <c r="B7" s="14" t="s">
        <v>290</v>
      </c>
      <c r="C7" s="15" t="s">
        <v>291</v>
      </c>
      <c r="D7" s="14" t="s">
        <v>292</v>
      </c>
      <c r="E7" s="14" t="s">
        <v>280</v>
      </c>
      <c r="F7" s="14" t="s">
        <v>122</v>
      </c>
    </row>
    <row r="8" ht="15.75" customHeight="1">
      <c r="A8" s="13">
        <v>43743.531823935184</v>
      </c>
      <c r="B8" s="14" t="s">
        <v>293</v>
      </c>
      <c r="C8" s="15" t="s">
        <v>294</v>
      </c>
      <c r="D8" s="14" t="s">
        <v>295</v>
      </c>
      <c r="E8" s="14" t="s">
        <v>296</v>
      </c>
      <c r="F8" s="14" t="s">
        <v>152</v>
      </c>
    </row>
    <row r="9" ht="15.75" customHeight="1">
      <c r="A9" s="13">
        <v>43743.53990685185</v>
      </c>
      <c r="B9" s="14" t="s">
        <v>297</v>
      </c>
      <c r="C9" s="15" t="s">
        <v>298</v>
      </c>
      <c r="D9" s="14" t="s">
        <v>299</v>
      </c>
      <c r="E9" s="14" t="s">
        <v>300</v>
      </c>
      <c r="F9" s="14" t="s">
        <v>152</v>
      </c>
    </row>
    <row r="10" ht="15.75" customHeight="1">
      <c r="A10" s="13">
        <v>43743.54181203704</v>
      </c>
      <c r="B10" s="14" t="s">
        <v>301</v>
      </c>
      <c r="C10" s="15" t="s">
        <v>302</v>
      </c>
      <c r="D10" s="14" t="s">
        <v>303</v>
      </c>
      <c r="E10" s="14" t="s">
        <v>280</v>
      </c>
      <c r="F10" s="14" t="s">
        <v>122</v>
      </c>
    </row>
    <row r="11" ht="15.75" customHeight="1">
      <c r="A11" s="13">
        <v>43743.565343379625</v>
      </c>
      <c r="B11" s="14" t="s">
        <v>304</v>
      </c>
      <c r="C11" s="14" t="s">
        <v>305</v>
      </c>
      <c r="D11" s="14" t="s">
        <v>306</v>
      </c>
      <c r="E11" s="14" t="s">
        <v>307</v>
      </c>
      <c r="F11" s="14" t="s">
        <v>137</v>
      </c>
    </row>
    <row r="12" ht="15.75" customHeight="1">
      <c r="A12" s="13">
        <v>43743.56737539352</v>
      </c>
      <c r="B12" s="14" t="s">
        <v>308</v>
      </c>
      <c r="C12" s="15" t="s">
        <v>309</v>
      </c>
      <c r="D12" s="14" t="s">
        <v>310</v>
      </c>
      <c r="E12" s="14" t="s">
        <v>243</v>
      </c>
      <c r="F12" s="14" t="s">
        <v>122</v>
      </c>
    </row>
    <row r="13" ht="15.75" customHeight="1">
      <c r="A13" s="13">
        <v>43743.578739363424</v>
      </c>
      <c r="B13" s="14" t="s">
        <v>308</v>
      </c>
      <c r="C13" s="15" t="s">
        <v>309</v>
      </c>
      <c r="D13" s="14" t="s">
        <v>310</v>
      </c>
      <c r="E13" s="14" t="s">
        <v>243</v>
      </c>
      <c r="F13" s="14" t="s">
        <v>122</v>
      </c>
    </row>
    <row r="14" ht="15.75" customHeight="1">
      <c r="A14" s="13">
        <v>43743.585076284726</v>
      </c>
      <c r="B14" s="14" t="s">
        <v>311</v>
      </c>
      <c r="C14" s="15" t="s">
        <v>312</v>
      </c>
      <c r="D14" s="14" t="s">
        <v>313</v>
      </c>
      <c r="E14" s="14" t="s">
        <v>314</v>
      </c>
      <c r="F14" s="14" t="s">
        <v>122</v>
      </c>
    </row>
    <row r="15" ht="15.75" customHeight="1">
      <c r="A15" s="13">
        <v>43743.59479212963</v>
      </c>
      <c r="B15" s="14" t="s">
        <v>315</v>
      </c>
      <c r="C15" s="15" t="s">
        <v>316</v>
      </c>
      <c r="D15" s="14" t="s">
        <v>317</v>
      </c>
      <c r="E15" s="14" t="s">
        <v>280</v>
      </c>
      <c r="F15" s="14" t="s">
        <v>122</v>
      </c>
    </row>
    <row r="16" ht="15.75" customHeight="1">
      <c r="A16" s="13">
        <v>43743.65588385417</v>
      </c>
      <c r="B16" s="14" t="s">
        <v>318</v>
      </c>
      <c r="C16" s="27">
        <v>5.63528719E8</v>
      </c>
      <c r="D16" s="14" t="s">
        <v>319</v>
      </c>
      <c r="E16" s="14" t="s">
        <v>320</v>
      </c>
      <c r="F16" s="14" t="s">
        <v>122</v>
      </c>
    </row>
    <row r="17" ht="15.75" customHeight="1">
      <c r="A17" s="13">
        <v>43743.67174456018</v>
      </c>
      <c r="B17" s="14" t="s">
        <v>321</v>
      </c>
      <c r="C17" s="15" t="s">
        <v>322</v>
      </c>
      <c r="D17" s="14" t="s">
        <v>323</v>
      </c>
      <c r="E17" s="14" t="s">
        <v>217</v>
      </c>
      <c r="F17" s="14" t="s">
        <v>152</v>
      </c>
    </row>
    <row r="18" ht="15.75" customHeight="1">
      <c r="A18" s="13">
        <v>43743.707474236115</v>
      </c>
      <c r="B18" s="14" t="s">
        <v>324</v>
      </c>
      <c r="C18" s="15" t="s">
        <v>325</v>
      </c>
      <c r="D18" s="14" t="s">
        <v>326</v>
      </c>
      <c r="E18" s="14" t="s">
        <v>327</v>
      </c>
      <c r="F18" s="14" t="s">
        <v>122</v>
      </c>
    </row>
    <row r="19" ht="15.75" customHeight="1">
      <c r="A19" s="13">
        <v>43743.728398865744</v>
      </c>
      <c r="B19" s="14" t="s">
        <v>328</v>
      </c>
      <c r="C19" s="27">
        <v>1.7688833317E10</v>
      </c>
      <c r="D19" s="14" t="s">
        <v>329</v>
      </c>
      <c r="E19" s="14" t="s">
        <v>314</v>
      </c>
      <c r="F19" s="14" t="s">
        <v>122</v>
      </c>
    </row>
    <row r="20" ht="15.75" customHeight="1">
      <c r="A20" s="13">
        <v>43743.75126924769</v>
      </c>
      <c r="B20" s="14" t="s">
        <v>330</v>
      </c>
      <c r="C20" s="15" t="s">
        <v>331</v>
      </c>
      <c r="D20" s="14" t="s">
        <v>332</v>
      </c>
      <c r="E20" s="14"/>
      <c r="F20" s="14" t="s">
        <v>122</v>
      </c>
    </row>
    <row r="21" ht="15.75" customHeight="1">
      <c r="A21" s="13">
        <v>43743.751322094904</v>
      </c>
      <c r="B21" s="14" t="s">
        <v>330</v>
      </c>
      <c r="C21" s="15" t="s">
        <v>331</v>
      </c>
      <c r="D21" s="14" t="s">
        <v>332</v>
      </c>
      <c r="E21" s="14" t="s">
        <v>333</v>
      </c>
      <c r="F21" s="14" t="s">
        <v>122</v>
      </c>
    </row>
    <row r="22" ht="15.75" customHeight="1">
      <c r="A22" s="13">
        <v>43743.767924942134</v>
      </c>
      <c r="B22" s="14" t="s">
        <v>334</v>
      </c>
      <c r="C22" s="14" t="s">
        <v>335</v>
      </c>
      <c r="D22" s="14" t="s">
        <v>336</v>
      </c>
      <c r="E22" s="14" t="s">
        <v>337</v>
      </c>
      <c r="F22" s="14" t="s">
        <v>122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57"/>
    <col customWidth="1" min="2" max="2" width="24.43"/>
    <col customWidth="1" min="3" max="3" width="14.43"/>
    <col customWidth="1" min="4" max="4" width="27.86"/>
    <col customWidth="1" min="5" max="6" width="14.43"/>
  </cols>
  <sheetData>
    <row r="1" ht="15.75" customHeight="1">
      <c r="A1" s="11" t="s">
        <v>338</v>
      </c>
      <c r="B1" s="11" t="s">
        <v>339</v>
      </c>
      <c r="C1" s="28" t="s">
        <v>340</v>
      </c>
      <c r="D1" s="11" t="s">
        <v>341</v>
      </c>
      <c r="E1" s="11" t="s">
        <v>342</v>
      </c>
      <c r="F1" s="11" t="s">
        <v>343</v>
      </c>
      <c r="G1" s="11" t="s">
        <v>344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29" t="s">
        <v>345</v>
      </c>
      <c r="B2" s="29" t="s">
        <v>346</v>
      </c>
      <c r="C2" s="29">
        <f>+971502237650</f>
        <v>971502237650</v>
      </c>
      <c r="D2" s="3" t="s">
        <v>347</v>
      </c>
      <c r="E2" s="29" t="s">
        <v>348</v>
      </c>
      <c r="F2" s="30" t="s">
        <v>349</v>
      </c>
      <c r="G2" s="31" t="s">
        <v>350</v>
      </c>
    </row>
    <row r="3" ht="15.75" customHeight="1">
      <c r="A3" s="29" t="s">
        <v>351</v>
      </c>
      <c r="B3" s="29" t="s">
        <v>352</v>
      </c>
      <c r="C3" s="29">
        <f>+971581361068</f>
        <v>971581361068</v>
      </c>
      <c r="D3" s="3" t="s">
        <v>347</v>
      </c>
      <c r="E3" s="29" t="s">
        <v>353</v>
      </c>
      <c r="F3" s="30" t="s">
        <v>349</v>
      </c>
      <c r="G3" s="31" t="s">
        <v>350</v>
      </c>
    </row>
    <row r="4" ht="15.75" customHeight="1">
      <c r="A4" s="29" t="s">
        <v>354</v>
      </c>
      <c r="B4" s="29" t="s">
        <v>355</v>
      </c>
      <c r="C4" s="29">
        <f>+971503533032</f>
        <v>971503533032</v>
      </c>
      <c r="D4" s="3" t="s">
        <v>347</v>
      </c>
      <c r="E4" s="29" t="s">
        <v>356</v>
      </c>
      <c r="F4" s="30" t="s">
        <v>349</v>
      </c>
      <c r="G4" s="32" t="s">
        <v>357</v>
      </c>
    </row>
    <row r="5" ht="15.75" customHeight="1">
      <c r="A5" s="29" t="s">
        <v>358</v>
      </c>
      <c r="B5" s="29" t="s">
        <v>359</v>
      </c>
      <c r="C5" s="29">
        <f>+971527700361</f>
        <v>971527700361</v>
      </c>
      <c r="D5" s="3" t="s">
        <v>347</v>
      </c>
      <c r="E5" s="29" t="s">
        <v>360</v>
      </c>
      <c r="F5" s="30" t="s">
        <v>349</v>
      </c>
      <c r="G5" s="32" t="s">
        <v>357</v>
      </c>
    </row>
    <row r="6" ht="15.75" customHeight="1">
      <c r="A6" s="29" t="s">
        <v>361</v>
      </c>
      <c r="B6" s="29" t="s">
        <v>362</v>
      </c>
      <c r="C6" s="29">
        <f>+971508514844</f>
        <v>971508514844</v>
      </c>
      <c r="D6" s="3" t="s">
        <v>347</v>
      </c>
      <c r="E6" s="29" t="s">
        <v>363</v>
      </c>
      <c r="F6" s="30" t="s">
        <v>349</v>
      </c>
      <c r="G6" s="32" t="s">
        <v>357</v>
      </c>
    </row>
    <row r="7" ht="15.75" customHeight="1">
      <c r="A7" s="29" t="s">
        <v>364</v>
      </c>
      <c r="B7" s="29" t="s">
        <v>365</v>
      </c>
      <c r="C7" s="29">
        <f>+9710555831135</f>
        <v>9710555831135</v>
      </c>
      <c r="D7" s="3" t="s">
        <v>347</v>
      </c>
      <c r="E7" s="29" t="s">
        <v>366</v>
      </c>
      <c r="F7" s="30" t="s">
        <v>349</v>
      </c>
      <c r="G7" s="32" t="s">
        <v>357</v>
      </c>
    </row>
    <row r="8" ht="15.75" customHeight="1">
      <c r="A8" s="29" t="s">
        <v>367</v>
      </c>
      <c r="B8" s="29" t="s">
        <v>368</v>
      </c>
      <c r="C8" s="29">
        <f>+971557878213</f>
        <v>971557878213</v>
      </c>
      <c r="D8" s="3" t="s">
        <v>347</v>
      </c>
      <c r="E8" s="29" t="s">
        <v>369</v>
      </c>
      <c r="F8" s="30" t="s">
        <v>349</v>
      </c>
      <c r="G8" s="32" t="s">
        <v>357</v>
      </c>
    </row>
    <row r="9" ht="15.75" customHeight="1">
      <c r="A9" s="29" t="s">
        <v>370</v>
      </c>
      <c r="B9" s="29" t="s">
        <v>371</v>
      </c>
      <c r="C9" s="29">
        <f>+971526704728</f>
        <v>971526704728</v>
      </c>
      <c r="D9" s="3" t="s">
        <v>347</v>
      </c>
      <c r="E9" s="29" t="s">
        <v>372</v>
      </c>
      <c r="F9" s="30" t="s">
        <v>349</v>
      </c>
      <c r="G9" s="3" t="s">
        <v>373</v>
      </c>
    </row>
    <row r="10" ht="15.75" customHeight="1">
      <c r="A10" s="29" t="s">
        <v>374</v>
      </c>
      <c r="B10" s="29" t="s">
        <v>375</v>
      </c>
      <c r="C10" s="29">
        <f>+971562167932</f>
        <v>971562167932</v>
      </c>
      <c r="D10" s="3" t="s">
        <v>347</v>
      </c>
      <c r="E10" s="29" t="s">
        <v>376</v>
      </c>
      <c r="F10" s="30" t="s">
        <v>349</v>
      </c>
      <c r="G10" s="3" t="s">
        <v>373</v>
      </c>
    </row>
    <row r="11" ht="15.75" customHeight="1">
      <c r="A11" s="29" t="s">
        <v>377</v>
      </c>
      <c r="B11" s="29" t="s">
        <v>378</v>
      </c>
      <c r="C11" s="29">
        <f>+971556328475</f>
        <v>971556328475</v>
      </c>
      <c r="D11" s="3" t="s">
        <v>347</v>
      </c>
      <c r="E11" s="29" t="s">
        <v>379</v>
      </c>
      <c r="F11" s="30" t="s">
        <v>349</v>
      </c>
      <c r="G11" s="3" t="s">
        <v>373</v>
      </c>
    </row>
    <row r="12" ht="15.75" customHeight="1">
      <c r="A12" s="29" t="s">
        <v>380</v>
      </c>
      <c r="B12" s="29" t="s">
        <v>381</v>
      </c>
      <c r="C12" s="33">
        <f>+639296197883</f>
        <v>639296197883</v>
      </c>
      <c r="D12" s="3" t="s">
        <v>347</v>
      </c>
      <c r="E12" s="29" t="s">
        <v>382</v>
      </c>
      <c r="F12" s="30" t="s">
        <v>349</v>
      </c>
      <c r="G12" s="3" t="s">
        <v>31</v>
      </c>
    </row>
    <row r="13" ht="15.75" customHeight="1">
      <c r="A13" s="34" t="s">
        <v>383</v>
      </c>
      <c r="B13" s="29" t="s">
        <v>384</v>
      </c>
      <c r="C13" s="29">
        <f>+971504657382</f>
        <v>971504657382</v>
      </c>
      <c r="D13" s="3" t="s">
        <v>347</v>
      </c>
      <c r="E13" s="29" t="s">
        <v>385</v>
      </c>
      <c r="F13" s="30" t="s">
        <v>349</v>
      </c>
      <c r="G13" s="3" t="s">
        <v>373</v>
      </c>
    </row>
    <row r="14" ht="15.75" customHeight="1">
      <c r="A14" s="29" t="s">
        <v>386</v>
      </c>
      <c r="B14" s="29" t="s">
        <v>387</v>
      </c>
      <c r="C14" s="29">
        <f>+971504260947</f>
        <v>971504260947</v>
      </c>
      <c r="D14" s="3" t="s">
        <v>347</v>
      </c>
      <c r="E14" s="29" t="s">
        <v>388</v>
      </c>
      <c r="F14" s="30" t="s">
        <v>349</v>
      </c>
      <c r="G14" s="3" t="s">
        <v>373</v>
      </c>
    </row>
    <row r="15" ht="15.75" customHeight="1">
      <c r="A15" s="29" t="s">
        <v>389</v>
      </c>
      <c r="B15" s="29" t="s">
        <v>390</v>
      </c>
      <c r="C15" s="29">
        <f>+971507053700</f>
        <v>971507053700</v>
      </c>
      <c r="D15" s="3" t="s">
        <v>347</v>
      </c>
      <c r="E15" s="29" t="s">
        <v>391</v>
      </c>
      <c r="F15" s="30" t="s">
        <v>349</v>
      </c>
      <c r="G15" s="32" t="s">
        <v>174</v>
      </c>
    </row>
    <row r="16" ht="15.75" customHeight="1">
      <c r="A16" s="29" t="s">
        <v>392</v>
      </c>
      <c r="B16" s="29" t="s">
        <v>393</v>
      </c>
      <c r="C16" s="29">
        <f>+971553635579</f>
        <v>971553635579</v>
      </c>
      <c r="D16" s="3" t="s">
        <v>347</v>
      </c>
      <c r="E16" s="29" t="s">
        <v>394</v>
      </c>
      <c r="F16" s="30" t="s">
        <v>349</v>
      </c>
      <c r="G16" s="32" t="s">
        <v>174</v>
      </c>
    </row>
    <row r="17" ht="15.75" customHeight="1">
      <c r="A17" s="29" t="s">
        <v>395</v>
      </c>
      <c r="B17" s="29" t="s">
        <v>396</v>
      </c>
      <c r="C17" s="29">
        <f>+971565256192</f>
        <v>971565256192</v>
      </c>
      <c r="D17" s="3" t="s">
        <v>347</v>
      </c>
      <c r="E17" s="29" t="s">
        <v>397</v>
      </c>
      <c r="F17" s="30" t="s">
        <v>349</v>
      </c>
      <c r="G17" s="32" t="s">
        <v>174</v>
      </c>
    </row>
    <row r="18" ht="15.75" customHeight="1">
      <c r="A18" s="29" t="s">
        <v>398</v>
      </c>
      <c r="B18" s="29" t="s">
        <v>399</v>
      </c>
      <c r="C18" s="29">
        <f>+971545897690</f>
        <v>971545897690</v>
      </c>
      <c r="D18" s="3" t="s">
        <v>347</v>
      </c>
      <c r="E18" s="29" t="s">
        <v>400</v>
      </c>
      <c r="F18" s="30" t="s">
        <v>349</v>
      </c>
      <c r="G18" s="32" t="s">
        <v>174</v>
      </c>
    </row>
    <row r="19" ht="15.75" customHeight="1">
      <c r="A19" s="29" t="s">
        <v>401</v>
      </c>
      <c r="B19" s="29" t="s">
        <v>402</v>
      </c>
      <c r="C19" s="29">
        <f>+971556968604</f>
        <v>971556968604</v>
      </c>
      <c r="D19" s="3" t="s">
        <v>347</v>
      </c>
      <c r="E19" s="29" t="s">
        <v>403</v>
      </c>
      <c r="F19" s="30" t="s">
        <v>349</v>
      </c>
      <c r="G19" s="32" t="s">
        <v>174</v>
      </c>
    </row>
    <row r="20" ht="15.75" customHeight="1">
      <c r="A20" s="29" t="s">
        <v>404</v>
      </c>
      <c r="B20" s="29" t="s">
        <v>405</v>
      </c>
      <c r="C20" s="29">
        <f>+971554552093</f>
        <v>971554552093</v>
      </c>
      <c r="D20" s="3" t="s">
        <v>347</v>
      </c>
      <c r="E20" s="29" t="s">
        <v>406</v>
      </c>
      <c r="F20" s="30" t="s">
        <v>349</v>
      </c>
      <c r="G20" s="32" t="s">
        <v>407</v>
      </c>
    </row>
    <row r="21" ht="15.75" customHeight="1">
      <c r="A21" s="29" t="s">
        <v>408</v>
      </c>
      <c r="B21" s="29" t="s">
        <v>409</v>
      </c>
      <c r="C21" s="29">
        <f>+971554630952</f>
        <v>971554630952</v>
      </c>
      <c r="D21" s="3" t="s">
        <v>347</v>
      </c>
      <c r="E21" s="29" t="s">
        <v>410</v>
      </c>
      <c r="F21" s="30" t="s">
        <v>349</v>
      </c>
      <c r="G21" s="32" t="s">
        <v>407</v>
      </c>
    </row>
    <row r="22" ht="15.75" customHeight="1">
      <c r="A22" s="29" t="s">
        <v>411</v>
      </c>
      <c r="B22" s="29" t="s">
        <v>412</v>
      </c>
      <c r="C22" s="29">
        <f>+971545585071</f>
        <v>971545585071</v>
      </c>
      <c r="D22" s="3" t="s">
        <v>347</v>
      </c>
      <c r="E22" s="29" t="s">
        <v>413</v>
      </c>
      <c r="F22" s="30" t="s">
        <v>349</v>
      </c>
      <c r="G22" s="32" t="s">
        <v>407</v>
      </c>
    </row>
    <row r="23" ht="15.75" customHeight="1">
      <c r="A23" s="29" t="s">
        <v>414</v>
      </c>
      <c r="B23" s="29" t="s">
        <v>415</v>
      </c>
      <c r="C23" s="29">
        <f>+971556607878</f>
        <v>971556607878</v>
      </c>
      <c r="D23" s="3" t="s">
        <v>347</v>
      </c>
      <c r="E23" s="29" t="s">
        <v>416</v>
      </c>
      <c r="F23" s="30" t="s">
        <v>349</v>
      </c>
      <c r="G23" s="32" t="s">
        <v>407</v>
      </c>
    </row>
    <row r="24" ht="15.75" customHeight="1">
      <c r="A24" s="29" t="s">
        <v>417</v>
      </c>
      <c r="B24" s="29" t="s">
        <v>418</v>
      </c>
      <c r="C24" s="33">
        <f>+923354598886</f>
        <v>923354598886</v>
      </c>
      <c r="D24" s="3" t="s">
        <v>347</v>
      </c>
      <c r="E24" s="29" t="s">
        <v>419</v>
      </c>
      <c r="F24" s="30" t="s">
        <v>349</v>
      </c>
      <c r="G24" s="32" t="s">
        <v>31</v>
      </c>
    </row>
    <row r="25" ht="15.75" customHeight="1">
      <c r="A25" s="29" t="s">
        <v>420</v>
      </c>
      <c r="B25" s="29" t="s">
        <v>421</v>
      </c>
      <c r="C25" s="29">
        <f>+971508592752</f>
        <v>971508592752</v>
      </c>
      <c r="D25" s="3" t="s">
        <v>347</v>
      </c>
      <c r="E25" s="29" t="s">
        <v>422</v>
      </c>
      <c r="F25" s="30" t="s">
        <v>349</v>
      </c>
      <c r="G25" s="32" t="s">
        <v>407</v>
      </c>
    </row>
    <row r="26" ht="15.75" customHeight="1">
      <c r="A26" s="29" t="s">
        <v>423</v>
      </c>
      <c r="B26" s="29" t="s">
        <v>424</v>
      </c>
      <c r="C26" s="29">
        <f>+971551339465</f>
        <v>971551339465</v>
      </c>
      <c r="D26" s="3" t="s">
        <v>347</v>
      </c>
      <c r="E26" s="29" t="s">
        <v>425</v>
      </c>
      <c r="F26" s="30" t="s">
        <v>349</v>
      </c>
      <c r="G26" s="3" t="s">
        <v>426</v>
      </c>
    </row>
    <row r="27" ht="15.75" customHeight="1">
      <c r="A27" s="29" t="s">
        <v>427</v>
      </c>
      <c r="B27" s="29" t="s">
        <v>428</v>
      </c>
      <c r="C27" s="33">
        <f>+96895477598</f>
        <v>96895477598</v>
      </c>
      <c r="D27" s="3" t="s">
        <v>347</v>
      </c>
      <c r="E27" s="29" t="s">
        <v>429</v>
      </c>
      <c r="F27" s="30" t="s">
        <v>349</v>
      </c>
      <c r="G27" s="35" t="s">
        <v>426</v>
      </c>
    </row>
    <row r="28" ht="15.75" customHeight="1">
      <c r="A28" s="29" t="s">
        <v>430</v>
      </c>
      <c r="B28" s="29" t="s">
        <v>431</v>
      </c>
      <c r="C28" s="29">
        <f>+971529299921</f>
        <v>971529299921</v>
      </c>
      <c r="D28" s="3" t="s">
        <v>347</v>
      </c>
      <c r="E28" s="29" t="s">
        <v>432</v>
      </c>
      <c r="F28" s="30" t="s">
        <v>349</v>
      </c>
      <c r="G28" s="35" t="s">
        <v>426</v>
      </c>
    </row>
    <row r="29" ht="15.75" customHeight="1">
      <c r="A29" s="29" t="s">
        <v>433</v>
      </c>
      <c r="B29" s="29" t="s">
        <v>434</v>
      </c>
      <c r="C29" s="29">
        <f>+971524261076</f>
        <v>971524261076</v>
      </c>
      <c r="D29" s="3" t="s">
        <v>347</v>
      </c>
      <c r="E29" s="29" t="s">
        <v>435</v>
      </c>
      <c r="F29" s="30" t="s">
        <v>349</v>
      </c>
      <c r="G29" s="35" t="s">
        <v>436</v>
      </c>
    </row>
    <row r="30" ht="15.75" customHeight="1">
      <c r="A30" s="29" t="s">
        <v>437</v>
      </c>
      <c r="B30" s="29" t="s">
        <v>438</v>
      </c>
      <c r="C30" s="29">
        <f>+971558837353</f>
        <v>971558837353</v>
      </c>
      <c r="D30" s="3" t="s">
        <v>347</v>
      </c>
      <c r="E30" s="29" t="s">
        <v>439</v>
      </c>
      <c r="F30" s="30" t="s">
        <v>349</v>
      </c>
      <c r="G30" s="35" t="s">
        <v>436</v>
      </c>
    </row>
    <row r="31" ht="15.75" customHeight="1">
      <c r="A31" s="29" t="s">
        <v>440</v>
      </c>
      <c r="B31" s="29" t="s">
        <v>441</v>
      </c>
      <c r="C31" s="29">
        <f>+971555927199</f>
        <v>971555927199</v>
      </c>
      <c r="D31" s="3" t="s">
        <v>347</v>
      </c>
      <c r="E31" s="29" t="s">
        <v>442</v>
      </c>
      <c r="F31" s="30" t="s">
        <v>349</v>
      </c>
      <c r="G31" s="35" t="s">
        <v>436</v>
      </c>
    </row>
    <row r="32" ht="15.75" customHeight="1">
      <c r="A32" s="29" t="s">
        <v>443</v>
      </c>
      <c r="B32" s="29" t="s">
        <v>444</v>
      </c>
      <c r="C32" s="29">
        <f>+971509414153</f>
        <v>971509414153</v>
      </c>
      <c r="D32" s="3" t="s">
        <v>347</v>
      </c>
      <c r="E32" s="29" t="s">
        <v>445</v>
      </c>
      <c r="F32" s="30" t="s">
        <v>349</v>
      </c>
      <c r="G32" s="35" t="s">
        <v>446</v>
      </c>
    </row>
    <row r="33" ht="15.75" customHeight="1">
      <c r="A33" s="29" t="s">
        <v>447</v>
      </c>
      <c r="B33" s="29" t="s">
        <v>448</v>
      </c>
      <c r="C33" s="29">
        <f>+971505650324</f>
        <v>971505650324</v>
      </c>
      <c r="D33" s="3" t="s">
        <v>347</v>
      </c>
      <c r="E33" s="29" t="s">
        <v>449</v>
      </c>
      <c r="F33" s="30" t="s">
        <v>349</v>
      </c>
      <c r="G33" s="35" t="s">
        <v>446</v>
      </c>
    </row>
    <row r="34" ht="15.75" customHeight="1">
      <c r="A34" s="36" t="s">
        <v>450</v>
      </c>
      <c r="B34" s="36" t="s">
        <v>451</v>
      </c>
      <c r="C34" s="36">
        <f>+971555884632</f>
        <v>971555884632</v>
      </c>
      <c r="D34" s="3" t="s">
        <v>347</v>
      </c>
      <c r="E34" s="36" t="s">
        <v>452</v>
      </c>
      <c r="F34" s="30" t="s">
        <v>349</v>
      </c>
      <c r="G34" s="37" t="s">
        <v>453</v>
      </c>
    </row>
    <row r="35" ht="15.75" customHeight="1">
      <c r="A35" s="36" t="s">
        <v>454</v>
      </c>
      <c r="B35" s="36" t="s">
        <v>455</v>
      </c>
      <c r="C35" s="36">
        <f>+971553409878</f>
        <v>971553409878</v>
      </c>
      <c r="D35" s="3" t="s">
        <v>347</v>
      </c>
      <c r="E35" s="36" t="s">
        <v>456</v>
      </c>
      <c r="F35" s="30" t="s">
        <v>349</v>
      </c>
      <c r="G35" s="37" t="s">
        <v>453</v>
      </c>
    </row>
    <row r="36" ht="15.75" customHeight="1">
      <c r="A36" s="36" t="s">
        <v>457</v>
      </c>
      <c r="B36" s="36" t="s">
        <v>458</v>
      </c>
      <c r="C36" s="36">
        <f>+971557774563</f>
        <v>971557774563</v>
      </c>
      <c r="D36" s="3" t="s">
        <v>347</v>
      </c>
      <c r="E36" s="36" t="s">
        <v>388</v>
      </c>
      <c r="F36" s="30" t="s">
        <v>349</v>
      </c>
      <c r="G36" s="37" t="s">
        <v>453</v>
      </c>
    </row>
    <row r="37" ht="15.75" customHeight="1">
      <c r="A37" s="36" t="s">
        <v>459</v>
      </c>
      <c r="B37" s="36" t="s">
        <v>460</v>
      </c>
      <c r="C37" s="36">
        <v>5.43360022E8</v>
      </c>
      <c r="D37" s="3" t="s">
        <v>347</v>
      </c>
      <c r="E37" s="36" t="s">
        <v>461</v>
      </c>
      <c r="F37" s="30" t="s">
        <v>349</v>
      </c>
      <c r="G37" s="37" t="s">
        <v>453</v>
      </c>
    </row>
    <row r="38" ht="15.75" customHeight="1">
      <c r="A38" s="29" t="s">
        <v>462</v>
      </c>
      <c r="B38" s="29" t="s">
        <v>463</v>
      </c>
      <c r="C38" s="29">
        <f>+971503442094</f>
        <v>971503442094</v>
      </c>
      <c r="D38" s="3" t="s">
        <v>347</v>
      </c>
      <c r="E38" s="29" t="s">
        <v>464</v>
      </c>
      <c r="F38" s="38" t="s">
        <v>349</v>
      </c>
      <c r="G38" s="35" t="s">
        <v>465</v>
      </c>
    </row>
    <row r="39" ht="15.75" customHeight="1">
      <c r="A39" s="29" t="s">
        <v>466</v>
      </c>
      <c r="B39" s="29" t="s">
        <v>467</v>
      </c>
      <c r="C39" s="29">
        <f>+23230889157</f>
        <v>23230889157</v>
      </c>
      <c r="D39" s="3" t="s">
        <v>347</v>
      </c>
      <c r="E39" s="29" t="s">
        <v>468</v>
      </c>
      <c r="F39" s="38" t="s">
        <v>349</v>
      </c>
      <c r="G39" s="35" t="s">
        <v>469</v>
      </c>
    </row>
    <row r="40" ht="15.75" customHeight="1">
      <c r="A40" s="39" t="s">
        <v>470</v>
      </c>
      <c r="B40" s="39" t="s">
        <v>471</v>
      </c>
      <c r="C40" s="39">
        <f>+971509870473</f>
        <v>971509870473</v>
      </c>
      <c r="D40" s="3" t="s">
        <v>347</v>
      </c>
      <c r="E40" s="39" t="s">
        <v>472</v>
      </c>
      <c r="F40" s="30" t="s">
        <v>349</v>
      </c>
      <c r="G40" s="31" t="s">
        <v>473</v>
      </c>
    </row>
    <row r="41" ht="15.75" customHeight="1">
      <c r="A41" s="39" t="s">
        <v>474</v>
      </c>
      <c r="B41" s="39" t="s">
        <v>475</v>
      </c>
      <c r="C41" s="39">
        <f>+971569854313</f>
        <v>971569854313</v>
      </c>
      <c r="D41" s="3" t="s">
        <v>347</v>
      </c>
      <c r="E41" s="39" t="s">
        <v>476</v>
      </c>
      <c r="F41" s="30" t="s">
        <v>349</v>
      </c>
      <c r="G41" s="31" t="s">
        <v>473</v>
      </c>
    </row>
    <row r="42" ht="15.75" customHeight="1">
      <c r="A42" s="39" t="s">
        <v>477</v>
      </c>
      <c r="B42" s="39" t="s">
        <v>478</v>
      </c>
      <c r="C42" s="39">
        <f>+9710554593933</f>
        <v>9710554593933</v>
      </c>
      <c r="D42" s="3" t="s">
        <v>347</v>
      </c>
      <c r="E42" s="39" t="s">
        <v>479</v>
      </c>
      <c r="F42" s="30" t="s">
        <v>349</v>
      </c>
      <c r="G42" s="31" t="s">
        <v>473</v>
      </c>
    </row>
    <row r="43" ht="15.75" customHeight="1">
      <c r="A43" s="39" t="s">
        <v>480</v>
      </c>
      <c r="B43" s="39" t="s">
        <v>481</v>
      </c>
      <c r="C43" s="39">
        <f>+971567144894</f>
        <v>971567144894</v>
      </c>
      <c r="D43" s="3" t="s">
        <v>347</v>
      </c>
      <c r="E43" s="39" t="s">
        <v>482</v>
      </c>
      <c r="F43" s="30" t="s">
        <v>349</v>
      </c>
      <c r="G43" s="37" t="s">
        <v>174</v>
      </c>
    </row>
    <row r="44" ht="15.75" customHeight="1">
      <c r="A44" s="39" t="s">
        <v>483</v>
      </c>
      <c r="B44" s="39" t="s">
        <v>484</v>
      </c>
      <c r="C44" s="39">
        <f>+971558112028</f>
        <v>971558112028</v>
      </c>
      <c r="D44" s="3" t="s">
        <v>347</v>
      </c>
      <c r="E44" s="39" t="s">
        <v>485</v>
      </c>
      <c r="F44" s="30" t="s">
        <v>349</v>
      </c>
      <c r="G44" s="37" t="s">
        <v>174</v>
      </c>
    </row>
    <row r="45" ht="15.75" customHeight="1">
      <c r="A45" s="39" t="s">
        <v>486</v>
      </c>
      <c r="B45" s="39" t="s">
        <v>487</v>
      </c>
      <c r="C45" s="39">
        <f>+9710527427901</f>
        <v>9710527427901</v>
      </c>
      <c r="D45" s="3" t="s">
        <v>347</v>
      </c>
      <c r="E45" s="39" t="s">
        <v>488</v>
      </c>
      <c r="F45" s="30" t="s">
        <v>349</v>
      </c>
      <c r="G45" s="37" t="s">
        <v>174</v>
      </c>
    </row>
    <row r="46" ht="15.75" customHeight="1">
      <c r="A46" s="40" t="s">
        <v>489</v>
      </c>
      <c r="B46" s="40" t="s">
        <v>490</v>
      </c>
      <c r="C46" s="40">
        <f>+971528020525</f>
        <v>971528020525</v>
      </c>
      <c r="D46" s="3" t="s">
        <v>347</v>
      </c>
      <c r="E46" s="40" t="s">
        <v>491</v>
      </c>
      <c r="F46" s="30" t="s">
        <v>349</v>
      </c>
      <c r="G46" s="37" t="s">
        <v>174</v>
      </c>
    </row>
    <row r="47" ht="15.75" customHeight="1">
      <c r="A47" s="40" t="s">
        <v>492</v>
      </c>
      <c r="B47" s="40" t="s">
        <v>493</v>
      </c>
      <c r="C47" s="40">
        <f>+971552239366</f>
        <v>971552239366</v>
      </c>
      <c r="D47" s="3" t="s">
        <v>347</v>
      </c>
      <c r="E47" s="40" t="s">
        <v>494</v>
      </c>
      <c r="F47" s="30" t="s">
        <v>349</v>
      </c>
      <c r="G47" s="41" t="s">
        <v>436</v>
      </c>
    </row>
    <row r="48" ht="15.75" customHeight="1">
      <c r="A48" s="40" t="s">
        <v>495</v>
      </c>
      <c r="B48" s="40" t="s">
        <v>496</v>
      </c>
      <c r="C48" s="40">
        <f>+971545334916</f>
        <v>971545334916</v>
      </c>
      <c r="D48" s="3" t="s">
        <v>347</v>
      </c>
      <c r="E48" s="40" t="s">
        <v>497</v>
      </c>
      <c r="F48" s="30" t="s">
        <v>349</v>
      </c>
      <c r="G48" s="41" t="s">
        <v>436</v>
      </c>
    </row>
    <row r="49" ht="15.75" customHeight="1">
      <c r="A49" s="40" t="s">
        <v>498</v>
      </c>
      <c r="B49" s="40" t="s">
        <v>499</v>
      </c>
      <c r="C49" s="40">
        <f>+971559063676</f>
        <v>971559063676</v>
      </c>
      <c r="D49" s="3" t="s">
        <v>347</v>
      </c>
      <c r="E49" s="40" t="s">
        <v>500</v>
      </c>
      <c r="F49" s="30" t="s">
        <v>349</v>
      </c>
      <c r="G49" s="41" t="s">
        <v>436</v>
      </c>
    </row>
    <row r="50" ht="15.75" customHeight="1">
      <c r="A50" s="40" t="s">
        <v>501</v>
      </c>
      <c r="B50" s="40" t="s">
        <v>502</v>
      </c>
      <c r="C50" s="40">
        <f>+971525368212</f>
        <v>971525368212</v>
      </c>
      <c r="D50" s="3" t="s">
        <v>347</v>
      </c>
      <c r="E50" s="40" t="s">
        <v>503</v>
      </c>
      <c r="F50" s="30" t="s">
        <v>349</v>
      </c>
      <c r="G50" s="41" t="s">
        <v>436</v>
      </c>
    </row>
    <row r="51" ht="15.75" customHeight="1">
      <c r="A51" s="29" t="s">
        <v>504</v>
      </c>
      <c r="B51" s="29" t="s">
        <v>505</v>
      </c>
      <c r="C51" s="29">
        <f>+971566187502</f>
        <v>971566187502</v>
      </c>
      <c r="D51" s="3" t="s">
        <v>347</v>
      </c>
      <c r="E51" s="29" t="s">
        <v>506</v>
      </c>
      <c r="F51" s="30" t="s">
        <v>349</v>
      </c>
      <c r="G51" s="41" t="s">
        <v>357</v>
      </c>
    </row>
    <row r="52" ht="15.75" customHeight="1">
      <c r="A52" s="29" t="s">
        <v>507</v>
      </c>
      <c r="B52" s="29" t="s">
        <v>508</v>
      </c>
      <c r="C52" s="29">
        <f>+971569963747</f>
        <v>971569963747</v>
      </c>
      <c r="D52" s="3" t="s">
        <v>347</v>
      </c>
      <c r="E52" s="29" t="s">
        <v>509</v>
      </c>
      <c r="F52" s="30" t="s">
        <v>349</v>
      </c>
      <c r="G52" s="41" t="s">
        <v>357</v>
      </c>
    </row>
    <row r="53" ht="15.75" customHeight="1">
      <c r="A53" s="29" t="s">
        <v>510</v>
      </c>
      <c r="B53" s="29" t="s">
        <v>511</v>
      </c>
      <c r="C53" s="29">
        <f>+971589214593</f>
        <v>971589214593</v>
      </c>
      <c r="D53" s="3" t="s">
        <v>347</v>
      </c>
      <c r="E53" s="29" t="s">
        <v>512</v>
      </c>
      <c r="F53" s="30" t="s">
        <v>349</v>
      </c>
      <c r="G53" s="41" t="s">
        <v>357</v>
      </c>
    </row>
    <row r="54" ht="15.75" customHeight="1">
      <c r="A54" s="29" t="s">
        <v>513</v>
      </c>
      <c r="B54" s="29" t="s">
        <v>514</v>
      </c>
      <c r="C54" s="29">
        <f>+971529177677</f>
        <v>971529177677</v>
      </c>
      <c r="D54" s="3" t="s">
        <v>347</v>
      </c>
      <c r="E54" s="29" t="s">
        <v>515</v>
      </c>
      <c r="F54" s="30" t="s">
        <v>349</v>
      </c>
      <c r="G54" s="41" t="s">
        <v>357</v>
      </c>
    </row>
    <row r="55" ht="15.75" customHeight="1">
      <c r="A55" s="29" t="s">
        <v>516</v>
      </c>
      <c r="B55" s="29" t="s">
        <v>517</v>
      </c>
      <c r="C55" s="29">
        <f>+971555478684</f>
        <v>971555478684</v>
      </c>
      <c r="D55" s="3" t="s">
        <v>347</v>
      </c>
      <c r="E55" s="29" t="s">
        <v>518</v>
      </c>
      <c r="F55" s="30" t="s">
        <v>349</v>
      </c>
      <c r="G55" s="32" t="s">
        <v>519</v>
      </c>
    </row>
    <row r="56" ht="15.75" customHeight="1">
      <c r="A56" s="29" t="s">
        <v>520</v>
      </c>
      <c r="B56" s="29" t="s">
        <v>521</v>
      </c>
      <c r="C56" s="29">
        <f>+971564151577</f>
        <v>971564151577</v>
      </c>
      <c r="D56" s="3" t="s">
        <v>347</v>
      </c>
      <c r="E56" s="29" t="s">
        <v>522</v>
      </c>
      <c r="F56" s="30" t="s">
        <v>349</v>
      </c>
      <c r="G56" s="32" t="s">
        <v>519</v>
      </c>
    </row>
    <row r="57" ht="15.75" customHeight="1">
      <c r="A57" s="29" t="s">
        <v>523</v>
      </c>
      <c r="B57" s="29" t="s">
        <v>524</v>
      </c>
      <c r="C57" s="29">
        <f>+971503476392</f>
        <v>971503476392</v>
      </c>
      <c r="D57" s="3" t="s">
        <v>347</v>
      </c>
      <c r="E57" s="29" t="s">
        <v>525</v>
      </c>
      <c r="F57" s="30" t="s">
        <v>349</v>
      </c>
      <c r="G57" s="32" t="s">
        <v>519</v>
      </c>
    </row>
    <row r="58" ht="15.75" customHeight="1">
      <c r="A58" s="29" t="s">
        <v>526</v>
      </c>
      <c r="B58" s="29" t="s">
        <v>527</v>
      </c>
      <c r="C58" s="29">
        <f>+971556702647</f>
        <v>971556702647</v>
      </c>
      <c r="D58" s="3" t="s">
        <v>347</v>
      </c>
      <c r="E58" s="29" t="s">
        <v>528</v>
      </c>
      <c r="F58" s="30" t="s">
        <v>349</v>
      </c>
      <c r="G58" s="32" t="s">
        <v>519</v>
      </c>
    </row>
    <row r="59" ht="15.75" customHeight="1">
      <c r="A59" s="29" t="s">
        <v>529</v>
      </c>
      <c r="B59" s="29" t="s">
        <v>530</v>
      </c>
      <c r="C59" s="29">
        <f>+971555794597</f>
        <v>971555794597</v>
      </c>
      <c r="D59" s="3" t="s">
        <v>347</v>
      </c>
      <c r="E59" s="29" t="s">
        <v>531</v>
      </c>
      <c r="F59" s="30" t="s">
        <v>349</v>
      </c>
      <c r="G59" s="32" t="s">
        <v>532</v>
      </c>
    </row>
    <row r="60" ht="15.75" customHeight="1">
      <c r="A60" s="29" t="s">
        <v>533</v>
      </c>
      <c r="B60" s="29" t="s">
        <v>534</v>
      </c>
      <c r="C60" s="29">
        <f>+9710551247773</f>
        <v>9710551247773</v>
      </c>
      <c r="D60" s="3" t="s">
        <v>347</v>
      </c>
      <c r="E60" s="29" t="s">
        <v>535</v>
      </c>
      <c r="F60" s="30" t="s">
        <v>349</v>
      </c>
      <c r="G60" s="32" t="s">
        <v>532</v>
      </c>
    </row>
    <row r="61" ht="15.75" customHeight="1">
      <c r="A61" s="29" t="s">
        <v>536</v>
      </c>
      <c r="B61" s="29" t="s">
        <v>537</v>
      </c>
      <c r="C61" s="29">
        <f>+971553933789</f>
        <v>971553933789</v>
      </c>
      <c r="D61" s="3" t="s">
        <v>347</v>
      </c>
      <c r="E61" s="29" t="s">
        <v>538</v>
      </c>
      <c r="F61" s="30" t="s">
        <v>349</v>
      </c>
      <c r="G61" s="32" t="s">
        <v>407</v>
      </c>
    </row>
    <row r="62" ht="15.75" customHeight="1">
      <c r="A62" s="29" t="s">
        <v>539</v>
      </c>
      <c r="B62" s="29" t="s">
        <v>540</v>
      </c>
      <c r="C62" s="29">
        <f>+971553464134</f>
        <v>971553464134</v>
      </c>
      <c r="D62" s="3" t="s">
        <v>347</v>
      </c>
      <c r="E62" s="29" t="s">
        <v>541</v>
      </c>
      <c r="F62" s="30" t="s">
        <v>349</v>
      </c>
      <c r="G62" s="32" t="s">
        <v>407</v>
      </c>
    </row>
    <row r="63" ht="15.75" customHeight="1">
      <c r="A63" s="29" t="s">
        <v>542</v>
      </c>
      <c r="B63" s="29" t="s">
        <v>543</v>
      </c>
      <c r="C63" s="29">
        <f>+971504746560</f>
        <v>971504746560</v>
      </c>
      <c r="D63" s="3" t="s">
        <v>347</v>
      </c>
      <c r="E63" s="29" t="s">
        <v>544</v>
      </c>
      <c r="F63" s="30" t="s">
        <v>349</v>
      </c>
      <c r="G63" s="3" t="s">
        <v>350</v>
      </c>
    </row>
    <row r="64" ht="15.75" customHeight="1">
      <c r="A64" s="29" t="s">
        <v>545</v>
      </c>
      <c r="B64" s="29" t="s">
        <v>546</v>
      </c>
      <c r="C64" s="29">
        <f>+919656180098</f>
        <v>919656180098</v>
      </c>
      <c r="D64" s="3" t="s">
        <v>347</v>
      </c>
      <c r="E64" s="29" t="s">
        <v>547</v>
      </c>
      <c r="F64" s="30" t="s">
        <v>349</v>
      </c>
      <c r="G64" s="3" t="s">
        <v>350</v>
      </c>
    </row>
    <row r="65" ht="15.75" customHeight="1">
      <c r="A65" s="29" t="s">
        <v>548</v>
      </c>
      <c r="B65" s="29" t="s">
        <v>549</v>
      </c>
      <c r="C65" s="29">
        <f>+971502027111</f>
        <v>971502027111</v>
      </c>
      <c r="D65" s="3" t="s">
        <v>347</v>
      </c>
      <c r="E65" s="29" t="s">
        <v>550</v>
      </c>
      <c r="F65" s="30" t="s">
        <v>349</v>
      </c>
      <c r="G65" s="3" t="s">
        <v>350</v>
      </c>
    </row>
    <row r="66" ht="15.75" customHeight="1">
      <c r="A66" s="29" t="s">
        <v>551</v>
      </c>
      <c r="B66" s="29" t="s">
        <v>552</v>
      </c>
      <c r="C66" s="29">
        <f>+971529835895</f>
        <v>971529835895</v>
      </c>
      <c r="D66" s="3" t="s">
        <v>347</v>
      </c>
      <c r="E66" s="29" t="s">
        <v>553</v>
      </c>
      <c r="F66" s="30" t="s">
        <v>349</v>
      </c>
      <c r="G66" s="3" t="s">
        <v>350</v>
      </c>
    </row>
    <row r="67" ht="15.75" customHeight="1">
      <c r="A67" s="29" t="s">
        <v>554</v>
      </c>
      <c r="B67" s="29" t="s">
        <v>555</v>
      </c>
      <c r="C67" s="29">
        <f>+971556099306</f>
        <v>971556099306</v>
      </c>
      <c r="D67" s="3" t="s">
        <v>347</v>
      </c>
      <c r="E67" s="29" t="s">
        <v>485</v>
      </c>
      <c r="F67" s="30" t="s">
        <v>349</v>
      </c>
      <c r="G67" s="35" t="s">
        <v>556</v>
      </c>
    </row>
    <row r="68" ht="15.75" customHeight="1">
      <c r="A68" s="29" t="s">
        <v>557</v>
      </c>
      <c r="B68" s="29" t="s">
        <v>558</v>
      </c>
      <c r="C68" s="29">
        <f>+971507394125</f>
        <v>971507394125</v>
      </c>
      <c r="D68" s="3" t="s">
        <v>347</v>
      </c>
      <c r="E68" s="29" t="s">
        <v>559</v>
      </c>
      <c r="F68" s="30" t="s">
        <v>349</v>
      </c>
      <c r="G68" s="35" t="s">
        <v>556</v>
      </c>
    </row>
    <row r="69" ht="15.75" customHeight="1">
      <c r="A69" s="29" t="s">
        <v>560</v>
      </c>
      <c r="B69" s="29" t="s">
        <v>561</v>
      </c>
      <c r="C69" s="29">
        <f>+97105225146391</f>
        <v>97105225146391</v>
      </c>
      <c r="D69" s="3" t="s">
        <v>347</v>
      </c>
      <c r="E69" s="29" t="s">
        <v>562</v>
      </c>
      <c r="F69" s="30" t="s">
        <v>349</v>
      </c>
      <c r="G69" s="35" t="s">
        <v>373</v>
      </c>
    </row>
    <row r="70" ht="15.75" customHeight="1">
      <c r="A70" s="29" t="s">
        <v>563</v>
      </c>
      <c r="B70" s="29" t="s">
        <v>564</v>
      </c>
      <c r="C70" s="29">
        <f>+971568889180</f>
        <v>971568889180</v>
      </c>
      <c r="D70" s="3" t="s">
        <v>347</v>
      </c>
      <c r="E70" s="29" t="s">
        <v>565</v>
      </c>
      <c r="F70" s="30" t="s">
        <v>349</v>
      </c>
      <c r="G70" s="35" t="s">
        <v>373</v>
      </c>
    </row>
    <row r="71" ht="15.75" customHeight="1">
      <c r="A71" s="29" t="s">
        <v>566</v>
      </c>
      <c r="B71" s="29" t="s">
        <v>567</v>
      </c>
      <c r="C71" s="29">
        <f>+971568695700</f>
        <v>971568695700</v>
      </c>
      <c r="D71" s="3" t="s">
        <v>347</v>
      </c>
      <c r="E71" s="29" t="s">
        <v>568</v>
      </c>
      <c r="F71" s="42" t="s">
        <v>349</v>
      </c>
      <c r="G71" s="31" t="s">
        <v>569</v>
      </c>
    </row>
    <row r="72" ht="15.75" customHeight="1">
      <c r="A72" s="29" t="s">
        <v>570</v>
      </c>
      <c r="B72" s="29" t="s">
        <v>571</v>
      </c>
      <c r="C72" s="29">
        <f>+971551125258</f>
        <v>971551125258</v>
      </c>
      <c r="D72" s="3" t="s">
        <v>347</v>
      </c>
      <c r="E72" s="29" t="s">
        <v>572</v>
      </c>
      <c r="F72" s="42" t="s">
        <v>349</v>
      </c>
      <c r="G72" s="31" t="s">
        <v>569</v>
      </c>
    </row>
    <row r="73" ht="15.75" customHeight="1">
      <c r="A73" s="29" t="s">
        <v>573</v>
      </c>
      <c r="B73" s="29" t="s">
        <v>574</v>
      </c>
      <c r="C73" s="29">
        <f>+971506452532</f>
        <v>971506452532</v>
      </c>
      <c r="D73" s="3" t="s">
        <v>347</v>
      </c>
      <c r="E73" s="29" t="s">
        <v>575</v>
      </c>
      <c r="F73" s="42" t="s">
        <v>349</v>
      </c>
      <c r="G73" s="31" t="s">
        <v>576</v>
      </c>
    </row>
    <row r="74" ht="15.75" customHeight="1">
      <c r="A74" s="29" t="s">
        <v>577</v>
      </c>
      <c r="B74" s="29" t="s">
        <v>578</v>
      </c>
      <c r="C74" s="29">
        <f>+971564908331</f>
        <v>971564908331</v>
      </c>
      <c r="D74" s="3" t="s">
        <v>347</v>
      </c>
      <c r="E74" s="29" t="s">
        <v>579</v>
      </c>
      <c r="F74" s="42" t="s">
        <v>349</v>
      </c>
      <c r="G74" s="31" t="s">
        <v>576</v>
      </c>
    </row>
    <row r="75" ht="15.75" customHeight="1">
      <c r="A75" s="29" t="s">
        <v>580</v>
      </c>
      <c r="B75" s="29" t="s">
        <v>581</v>
      </c>
      <c r="C75" s="29">
        <f>+971507145711</f>
        <v>971507145711</v>
      </c>
      <c r="D75" s="3" t="s">
        <v>347</v>
      </c>
      <c r="E75" s="29" t="s">
        <v>582</v>
      </c>
      <c r="F75" s="42" t="s">
        <v>349</v>
      </c>
      <c r="G75" s="37" t="s">
        <v>576</v>
      </c>
    </row>
    <row r="76" ht="15.75" customHeight="1">
      <c r="A76" s="29" t="s">
        <v>583</v>
      </c>
      <c r="B76" s="29" t="s">
        <v>584</v>
      </c>
      <c r="C76" s="29">
        <f>+971506501682</f>
        <v>971506501682</v>
      </c>
      <c r="D76" s="3" t="s">
        <v>347</v>
      </c>
      <c r="E76" s="29" t="s">
        <v>585</v>
      </c>
      <c r="F76" s="42" t="s">
        <v>349</v>
      </c>
      <c r="G76" s="37" t="s">
        <v>473</v>
      </c>
    </row>
    <row r="77" ht="15.75" customHeight="1">
      <c r="A77" s="29" t="s">
        <v>586</v>
      </c>
      <c r="B77" s="29" t="s">
        <v>587</v>
      </c>
      <c r="C77" s="29">
        <f>+971545254002</f>
        <v>971545254002</v>
      </c>
      <c r="D77" s="3" t="s">
        <v>347</v>
      </c>
      <c r="E77" s="29" t="s">
        <v>588</v>
      </c>
      <c r="F77" s="42" t="s">
        <v>349</v>
      </c>
      <c r="G77" s="37" t="s">
        <v>589</v>
      </c>
    </row>
    <row r="78" ht="15.75" customHeight="1">
      <c r="A78" s="29" t="s">
        <v>590</v>
      </c>
      <c r="B78" s="29" t="s">
        <v>591</v>
      </c>
      <c r="C78" s="29">
        <f>+971566929275</f>
        <v>971566929275</v>
      </c>
      <c r="D78" s="3" t="s">
        <v>347</v>
      </c>
      <c r="E78" s="29" t="s">
        <v>509</v>
      </c>
      <c r="F78" s="42" t="s">
        <v>349</v>
      </c>
      <c r="G78" s="37" t="s">
        <v>184</v>
      </c>
    </row>
    <row r="79" ht="15.75" customHeight="1">
      <c r="A79" s="29" t="s">
        <v>592</v>
      </c>
      <c r="B79" s="29" t="s">
        <v>593</v>
      </c>
      <c r="C79" s="29">
        <f>+971559972129</f>
        <v>971559972129</v>
      </c>
      <c r="D79" s="3" t="s">
        <v>347</v>
      </c>
      <c r="E79" s="29" t="s">
        <v>594</v>
      </c>
      <c r="F79" s="42" t="s">
        <v>349</v>
      </c>
      <c r="G79" s="41" t="s">
        <v>576</v>
      </c>
    </row>
    <row r="80" ht="15.75" customHeight="1">
      <c r="A80" s="29" t="s">
        <v>595</v>
      </c>
      <c r="B80" s="29" t="s">
        <v>596</v>
      </c>
      <c r="C80" s="29">
        <f>+79629546561</f>
        <v>79629546561</v>
      </c>
      <c r="D80" s="3" t="s">
        <v>347</v>
      </c>
      <c r="E80" s="29" t="s">
        <v>388</v>
      </c>
      <c r="F80" s="42" t="s">
        <v>349</v>
      </c>
      <c r="G80" s="41" t="s">
        <v>184</v>
      </c>
    </row>
    <row r="81" ht="15.75" customHeight="1">
      <c r="A81" s="29" t="s">
        <v>597</v>
      </c>
      <c r="B81" s="29" t="s">
        <v>598</v>
      </c>
      <c r="C81" s="29">
        <f>+9710559722483</f>
        <v>9710559722483</v>
      </c>
      <c r="D81" s="3" t="s">
        <v>347</v>
      </c>
      <c r="E81" s="29" t="s">
        <v>599</v>
      </c>
      <c r="F81" s="42" t="s">
        <v>349</v>
      </c>
      <c r="G81" s="41" t="s">
        <v>184</v>
      </c>
    </row>
    <row r="82" ht="15.75" customHeight="1">
      <c r="A82" s="29" t="s">
        <v>600</v>
      </c>
      <c r="B82" s="29" t="s">
        <v>601</v>
      </c>
      <c r="C82" s="29">
        <f>+971505951615</f>
        <v>971505951615</v>
      </c>
      <c r="D82" s="3" t="s">
        <v>347</v>
      </c>
      <c r="E82" s="29" t="s">
        <v>602</v>
      </c>
      <c r="F82" s="42" t="s">
        <v>349</v>
      </c>
      <c r="G82" s="41" t="s">
        <v>469</v>
      </c>
    </row>
    <row r="83" ht="15.75" customHeight="1">
      <c r="A83" s="29" t="s">
        <v>603</v>
      </c>
      <c r="B83" s="29" t="s">
        <v>604</v>
      </c>
      <c r="C83" s="29">
        <f>+9710554751003</f>
        <v>9710554751003</v>
      </c>
      <c r="D83" s="3" t="s">
        <v>347</v>
      </c>
      <c r="E83" s="29" t="s">
        <v>605</v>
      </c>
      <c r="F83" s="42" t="s">
        <v>349</v>
      </c>
      <c r="G83" s="41" t="s">
        <v>606</v>
      </c>
    </row>
    <row r="84" ht="15.75" customHeight="1">
      <c r="A84" s="29" t="s">
        <v>607</v>
      </c>
      <c r="B84" s="29" t="s">
        <v>608</v>
      </c>
      <c r="C84" s="29">
        <f>+971562767377</f>
        <v>971562767377</v>
      </c>
      <c r="D84" s="3" t="s">
        <v>347</v>
      </c>
      <c r="E84" s="29" t="s">
        <v>497</v>
      </c>
      <c r="F84" s="42" t="s">
        <v>349</v>
      </c>
      <c r="G84" s="41" t="s">
        <v>606</v>
      </c>
    </row>
    <row r="85" ht="15.75" customHeight="1">
      <c r="A85" s="29" t="s">
        <v>609</v>
      </c>
      <c r="B85" s="29" t="s">
        <v>610</v>
      </c>
      <c r="C85" s="29">
        <f>+971505072485</f>
        <v>971505072485</v>
      </c>
      <c r="D85" s="3" t="s">
        <v>347</v>
      </c>
      <c r="E85" s="29" t="s">
        <v>611</v>
      </c>
      <c r="F85" s="42" t="s">
        <v>349</v>
      </c>
      <c r="G85" s="41" t="s">
        <v>174</v>
      </c>
    </row>
    <row r="86" ht="15.75" customHeight="1">
      <c r="A86" s="29" t="s">
        <v>612</v>
      </c>
      <c r="B86" s="29" t="s">
        <v>613</v>
      </c>
      <c r="C86" s="29">
        <f>+971567218041</f>
        <v>971567218041</v>
      </c>
      <c r="D86" s="3" t="s">
        <v>347</v>
      </c>
      <c r="E86" s="29" t="s">
        <v>614</v>
      </c>
      <c r="F86" s="42" t="s">
        <v>349</v>
      </c>
      <c r="G86" s="41" t="s">
        <v>174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43"/>
    <col customWidth="1" min="2" max="2" width="47.29"/>
    <col customWidth="1" min="3" max="3" width="23.71"/>
    <col customWidth="1" min="4" max="4" width="22.57"/>
    <col customWidth="1" min="5" max="6" width="14.43"/>
  </cols>
  <sheetData>
    <row r="1" ht="15.75" customHeight="1">
      <c r="A1" s="43" t="s">
        <v>338</v>
      </c>
      <c r="B1" s="43" t="s">
        <v>339</v>
      </c>
      <c r="C1" s="44" t="s">
        <v>340</v>
      </c>
      <c r="D1" s="8" t="s">
        <v>615</v>
      </c>
      <c r="E1" s="43"/>
      <c r="F1" s="45" t="s">
        <v>616</v>
      </c>
      <c r="G1" s="46" t="s">
        <v>344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29" t="s">
        <v>617</v>
      </c>
      <c r="B2" s="29" t="s">
        <v>618</v>
      </c>
      <c r="C2" s="47">
        <f>+971553009907</f>
        <v>971553009907</v>
      </c>
      <c r="D2" s="3" t="s">
        <v>619</v>
      </c>
      <c r="E2" s="29" t="s">
        <v>620</v>
      </c>
      <c r="F2" s="42" t="s">
        <v>349</v>
      </c>
      <c r="G2" s="32" t="s">
        <v>556</v>
      </c>
    </row>
    <row r="3" ht="15.75" customHeight="1">
      <c r="A3" s="29" t="s">
        <v>621</v>
      </c>
      <c r="B3" s="29" t="s">
        <v>622</v>
      </c>
      <c r="C3" s="47">
        <f>+971581860406</f>
        <v>971581860406</v>
      </c>
      <c r="D3" s="3" t="s">
        <v>619</v>
      </c>
      <c r="E3" s="29" t="s">
        <v>623</v>
      </c>
      <c r="F3" s="42" t="s">
        <v>349</v>
      </c>
      <c r="G3" s="32" t="s">
        <v>473</v>
      </c>
    </row>
    <row r="4" ht="15.75" customHeight="1">
      <c r="A4" s="29" t="s">
        <v>624</v>
      </c>
      <c r="B4" s="29" t="s">
        <v>625</v>
      </c>
      <c r="C4" s="47">
        <f>+971563064534</f>
        <v>971563064534</v>
      </c>
      <c r="D4" s="3" t="s">
        <v>619</v>
      </c>
      <c r="E4" s="29" t="s">
        <v>626</v>
      </c>
      <c r="F4" s="42" t="s">
        <v>349</v>
      </c>
      <c r="G4" s="32" t="s">
        <v>627</v>
      </c>
    </row>
    <row r="5" ht="15.75" customHeight="1">
      <c r="A5" s="29" t="s">
        <v>628</v>
      </c>
      <c r="B5" s="29" t="s">
        <v>629</v>
      </c>
      <c r="C5" s="47">
        <f>+971502971581</f>
        <v>971502971581</v>
      </c>
      <c r="D5" s="3" t="s">
        <v>619</v>
      </c>
      <c r="E5" s="29" t="s">
        <v>485</v>
      </c>
      <c r="F5" s="42" t="s">
        <v>349</v>
      </c>
      <c r="G5" s="32" t="s">
        <v>453</v>
      </c>
    </row>
    <row r="6" ht="15.75" customHeight="1">
      <c r="A6" s="29" t="s">
        <v>630</v>
      </c>
      <c r="B6" s="29" t="s">
        <v>631</v>
      </c>
      <c r="C6" s="47">
        <f>+971501725438</f>
        <v>971501725438</v>
      </c>
      <c r="D6" s="3" t="s">
        <v>619</v>
      </c>
      <c r="E6" s="29" t="s">
        <v>632</v>
      </c>
      <c r="F6" s="42" t="s">
        <v>349</v>
      </c>
      <c r="G6" s="32" t="s">
        <v>633</v>
      </c>
    </row>
    <row r="7" ht="15.75" customHeight="1">
      <c r="A7" s="29" t="s">
        <v>634</v>
      </c>
      <c r="B7" s="29" t="s">
        <v>635</v>
      </c>
      <c r="C7" s="47">
        <f>+919771690801</f>
        <v>919771690801</v>
      </c>
      <c r="D7" s="3" t="s">
        <v>619</v>
      </c>
      <c r="E7" s="29" t="s">
        <v>503</v>
      </c>
      <c r="F7" s="42" t="s">
        <v>349</v>
      </c>
      <c r="G7" s="32" t="s">
        <v>636</v>
      </c>
    </row>
    <row r="8" ht="15.75" customHeight="1">
      <c r="A8" s="29" t="s">
        <v>637</v>
      </c>
      <c r="B8" s="29" t="s">
        <v>638</v>
      </c>
      <c r="C8" s="47">
        <f>+971545287151</f>
        <v>971545287151</v>
      </c>
      <c r="D8" s="3" t="s">
        <v>619</v>
      </c>
      <c r="E8" s="29" t="s">
        <v>639</v>
      </c>
      <c r="F8" s="42" t="s">
        <v>349</v>
      </c>
      <c r="G8" s="32" t="s">
        <v>184</v>
      </c>
    </row>
    <row r="9" ht="15.75" customHeight="1">
      <c r="A9" s="29" t="s">
        <v>640</v>
      </c>
      <c r="B9" s="29" t="s">
        <v>641</v>
      </c>
      <c r="C9" s="47">
        <f>+971503749354</f>
        <v>971503749354</v>
      </c>
      <c r="D9" s="3" t="s">
        <v>619</v>
      </c>
      <c r="E9" s="29" t="s">
        <v>485</v>
      </c>
      <c r="F9" s="42" t="s">
        <v>349</v>
      </c>
      <c r="G9" s="32" t="s">
        <v>453</v>
      </c>
    </row>
    <row r="10" ht="15.75" customHeight="1">
      <c r="A10" s="29" t="s">
        <v>642</v>
      </c>
      <c r="B10" s="29" t="s">
        <v>643</v>
      </c>
      <c r="C10" s="47">
        <f>+971581097798</f>
        <v>971581097798</v>
      </c>
      <c r="D10" s="3" t="s">
        <v>619</v>
      </c>
      <c r="E10" s="29" t="s">
        <v>644</v>
      </c>
      <c r="F10" s="42" t="s">
        <v>349</v>
      </c>
      <c r="G10" s="3" t="s">
        <v>645</v>
      </c>
    </row>
    <row r="11" ht="15.75" customHeight="1">
      <c r="A11" s="29" t="s">
        <v>646</v>
      </c>
      <c r="B11" s="29" t="s">
        <v>647</v>
      </c>
      <c r="C11" s="47">
        <f>+9710521612431</f>
        <v>9710521612431</v>
      </c>
      <c r="D11" s="3" t="s">
        <v>619</v>
      </c>
      <c r="E11" s="29" t="s">
        <v>648</v>
      </c>
      <c r="F11" s="42" t="s">
        <v>349</v>
      </c>
      <c r="G11" s="3" t="s">
        <v>174</v>
      </c>
    </row>
    <row r="12" ht="15.75" customHeight="1">
      <c r="A12" s="29" t="s">
        <v>649</v>
      </c>
      <c r="B12" s="29" t="s">
        <v>650</v>
      </c>
      <c r="C12" s="47">
        <f>+9710524405066</f>
        <v>9710524405066</v>
      </c>
      <c r="D12" s="3" t="s">
        <v>619</v>
      </c>
      <c r="E12" s="29" t="s">
        <v>651</v>
      </c>
      <c r="F12" s="42" t="s">
        <v>349</v>
      </c>
      <c r="G12" s="3" t="s">
        <v>652</v>
      </c>
    </row>
    <row r="13" ht="15.75" customHeight="1">
      <c r="A13" s="29" t="s">
        <v>653</v>
      </c>
      <c r="B13" s="29" t="s">
        <v>654</v>
      </c>
      <c r="C13" s="48" t="s">
        <v>655</v>
      </c>
      <c r="D13" s="3" t="s">
        <v>619</v>
      </c>
      <c r="E13" s="29" t="s">
        <v>656</v>
      </c>
      <c r="F13" s="3" t="s">
        <v>349</v>
      </c>
      <c r="G13" s="3" t="s">
        <v>556</v>
      </c>
    </row>
    <row r="14" ht="15.75" customHeight="1">
      <c r="A14" s="29" t="s">
        <v>657</v>
      </c>
      <c r="B14" s="29" t="s">
        <v>658</v>
      </c>
      <c r="C14" s="48" t="s">
        <v>659</v>
      </c>
      <c r="D14" s="3" t="s">
        <v>619</v>
      </c>
      <c r="E14" s="29" t="s">
        <v>660</v>
      </c>
      <c r="F14" s="3" t="s">
        <v>349</v>
      </c>
      <c r="G14" s="3" t="s">
        <v>556</v>
      </c>
    </row>
    <row r="15" ht="15.75" customHeight="1">
      <c r="A15" s="29" t="s">
        <v>661</v>
      </c>
      <c r="B15" s="29" t="s">
        <v>662</v>
      </c>
      <c r="C15" s="48" t="s">
        <v>663</v>
      </c>
      <c r="D15" s="3" t="s">
        <v>619</v>
      </c>
      <c r="E15" s="29" t="s">
        <v>664</v>
      </c>
      <c r="F15" s="3" t="s">
        <v>349</v>
      </c>
      <c r="G15" s="3" t="s">
        <v>407</v>
      </c>
    </row>
    <row r="16" ht="15.75" customHeight="1">
      <c r="A16" s="29" t="s">
        <v>665</v>
      </c>
      <c r="B16" s="29" t="s">
        <v>666</v>
      </c>
      <c r="C16" s="48" t="s">
        <v>667</v>
      </c>
      <c r="D16" s="3" t="s">
        <v>619</v>
      </c>
      <c r="E16" s="29" t="s">
        <v>668</v>
      </c>
      <c r="F16" s="3" t="s">
        <v>349</v>
      </c>
      <c r="G16" s="3" t="s">
        <v>407</v>
      </c>
    </row>
    <row r="17" ht="15.75" customHeight="1">
      <c r="A17" s="29" t="s">
        <v>669</v>
      </c>
      <c r="B17" s="29" t="s">
        <v>670</v>
      </c>
      <c r="C17" s="48" t="s">
        <v>671</v>
      </c>
      <c r="D17" s="3" t="s">
        <v>619</v>
      </c>
      <c r="E17" s="29" t="s">
        <v>672</v>
      </c>
      <c r="F17" s="3" t="s">
        <v>349</v>
      </c>
      <c r="G17" s="3" t="s">
        <v>407</v>
      </c>
    </row>
    <row r="18" ht="15.75" customHeight="1">
      <c r="A18" s="29" t="s">
        <v>673</v>
      </c>
      <c r="B18" s="29" t="s">
        <v>674</v>
      </c>
      <c r="C18" s="48" t="s">
        <v>675</v>
      </c>
      <c r="D18" s="3" t="s">
        <v>619</v>
      </c>
      <c r="E18" s="29" t="s">
        <v>676</v>
      </c>
      <c r="F18" s="3" t="s">
        <v>349</v>
      </c>
      <c r="G18" s="3" t="s">
        <v>576</v>
      </c>
    </row>
    <row r="19" ht="15.75" customHeight="1">
      <c r="A19" s="29" t="s">
        <v>677</v>
      </c>
      <c r="B19" s="29" t="s">
        <v>678</v>
      </c>
      <c r="C19" s="48" t="s">
        <v>679</v>
      </c>
      <c r="D19" s="3" t="s">
        <v>619</v>
      </c>
      <c r="E19" s="29" t="s">
        <v>680</v>
      </c>
      <c r="F19" s="3" t="s">
        <v>349</v>
      </c>
      <c r="G19" s="3" t="s">
        <v>576</v>
      </c>
    </row>
    <row r="20" ht="15.75" customHeight="1">
      <c r="A20" s="29" t="s">
        <v>681</v>
      </c>
      <c r="B20" s="29" t="s">
        <v>682</v>
      </c>
      <c r="C20" s="48" t="s">
        <v>683</v>
      </c>
      <c r="D20" s="3" t="s">
        <v>619</v>
      </c>
      <c r="E20" s="29" t="s">
        <v>684</v>
      </c>
      <c r="F20" s="3" t="s">
        <v>349</v>
      </c>
      <c r="G20" s="3" t="s">
        <v>576</v>
      </c>
    </row>
    <row r="21" ht="15.75" customHeight="1">
      <c r="A21" s="29" t="s">
        <v>685</v>
      </c>
      <c r="B21" s="29" t="s">
        <v>686</v>
      </c>
      <c r="C21" s="48" t="s">
        <v>687</v>
      </c>
      <c r="D21" s="3" t="s">
        <v>619</v>
      </c>
      <c r="E21" s="29" t="s">
        <v>688</v>
      </c>
      <c r="F21" s="3" t="s">
        <v>349</v>
      </c>
      <c r="G21" s="3" t="s">
        <v>556</v>
      </c>
    </row>
    <row r="22" ht="15.75" customHeight="1">
      <c r="A22" s="29" t="s">
        <v>689</v>
      </c>
      <c r="B22" s="29" t="s">
        <v>690</v>
      </c>
      <c r="C22" s="48" t="s">
        <v>691</v>
      </c>
      <c r="D22" s="3" t="s">
        <v>619</v>
      </c>
      <c r="E22" s="29" t="s">
        <v>692</v>
      </c>
      <c r="F22" s="3" t="s">
        <v>349</v>
      </c>
      <c r="G22" s="3" t="s">
        <v>373</v>
      </c>
    </row>
    <row r="23" ht="15.75" customHeight="1">
      <c r="A23" s="29" t="s">
        <v>693</v>
      </c>
      <c r="B23" s="29" t="s">
        <v>694</v>
      </c>
      <c r="C23" s="48" t="s">
        <v>695</v>
      </c>
      <c r="D23" s="3" t="s">
        <v>619</v>
      </c>
      <c r="E23" s="29" t="s">
        <v>696</v>
      </c>
      <c r="F23" s="3" t="s">
        <v>349</v>
      </c>
      <c r="G23" s="3" t="s">
        <v>373</v>
      </c>
    </row>
    <row r="24" ht="15.75" customHeight="1">
      <c r="A24" s="29" t="s">
        <v>697</v>
      </c>
      <c r="B24" s="29" t="s">
        <v>698</v>
      </c>
      <c r="C24" s="48" t="s">
        <v>699</v>
      </c>
      <c r="D24" s="3" t="s">
        <v>619</v>
      </c>
      <c r="E24" s="29" t="s">
        <v>700</v>
      </c>
      <c r="F24" s="3" t="s">
        <v>349</v>
      </c>
      <c r="G24" s="3" t="s">
        <v>373</v>
      </c>
    </row>
    <row r="25" ht="15.75" customHeight="1">
      <c r="A25" s="29" t="s">
        <v>701</v>
      </c>
      <c r="B25" s="29" t="s">
        <v>702</v>
      </c>
      <c r="C25" s="48" t="s">
        <v>703</v>
      </c>
      <c r="D25" s="3" t="s">
        <v>619</v>
      </c>
      <c r="E25" s="29" t="s">
        <v>704</v>
      </c>
      <c r="F25" s="3" t="s">
        <v>349</v>
      </c>
      <c r="G25" s="3" t="s">
        <v>373</v>
      </c>
    </row>
    <row r="26" ht="15.75" customHeight="1">
      <c r="A26" s="29" t="s">
        <v>705</v>
      </c>
      <c r="B26" s="29" t="s">
        <v>706</v>
      </c>
      <c r="C26" s="48" t="s">
        <v>707</v>
      </c>
      <c r="D26" s="3" t="s">
        <v>619</v>
      </c>
      <c r="E26" s="29" t="s">
        <v>708</v>
      </c>
      <c r="F26" s="3" t="s">
        <v>349</v>
      </c>
      <c r="G26" s="3" t="s">
        <v>373</v>
      </c>
    </row>
    <row r="27" ht="15.75" customHeight="1">
      <c r="A27" s="29" t="s">
        <v>709</v>
      </c>
      <c r="B27" s="29" t="s">
        <v>710</v>
      </c>
      <c r="C27" s="48" t="s">
        <v>711</v>
      </c>
      <c r="D27" s="3" t="s">
        <v>619</v>
      </c>
      <c r="E27" s="29" t="s">
        <v>712</v>
      </c>
      <c r="F27" s="3" t="s">
        <v>349</v>
      </c>
      <c r="G27" s="3" t="s">
        <v>373</v>
      </c>
    </row>
    <row r="28" ht="15.75" customHeight="1">
      <c r="A28" s="49" t="s">
        <v>713</v>
      </c>
      <c r="B28" s="29" t="s">
        <v>714</v>
      </c>
      <c r="C28" s="47" t="s">
        <v>715</v>
      </c>
      <c r="D28" s="3" t="s">
        <v>619</v>
      </c>
      <c r="E28" s="50" t="s">
        <v>716</v>
      </c>
      <c r="F28" s="42" t="s">
        <v>339</v>
      </c>
      <c r="G28" s="3" t="s">
        <v>373</v>
      </c>
    </row>
    <row r="29" ht="15.75" customHeight="1">
      <c r="C29" s="51"/>
    </row>
    <row r="30" ht="15.75" customHeight="1">
      <c r="C30" s="51"/>
    </row>
    <row r="31" ht="15.75" customHeight="1">
      <c r="C31" s="51"/>
    </row>
    <row r="32" ht="15.75" customHeight="1">
      <c r="C32" s="51"/>
    </row>
    <row r="33" ht="15.75" customHeight="1">
      <c r="C33" s="51"/>
    </row>
    <row r="34" ht="15.75" customHeight="1">
      <c r="C34" s="51"/>
    </row>
    <row r="35" ht="15.75" customHeight="1">
      <c r="C35" s="51"/>
    </row>
    <row r="36" ht="15.75" customHeight="1">
      <c r="C36" s="51"/>
    </row>
    <row r="37" ht="15.75" customHeight="1">
      <c r="C37" s="51"/>
    </row>
    <row r="38" ht="15.75" customHeight="1">
      <c r="C38" s="51"/>
    </row>
    <row r="39" ht="15.75" customHeight="1">
      <c r="C39" s="51"/>
    </row>
    <row r="40" ht="15.75" customHeight="1">
      <c r="C40" s="51"/>
    </row>
    <row r="41" ht="15.75" customHeight="1">
      <c r="C41" s="51"/>
    </row>
    <row r="42" ht="15.75" customHeight="1">
      <c r="C42" s="51"/>
    </row>
    <row r="43" ht="15.75" customHeight="1">
      <c r="C43" s="51"/>
    </row>
    <row r="44" ht="15.75" customHeight="1">
      <c r="C44" s="51"/>
    </row>
    <row r="45" ht="15.75" customHeight="1">
      <c r="C45" s="51"/>
    </row>
    <row r="46" ht="15.75" customHeight="1">
      <c r="C46" s="51"/>
    </row>
    <row r="47" ht="15.75" customHeight="1">
      <c r="C47" s="51"/>
    </row>
    <row r="48" ht="15.75" customHeight="1">
      <c r="C48" s="51"/>
    </row>
    <row r="49" ht="15.75" customHeight="1">
      <c r="C49" s="51"/>
    </row>
    <row r="50" ht="15.75" customHeight="1">
      <c r="C50" s="51"/>
    </row>
    <row r="51" ht="15.75" customHeight="1">
      <c r="C51" s="51"/>
    </row>
    <row r="52" ht="15.75" customHeight="1">
      <c r="C52" s="51"/>
    </row>
    <row r="53" ht="15.75" customHeight="1">
      <c r="C53" s="51"/>
    </row>
    <row r="54" ht="15.75" customHeight="1">
      <c r="C54" s="51"/>
    </row>
    <row r="55" ht="15.75" customHeight="1">
      <c r="C55" s="51"/>
    </row>
    <row r="56" ht="15.75" customHeight="1">
      <c r="C56" s="51"/>
    </row>
    <row r="57" ht="15.75" customHeight="1">
      <c r="C57" s="51"/>
    </row>
    <row r="58" ht="15.75" customHeight="1">
      <c r="C58" s="51"/>
    </row>
    <row r="59" ht="15.75" customHeight="1">
      <c r="C59" s="51"/>
    </row>
    <row r="60" ht="15.75" customHeight="1">
      <c r="C60" s="51"/>
    </row>
    <row r="61" ht="15.75" customHeight="1">
      <c r="C61" s="51"/>
    </row>
    <row r="62" ht="15.75" customHeight="1">
      <c r="C62" s="51"/>
    </row>
    <row r="63" ht="15.75" customHeight="1">
      <c r="C63" s="51"/>
    </row>
    <row r="64" ht="15.75" customHeight="1">
      <c r="C64" s="51"/>
    </row>
    <row r="65" ht="15.75" customHeight="1">
      <c r="C65" s="51"/>
    </row>
    <row r="66" ht="15.75" customHeight="1">
      <c r="C66" s="51"/>
    </row>
    <row r="67" ht="15.75" customHeight="1">
      <c r="C67" s="51"/>
    </row>
    <row r="68" ht="15.75" customHeight="1">
      <c r="C68" s="51"/>
    </row>
    <row r="69" ht="15.75" customHeight="1">
      <c r="C69" s="51"/>
    </row>
    <row r="70" ht="15.75" customHeight="1">
      <c r="C70" s="51"/>
    </row>
    <row r="71" ht="15.75" customHeight="1">
      <c r="C71" s="51"/>
    </row>
    <row r="72" ht="15.75" customHeight="1">
      <c r="C72" s="51"/>
    </row>
    <row r="73" ht="15.75" customHeight="1">
      <c r="C73" s="51"/>
    </row>
    <row r="74" ht="15.75" customHeight="1">
      <c r="C74" s="51"/>
    </row>
    <row r="75" ht="15.75" customHeight="1">
      <c r="C75" s="51"/>
    </row>
    <row r="76" ht="15.75" customHeight="1">
      <c r="C76" s="51"/>
    </row>
    <row r="77" ht="15.75" customHeight="1">
      <c r="C77" s="51"/>
    </row>
    <row r="78" ht="15.75" customHeight="1">
      <c r="C78" s="51"/>
    </row>
    <row r="79" ht="15.75" customHeight="1">
      <c r="C79" s="51"/>
    </row>
    <row r="80" ht="15.75" customHeight="1">
      <c r="C80" s="51"/>
    </row>
    <row r="81" ht="15.75" customHeight="1">
      <c r="C81" s="51"/>
    </row>
    <row r="82" ht="15.75" customHeight="1">
      <c r="C82" s="51"/>
    </row>
    <row r="83" ht="15.75" customHeight="1">
      <c r="C83" s="51"/>
    </row>
    <row r="84" ht="15.75" customHeight="1">
      <c r="C84" s="51"/>
    </row>
    <row r="85" ht="15.75" customHeight="1">
      <c r="C85" s="51"/>
    </row>
    <row r="86" ht="15.75" customHeight="1">
      <c r="C86" s="51"/>
    </row>
    <row r="87" ht="15.75" customHeight="1">
      <c r="C87" s="51"/>
    </row>
    <row r="88" ht="15.75" customHeight="1">
      <c r="C88" s="51"/>
    </row>
    <row r="89" ht="15.75" customHeight="1">
      <c r="C89" s="51"/>
    </row>
    <row r="90" ht="15.75" customHeight="1">
      <c r="C90" s="51"/>
    </row>
    <row r="91" ht="15.75" customHeight="1">
      <c r="C91" s="51"/>
    </row>
    <row r="92" ht="15.75" customHeight="1">
      <c r="C92" s="51"/>
    </row>
    <row r="93" ht="15.75" customHeight="1">
      <c r="C93" s="51"/>
    </row>
    <row r="94" ht="15.75" customHeight="1">
      <c r="C94" s="51"/>
    </row>
    <row r="95" ht="15.75" customHeight="1">
      <c r="C95" s="51"/>
    </row>
    <row r="96" ht="15.75" customHeight="1">
      <c r="C96" s="51"/>
    </row>
    <row r="97" ht="15.75" customHeight="1">
      <c r="C97" s="51"/>
    </row>
    <row r="98" ht="15.75" customHeight="1">
      <c r="C98" s="51"/>
    </row>
    <row r="99" ht="15.75" customHeight="1">
      <c r="C99" s="51"/>
    </row>
    <row r="100" ht="15.75" customHeight="1">
      <c r="C100" s="51"/>
    </row>
    <row r="101" ht="15.75" customHeight="1">
      <c r="C101" s="51"/>
    </row>
    <row r="102" ht="15.75" customHeight="1">
      <c r="C102" s="51"/>
    </row>
    <row r="103" ht="15.75" customHeight="1">
      <c r="C103" s="51"/>
    </row>
    <row r="104" ht="15.75" customHeight="1">
      <c r="C104" s="51"/>
    </row>
    <row r="105" ht="15.75" customHeight="1">
      <c r="C105" s="51"/>
    </row>
    <row r="106" ht="15.75" customHeight="1">
      <c r="C106" s="51"/>
    </row>
    <row r="107" ht="15.75" customHeight="1">
      <c r="C107" s="51"/>
    </row>
    <row r="108" ht="15.75" customHeight="1">
      <c r="C108" s="51"/>
    </row>
    <row r="109" ht="15.75" customHeight="1">
      <c r="C109" s="51"/>
    </row>
    <row r="110" ht="15.75" customHeight="1">
      <c r="C110" s="51"/>
    </row>
    <row r="111" ht="15.75" customHeight="1">
      <c r="C111" s="51"/>
    </row>
    <row r="112" ht="15.75" customHeight="1">
      <c r="C112" s="51"/>
    </row>
    <row r="113" ht="15.75" customHeight="1">
      <c r="C113" s="51"/>
    </row>
    <row r="114" ht="15.75" customHeight="1">
      <c r="C114" s="51"/>
    </row>
    <row r="115" ht="15.75" customHeight="1">
      <c r="C115" s="51"/>
    </row>
    <row r="116" ht="15.75" customHeight="1">
      <c r="C116" s="51"/>
    </row>
    <row r="117" ht="15.75" customHeight="1">
      <c r="C117" s="51"/>
    </row>
    <row r="118" ht="15.75" customHeight="1">
      <c r="C118" s="51"/>
    </row>
    <row r="119" ht="15.75" customHeight="1">
      <c r="C119" s="51"/>
    </row>
    <row r="120" ht="15.75" customHeight="1">
      <c r="C120" s="51"/>
    </row>
    <row r="121" ht="15.75" customHeight="1">
      <c r="C121" s="51"/>
    </row>
    <row r="122" ht="15.75" customHeight="1">
      <c r="C122" s="51"/>
    </row>
    <row r="123" ht="15.75" customHeight="1">
      <c r="C123" s="51"/>
    </row>
    <row r="124" ht="15.75" customHeight="1">
      <c r="C124" s="51"/>
    </row>
    <row r="125" ht="15.75" customHeight="1">
      <c r="C125" s="51"/>
    </row>
    <row r="126" ht="15.75" customHeight="1">
      <c r="C126" s="51"/>
    </row>
    <row r="127" ht="15.75" customHeight="1">
      <c r="C127" s="51"/>
    </row>
    <row r="128" ht="15.75" customHeight="1">
      <c r="C128" s="51"/>
    </row>
    <row r="129" ht="15.75" customHeight="1">
      <c r="C129" s="51"/>
    </row>
    <row r="130" ht="15.75" customHeight="1">
      <c r="C130" s="51"/>
    </row>
    <row r="131" ht="15.75" customHeight="1">
      <c r="C131" s="51"/>
    </row>
    <row r="132" ht="15.75" customHeight="1">
      <c r="C132" s="51"/>
    </row>
    <row r="133" ht="15.75" customHeight="1">
      <c r="C133" s="51"/>
    </row>
    <row r="134" ht="15.75" customHeight="1">
      <c r="C134" s="51"/>
    </row>
    <row r="135" ht="15.75" customHeight="1">
      <c r="C135" s="51"/>
    </row>
    <row r="136" ht="15.75" customHeight="1">
      <c r="C136" s="51"/>
    </row>
    <row r="137" ht="15.75" customHeight="1">
      <c r="C137" s="51"/>
    </row>
    <row r="138" ht="15.75" customHeight="1">
      <c r="C138" s="51"/>
    </row>
    <row r="139" ht="15.75" customHeight="1">
      <c r="C139" s="51"/>
    </row>
    <row r="140" ht="15.75" customHeight="1">
      <c r="C140" s="51"/>
    </row>
    <row r="141" ht="15.75" customHeight="1">
      <c r="C141" s="51"/>
    </row>
    <row r="142" ht="15.75" customHeight="1">
      <c r="C142" s="51"/>
    </row>
    <row r="143" ht="15.75" customHeight="1">
      <c r="C143" s="51"/>
    </row>
    <row r="144" ht="15.75" customHeight="1">
      <c r="C144" s="51"/>
    </row>
    <row r="145" ht="15.75" customHeight="1">
      <c r="C145" s="51"/>
    </row>
    <row r="146" ht="15.75" customHeight="1">
      <c r="C146" s="51"/>
    </row>
    <row r="147" ht="15.75" customHeight="1">
      <c r="C147" s="51"/>
    </row>
    <row r="148" ht="15.75" customHeight="1">
      <c r="C148" s="51"/>
    </row>
    <row r="149" ht="15.75" customHeight="1">
      <c r="C149" s="51"/>
    </row>
    <row r="150" ht="15.75" customHeight="1">
      <c r="C150" s="51"/>
    </row>
    <row r="151" ht="15.75" customHeight="1">
      <c r="C151" s="51"/>
    </row>
    <row r="152" ht="15.75" customHeight="1">
      <c r="C152" s="51"/>
    </row>
    <row r="153" ht="15.75" customHeight="1">
      <c r="C153" s="51"/>
    </row>
    <row r="154" ht="15.75" customHeight="1">
      <c r="C154" s="51"/>
    </row>
    <row r="155" ht="15.75" customHeight="1">
      <c r="C155" s="51"/>
    </row>
    <row r="156" ht="15.75" customHeight="1">
      <c r="C156" s="51"/>
    </row>
    <row r="157" ht="15.75" customHeight="1">
      <c r="C157" s="51"/>
    </row>
    <row r="158" ht="15.75" customHeight="1">
      <c r="C158" s="51"/>
    </row>
    <row r="159" ht="15.75" customHeight="1">
      <c r="C159" s="51"/>
    </row>
    <row r="160" ht="15.75" customHeight="1">
      <c r="C160" s="51"/>
    </row>
    <row r="161" ht="15.75" customHeight="1">
      <c r="C161" s="51"/>
    </row>
    <row r="162" ht="15.75" customHeight="1">
      <c r="C162" s="51"/>
    </row>
    <row r="163" ht="15.75" customHeight="1">
      <c r="C163" s="51"/>
    </row>
    <row r="164" ht="15.75" customHeight="1">
      <c r="C164" s="51"/>
    </row>
    <row r="165" ht="15.75" customHeight="1">
      <c r="C165" s="51"/>
    </row>
    <row r="166" ht="15.75" customHeight="1">
      <c r="C166" s="51"/>
    </row>
    <row r="167" ht="15.75" customHeight="1">
      <c r="C167" s="51"/>
    </row>
    <row r="168" ht="15.75" customHeight="1">
      <c r="C168" s="51"/>
    </row>
    <row r="169" ht="15.75" customHeight="1">
      <c r="C169" s="51"/>
    </row>
    <row r="170" ht="15.75" customHeight="1">
      <c r="C170" s="51"/>
    </row>
    <row r="171" ht="15.75" customHeight="1">
      <c r="C171" s="51"/>
    </row>
    <row r="172" ht="15.75" customHeight="1">
      <c r="C172" s="51"/>
    </row>
    <row r="173" ht="15.75" customHeight="1">
      <c r="C173" s="51"/>
    </row>
    <row r="174" ht="15.75" customHeight="1">
      <c r="C174" s="51"/>
    </row>
    <row r="175" ht="15.75" customHeight="1">
      <c r="C175" s="51"/>
    </row>
    <row r="176" ht="15.75" customHeight="1">
      <c r="C176" s="51"/>
    </row>
    <row r="177" ht="15.75" customHeight="1">
      <c r="C177" s="51"/>
    </row>
    <row r="178" ht="15.75" customHeight="1">
      <c r="C178" s="51"/>
    </row>
    <row r="179" ht="15.75" customHeight="1">
      <c r="C179" s="51"/>
    </row>
    <row r="180" ht="15.75" customHeight="1">
      <c r="C180" s="51"/>
    </row>
    <row r="181" ht="15.75" customHeight="1">
      <c r="C181" s="51"/>
    </row>
    <row r="182" ht="15.75" customHeight="1">
      <c r="C182" s="51"/>
    </row>
    <row r="183" ht="15.75" customHeight="1">
      <c r="C183" s="51"/>
    </row>
    <row r="184" ht="15.75" customHeight="1">
      <c r="C184" s="51"/>
    </row>
    <row r="185" ht="15.75" customHeight="1">
      <c r="C185" s="51"/>
    </row>
    <row r="186" ht="15.75" customHeight="1">
      <c r="C186" s="51"/>
    </row>
    <row r="187" ht="15.75" customHeight="1">
      <c r="C187" s="51"/>
    </row>
    <row r="188" ht="15.75" customHeight="1">
      <c r="C188" s="51"/>
    </row>
    <row r="189" ht="15.75" customHeight="1">
      <c r="C189" s="51"/>
    </row>
    <row r="190" ht="15.75" customHeight="1">
      <c r="C190" s="51"/>
    </row>
    <row r="191" ht="15.75" customHeight="1">
      <c r="C191" s="51"/>
    </row>
    <row r="192" ht="15.75" customHeight="1">
      <c r="C192" s="51"/>
    </row>
    <row r="193" ht="15.75" customHeight="1">
      <c r="C193" s="51"/>
    </row>
    <row r="194" ht="15.75" customHeight="1">
      <c r="C194" s="51"/>
    </row>
    <row r="195" ht="15.75" customHeight="1">
      <c r="C195" s="51"/>
    </row>
    <row r="196" ht="15.75" customHeight="1">
      <c r="C196" s="51"/>
    </row>
    <row r="197" ht="15.75" customHeight="1">
      <c r="C197" s="51"/>
    </row>
    <row r="198" ht="15.75" customHeight="1">
      <c r="C198" s="51"/>
    </row>
    <row r="199" ht="15.75" customHeight="1">
      <c r="C199" s="51"/>
    </row>
    <row r="200" ht="15.75" customHeight="1">
      <c r="C200" s="51"/>
    </row>
    <row r="201" ht="15.75" customHeight="1">
      <c r="C201" s="51"/>
    </row>
    <row r="202" ht="15.75" customHeight="1">
      <c r="C202" s="51"/>
    </row>
    <row r="203" ht="15.75" customHeight="1">
      <c r="C203" s="51"/>
    </row>
    <row r="204" ht="15.75" customHeight="1">
      <c r="C204" s="51"/>
    </row>
    <row r="205" ht="15.75" customHeight="1">
      <c r="C205" s="51"/>
    </row>
    <row r="206" ht="15.75" customHeight="1">
      <c r="C206" s="51"/>
    </row>
    <row r="207" ht="15.75" customHeight="1">
      <c r="C207" s="51"/>
    </row>
    <row r="208" ht="15.75" customHeight="1">
      <c r="C208" s="51"/>
    </row>
    <row r="209" ht="15.75" customHeight="1">
      <c r="C209" s="51"/>
    </row>
    <row r="210" ht="15.75" customHeight="1">
      <c r="C210" s="51"/>
    </row>
    <row r="211" ht="15.75" customHeight="1">
      <c r="C211" s="51"/>
    </row>
    <row r="212" ht="15.75" customHeight="1">
      <c r="C212" s="51"/>
    </row>
    <row r="213" ht="15.75" customHeight="1">
      <c r="C213" s="51"/>
    </row>
    <row r="214" ht="15.75" customHeight="1">
      <c r="C214" s="51"/>
    </row>
    <row r="215" ht="15.75" customHeight="1">
      <c r="C215" s="51"/>
    </row>
    <row r="216" ht="15.75" customHeight="1">
      <c r="C216" s="51"/>
    </row>
    <row r="217" ht="15.75" customHeight="1">
      <c r="C217" s="51"/>
    </row>
    <row r="218" ht="15.75" customHeight="1">
      <c r="C218" s="51"/>
    </row>
    <row r="219" ht="15.75" customHeight="1">
      <c r="C219" s="51"/>
    </row>
    <row r="220" ht="15.75" customHeight="1">
      <c r="C220" s="51"/>
    </row>
    <row r="221" ht="15.75" customHeight="1">
      <c r="C221" s="51"/>
    </row>
    <row r="222" ht="15.75" customHeight="1">
      <c r="C222" s="51"/>
    </row>
    <row r="223" ht="15.75" customHeight="1">
      <c r="C223" s="51"/>
    </row>
    <row r="224" ht="15.75" customHeight="1">
      <c r="C224" s="51"/>
    </row>
    <row r="225" ht="15.75" customHeight="1">
      <c r="C225" s="51"/>
    </row>
    <row r="226" ht="15.75" customHeight="1">
      <c r="C226" s="51"/>
    </row>
    <row r="227" ht="15.75" customHeight="1">
      <c r="C227" s="51"/>
    </row>
    <row r="228" ht="15.75" customHeight="1">
      <c r="C228" s="5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29" t="s">
        <v>717</v>
      </c>
      <c r="B1" s="29" t="s">
        <v>718</v>
      </c>
      <c r="C1" s="29">
        <v>9.71569844261E11</v>
      </c>
      <c r="D1" s="29" t="s">
        <v>719</v>
      </c>
      <c r="E1" s="3"/>
      <c r="F1" s="3" t="s">
        <v>339</v>
      </c>
      <c r="G1" s="3"/>
    </row>
    <row r="2" ht="15.75" customHeight="1">
      <c r="A2" s="29" t="s">
        <v>720</v>
      </c>
      <c r="B2" s="29" t="s">
        <v>721</v>
      </c>
      <c r="C2" s="29">
        <f>+971508232356</f>
        <v>971508232356</v>
      </c>
      <c r="D2" s="29" t="s">
        <v>719</v>
      </c>
      <c r="E2" s="3"/>
      <c r="F2" s="3" t="s">
        <v>339</v>
      </c>
      <c r="G2" s="3" t="s">
        <v>40</v>
      </c>
    </row>
    <row r="3" ht="15.75" customHeight="1">
      <c r="A3" s="29" t="s">
        <v>722</v>
      </c>
      <c r="B3" s="29" t="s">
        <v>723</v>
      </c>
      <c r="C3" s="29">
        <v>9.71555692264E11</v>
      </c>
      <c r="D3" s="29" t="s">
        <v>719</v>
      </c>
      <c r="E3" s="3"/>
      <c r="F3" s="3" t="s">
        <v>339</v>
      </c>
      <c r="G3" s="3" t="s">
        <v>184</v>
      </c>
    </row>
    <row r="4" ht="15.75" customHeight="1">
      <c r="A4" s="29" t="s">
        <v>724</v>
      </c>
      <c r="B4" s="29" t="s">
        <v>725</v>
      </c>
      <c r="C4" s="29">
        <v>9.71567784209E11</v>
      </c>
      <c r="D4" s="29" t="s">
        <v>719</v>
      </c>
      <c r="E4" s="3"/>
      <c r="F4" s="3" t="s">
        <v>339</v>
      </c>
      <c r="G4" s="3" t="s">
        <v>726</v>
      </c>
    </row>
    <row r="5" ht="15.75" customHeight="1">
      <c r="A5" s="29" t="s">
        <v>727</v>
      </c>
      <c r="B5" s="29" t="s">
        <v>728</v>
      </c>
      <c r="C5" s="52" t="s">
        <v>729</v>
      </c>
      <c r="D5" s="29" t="s">
        <v>719</v>
      </c>
      <c r="E5" s="3"/>
      <c r="F5" s="3" t="s">
        <v>730</v>
      </c>
      <c r="G5" s="3" t="s">
        <v>5</v>
      </c>
    </row>
    <row r="6" ht="15.75" customHeight="1">
      <c r="A6" s="3" t="s">
        <v>731</v>
      </c>
      <c r="B6" s="3" t="s">
        <v>732</v>
      </c>
      <c r="C6" s="53" t="s">
        <v>733</v>
      </c>
      <c r="D6" s="29" t="s">
        <v>719</v>
      </c>
      <c r="E6" s="3"/>
      <c r="F6" s="3" t="s">
        <v>730</v>
      </c>
      <c r="G6" s="3" t="s">
        <v>734</v>
      </c>
    </row>
    <row r="7" ht="15.75" customHeight="1">
      <c r="A7" s="29" t="s">
        <v>735</v>
      </c>
      <c r="B7" s="3" t="s">
        <v>736</v>
      </c>
      <c r="C7" s="52" t="s">
        <v>737</v>
      </c>
      <c r="D7" s="29" t="s">
        <v>719</v>
      </c>
      <c r="E7" s="3"/>
      <c r="F7" s="3" t="s">
        <v>730</v>
      </c>
      <c r="G7" s="3" t="s">
        <v>738</v>
      </c>
    </row>
    <row r="8" ht="15.75" customHeight="1">
      <c r="A8" s="29" t="s">
        <v>739</v>
      </c>
      <c r="B8" s="29" t="s">
        <v>740</v>
      </c>
      <c r="C8" s="52" t="s">
        <v>741</v>
      </c>
      <c r="D8" s="29" t="s">
        <v>719</v>
      </c>
      <c r="E8" s="3"/>
      <c r="F8" s="3" t="s">
        <v>730</v>
      </c>
      <c r="G8" s="3" t="s">
        <v>742</v>
      </c>
    </row>
    <row r="9" ht="15.75" customHeight="1">
      <c r="A9" s="29" t="s">
        <v>743</v>
      </c>
      <c r="B9" s="29" t="s">
        <v>744</v>
      </c>
      <c r="C9" s="52" t="s">
        <v>745</v>
      </c>
      <c r="D9" s="29" t="s">
        <v>719</v>
      </c>
      <c r="E9" s="3"/>
      <c r="F9" s="3" t="s">
        <v>730</v>
      </c>
      <c r="G9" s="3" t="s">
        <v>746</v>
      </c>
    </row>
    <row r="10" ht="15.75" customHeight="1">
      <c r="A10" s="29" t="s">
        <v>747</v>
      </c>
      <c r="B10" s="3" t="s">
        <v>748</v>
      </c>
      <c r="C10" s="52" t="s">
        <v>749</v>
      </c>
      <c r="D10" s="29" t="s">
        <v>719</v>
      </c>
      <c r="E10" s="3"/>
      <c r="F10" s="3" t="s">
        <v>730</v>
      </c>
      <c r="G10" s="3" t="s">
        <v>750</v>
      </c>
    </row>
    <row r="11" ht="15.75" customHeight="1">
      <c r="A11" s="29" t="s">
        <v>751</v>
      </c>
      <c r="B11" s="3" t="s">
        <v>752</v>
      </c>
      <c r="C11" s="52" t="s">
        <v>753</v>
      </c>
      <c r="D11" s="29" t="s">
        <v>719</v>
      </c>
      <c r="E11" s="3"/>
      <c r="F11" s="3" t="s">
        <v>730</v>
      </c>
      <c r="G11" s="3" t="s">
        <v>754</v>
      </c>
    </row>
    <row r="12" ht="15.75" customHeight="1">
      <c r="A12" s="3" t="s">
        <v>755</v>
      </c>
      <c r="B12" s="3" t="s">
        <v>756</v>
      </c>
      <c r="C12" s="53" t="s">
        <v>757</v>
      </c>
      <c r="D12" s="29" t="s">
        <v>719</v>
      </c>
      <c r="E12" s="3"/>
      <c r="F12" s="3" t="s">
        <v>730</v>
      </c>
      <c r="G12" s="3"/>
    </row>
    <row r="13" ht="15.75" customHeight="1">
      <c r="A13" s="3" t="s">
        <v>756</v>
      </c>
      <c r="B13" s="3" t="s">
        <v>755</v>
      </c>
      <c r="C13" s="53" t="s">
        <v>757</v>
      </c>
      <c r="D13" s="29" t="s">
        <v>719</v>
      </c>
      <c r="E13" s="3"/>
      <c r="F13" s="3" t="s">
        <v>730</v>
      </c>
      <c r="G13" s="3"/>
    </row>
    <row r="14" ht="15.75" customHeight="1">
      <c r="A14" s="3" t="s">
        <v>758</v>
      </c>
      <c r="B14" s="3" t="s">
        <v>759</v>
      </c>
      <c r="C14" s="53" t="s">
        <v>760</v>
      </c>
      <c r="D14" s="29" t="s">
        <v>719</v>
      </c>
      <c r="E14" s="3"/>
      <c r="F14" s="3" t="s">
        <v>730</v>
      </c>
      <c r="G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54" t="s">
        <v>761</v>
      </c>
      <c r="B1" s="54" t="s">
        <v>762</v>
      </c>
      <c r="C1" s="54" t="s">
        <v>0</v>
      </c>
      <c r="D1" s="54" t="s">
        <v>730</v>
      </c>
      <c r="E1" s="54" t="s">
        <v>1</v>
      </c>
      <c r="F1" s="54" t="s">
        <v>763</v>
      </c>
      <c r="G1" s="54" t="s">
        <v>764</v>
      </c>
      <c r="H1" s="54" t="s">
        <v>616</v>
      </c>
      <c r="I1" s="54" t="s">
        <v>765</v>
      </c>
      <c r="J1" s="54" t="s">
        <v>766</v>
      </c>
    </row>
    <row r="2" ht="15.75" customHeight="1">
      <c r="A2" s="55" t="s">
        <v>767</v>
      </c>
      <c r="B2" s="55" t="s">
        <v>768</v>
      </c>
      <c r="C2" s="55" t="s">
        <v>769</v>
      </c>
      <c r="D2" s="55" t="s">
        <v>770</v>
      </c>
      <c r="E2" s="55">
        <f>+17144159897</f>
        <v>17144159897</v>
      </c>
      <c r="F2" s="35"/>
      <c r="G2" s="35"/>
      <c r="H2" s="55" t="s">
        <v>349</v>
      </c>
      <c r="I2" s="55" t="s">
        <v>771</v>
      </c>
      <c r="J2" s="55" t="s">
        <v>772</v>
      </c>
    </row>
    <row r="3" ht="15.75" customHeight="1">
      <c r="A3" s="55" t="s">
        <v>767</v>
      </c>
      <c r="B3" s="55" t="s">
        <v>768</v>
      </c>
      <c r="C3" s="55" t="s">
        <v>773</v>
      </c>
      <c r="D3" s="55" t="s">
        <v>774</v>
      </c>
      <c r="E3" s="55">
        <f>+971566570138</f>
        <v>971566570138</v>
      </c>
      <c r="F3" s="35"/>
      <c r="G3" s="35"/>
      <c r="H3" s="55" t="s">
        <v>349</v>
      </c>
      <c r="I3" s="55" t="s">
        <v>40</v>
      </c>
      <c r="J3" s="55" t="s">
        <v>775</v>
      </c>
    </row>
    <row r="4" ht="15.75" customHeight="1">
      <c r="A4" s="55" t="s">
        <v>767</v>
      </c>
      <c r="B4" s="55" t="s">
        <v>768</v>
      </c>
      <c r="C4" s="55" t="s">
        <v>776</v>
      </c>
      <c r="D4" s="55" t="s">
        <v>777</v>
      </c>
      <c r="E4" s="55">
        <f>+9710567901137</f>
        <v>9710567901137</v>
      </c>
      <c r="F4" s="35"/>
      <c r="G4" s="35"/>
      <c r="H4" s="55" t="s">
        <v>349</v>
      </c>
      <c r="I4" s="55" t="s">
        <v>50</v>
      </c>
      <c r="J4" s="55" t="s">
        <v>778</v>
      </c>
    </row>
    <row r="5" ht="15.75" customHeight="1">
      <c r="A5" s="55" t="s">
        <v>767</v>
      </c>
      <c r="B5" s="55" t="s">
        <v>768</v>
      </c>
      <c r="C5" s="55" t="s">
        <v>779</v>
      </c>
      <c r="D5" s="55" t="s">
        <v>780</v>
      </c>
      <c r="E5" s="55">
        <f>+971545747772</f>
        <v>971545747772</v>
      </c>
      <c r="F5" s="35"/>
      <c r="G5" s="35"/>
      <c r="H5" s="55" t="s">
        <v>349</v>
      </c>
      <c r="I5" s="55" t="s">
        <v>734</v>
      </c>
      <c r="J5" s="55" t="s">
        <v>781</v>
      </c>
    </row>
    <row r="6" ht="15.75" customHeight="1">
      <c r="A6" s="55" t="s">
        <v>767</v>
      </c>
      <c r="B6" s="55" t="s">
        <v>782</v>
      </c>
      <c r="C6" s="55" t="s">
        <v>783</v>
      </c>
      <c r="D6" s="55" t="s">
        <v>784</v>
      </c>
      <c r="E6" s="55">
        <f>+971557750084</f>
        <v>971557750084</v>
      </c>
      <c r="F6" s="35"/>
      <c r="G6" s="35"/>
      <c r="H6" s="55" t="s">
        <v>349</v>
      </c>
      <c r="I6" s="55" t="s">
        <v>40</v>
      </c>
      <c r="J6" s="55" t="s">
        <v>785</v>
      </c>
    </row>
    <row r="7" ht="15.75" customHeight="1">
      <c r="A7" s="55" t="s">
        <v>767</v>
      </c>
      <c r="B7" s="55" t="s">
        <v>782</v>
      </c>
      <c r="C7" s="55" t="s">
        <v>786</v>
      </c>
      <c r="D7" s="55" t="s">
        <v>787</v>
      </c>
      <c r="E7" s="55">
        <f>+971506161948</f>
        <v>971506161948</v>
      </c>
      <c r="F7" s="35"/>
      <c r="G7" s="35"/>
      <c r="H7" s="55" t="s">
        <v>349</v>
      </c>
      <c r="I7" s="55" t="s">
        <v>15</v>
      </c>
      <c r="J7" s="55" t="s">
        <v>788</v>
      </c>
    </row>
    <row r="8" ht="15.75" customHeight="1">
      <c r="A8" s="55" t="s">
        <v>767</v>
      </c>
      <c r="B8" s="55" t="s">
        <v>782</v>
      </c>
      <c r="C8" s="55" t="s">
        <v>789</v>
      </c>
      <c r="D8" s="55" t="s">
        <v>790</v>
      </c>
      <c r="E8" s="56" t="s">
        <v>791</v>
      </c>
      <c r="F8" s="35"/>
      <c r="G8" s="35"/>
      <c r="H8" s="55" t="s">
        <v>349</v>
      </c>
      <c r="I8" s="55" t="s">
        <v>50</v>
      </c>
      <c r="J8" s="55" t="s">
        <v>792</v>
      </c>
    </row>
    <row r="9" ht="15.75" customHeight="1">
      <c r="A9" s="55" t="s">
        <v>767</v>
      </c>
      <c r="B9" s="55" t="s">
        <v>782</v>
      </c>
      <c r="C9" s="55" t="s">
        <v>793</v>
      </c>
      <c r="D9" s="55" t="s">
        <v>794</v>
      </c>
      <c r="E9" s="56" t="s">
        <v>795</v>
      </c>
      <c r="F9" s="35"/>
      <c r="G9" s="35"/>
      <c r="H9" s="55" t="s">
        <v>349</v>
      </c>
      <c r="I9" s="55" t="s">
        <v>61</v>
      </c>
      <c r="J9" s="55" t="s">
        <v>796</v>
      </c>
    </row>
    <row r="10" ht="15.75" customHeight="1">
      <c r="A10" s="55" t="s">
        <v>767</v>
      </c>
      <c r="B10" s="55" t="s">
        <v>782</v>
      </c>
      <c r="C10" s="55" t="s">
        <v>797</v>
      </c>
      <c r="D10" s="55" t="s">
        <v>798</v>
      </c>
      <c r="E10" s="56" t="s">
        <v>799</v>
      </c>
      <c r="F10" s="35"/>
      <c r="G10" s="35"/>
      <c r="H10" s="55" t="s">
        <v>349</v>
      </c>
      <c r="I10" s="55" t="s">
        <v>771</v>
      </c>
      <c r="J10" s="55" t="s">
        <v>800</v>
      </c>
    </row>
    <row r="11" ht="15.75" customHeight="1">
      <c r="A11" s="55" t="s">
        <v>767</v>
      </c>
      <c r="B11" s="55" t="s">
        <v>782</v>
      </c>
      <c r="C11" s="55" t="s">
        <v>801</v>
      </c>
      <c r="D11" s="55" t="s">
        <v>802</v>
      </c>
      <c r="E11" s="56" t="s">
        <v>803</v>
      </c>
      <c r="F11" s="35"/>
      <c r="G11" s="35"/>
      <c r="H11" s="55" t="s">
        <v>349</v>
      </c>
      <c r="I11" s="55" t="s">
        <v>350</v>
      </c>
      <c r="J11" s="55" t="s">
        <v>804</v>
      </c>
    </row>
    <row r="12" ht="15.75" customHeight="1">
      <c r="A12" s="55" t="s">
        <v>767</v>
      </c>
      <c r="B12" s="55" t="s">
        <v>782</v>
      </c>
      <c r="C12" s="55" t="s">
        <v>805</v>
      </c>
      <c r="D12" s="55" t="s">
        <v>806</v>
      </c>
      <c r="E12" s="56" t="s">
        <v>807</v>
      </c>
      <c r="F12" s="35"/>
      <c r="G12" s="35"/>
      <c r="H12" s="55" t="s">
        <v>349</v>
      </c>
      <c r="I12" s="55" t="s">
        <v>808</v>
      </c>
      <c r="J12" s="55" t="s">
        <v>809</v>
      </c>
    </row>
    <row r="13" ht="15.75" customHeight="1">
      <c r="A13" s="55" t="s">
        <v>767</v>
      </c>
      <c r="B13" s="55" t="s">
        <v>782</v>
      </c>
      <c r="C13" s="55" t="s">
        <v>810</v>
      </c>
      <c r="D13" s="55" t="s">
        <v>811</v>
      </c>
      <c r="E13" s="55">
        <v>9.7150600699E11</v>
      </c>
      <c r="F13" s="35"/>
      <c r="G13" s="35"/>
      <c r="H13" s="55" t="s">
        <v>812</v>
      </c>
      <c r="I13" s="55" t="s">
        <v>734</v>
      </c>
      <c r="J13" s="55" t="s">
        <v>813</v>
      </c>
    </row>
    <row r="14" ht="15.75" customHeight="1">
      <c r="A14" s="55" t="s">
        <v>767</v>
      </c>
      <c r="B14" s="55" t="s">
        <v>782</v>
      </c>
      <c r="C14" s="55" t="s">
        <v>814</v>
      </c>
      <c r="D14" s="55" t="s">
        <v>815</v>
      </c>
      <c r="E14" s="55">
        <f>+33624480911</f>
        <v>33624480911</v>
      </c>
      <c r="F14" s="35"/>
      <c r="G14" s="35"/>
      <c r="H14" s="55" t="s">
        <v>812</v>
      </c>
      <c r="I14" s="55" t="s">
        <v>15</v>
      </c>
      <c r="J14" s="55" t="s">
        <v>816</v>
      </c>
    </row>
    <row r="15" ht="15.75" customHeight="1">
      <c r="A15" s="55" t="s">
        <v>767</v>
      </c>
      <c r="B15" s="55" t="s">
        <v>782</v>
      </c>
      <c r="C15" s="55" t="s">
        <v>817</v>
      </c>
      <c r="D15" s="55" t="s">
        <v>818</v>
      </c>
      <c r="E15" s="55">
        <v>9.71507962657E11</v>
      </c>
      <c r="F15" s="35"/>
      <c r="G15" s="35"/>
      <c r="H15" s="55" t="s">
        <v>812</v>
      </c>
      <c r="I15" s="55" t="s">
        <v>61</v>
      </c>
      <c r="J15" s="55" t="s">
        <v>819</v>
      </c>
    </row>
    <row r="16" ht="15.75" customHeight="1">
      <c r="A16" s="55" t="s">
        <v>767</v>
      </c>
      <c r="B16" s="55" t="s">
        <v>782</v>
      </c>
      <c r="C16" s="55" t="s">
        <v>820</v>
      </c>
      <c r="D16" s="55" t="s">
        <v>821</v>
      </c>
      <c r="E16" s="55">
        <v>9.7155645806E11</v>
      </c>
      <c r="F16" s="35"/>
      <c r="G16" s="35"/>
      <c r="H16" s="55" t="s">
        <v>812</v>
      </c>
      <c r="I16" s="55" t="s">
        <v>771</v>
      </c>
      <c r="J16" s="55" t="s">
        <v>822</v>
      </c>
    </row>
    <row r="17" ht="15.75" customHeight="1">
      <c r="A17" s="55" t="s">
        <v>767</v>
      </c>
      <c r="B17" s="55" t="s">
        <v>782</v>
      </c>
      <c r="C17" s="55" t="s">
        <v>823</v>
      </c>
      <c r="D17" s="55" t="s">
        <v>824</v>
      </c>
      <c r="E17" s="55">
        <v>9.962119445E9</v>
      </c>
      <c r="F17" s="35"/>
      <c r="G17" s="35"/>
      <c r="H17" s="55" t="s">
        <v>812</v>
      </c>
      <c r="I17" s="55" t="s">
        <v>50</v>
      </c>
      <c r="J17" s="55" t="s">
        <v>825</v>
      </c>
    </row>
    <row r="18" ht="15.75" customHeight="1">
      <c r="A18" s="55" t="s">
        <v>767</v>
      </c>
      <c r="B18" s="55" t="s">
        <v>782</v>
      </c>
      <c r="C18" s="55" t="s">
        <v>826</v>
      </c>
      <c r="D18" s="55" t="s">
        <v>827</v>
      </c>
      <c r="E18" s="55">
        <v>3.226770956E9</v>
      </c>
      <c r="F18" s="35"/>
      <c r="G18" s="35"/>
      <c r="H18" s="55" t="s">
        <v>812</v>
      </c>
      <c r="I18" s="55" t="s">
        <v>828</v>
      </c>
      <c r="J18" s="55"/>
    </row>
    <row r="19" ht="15.75" customHeight="1">
      <c r="A19" s="55" t="s">
        <v>829</v>
      </c>
      <c r="B19" s="55" t="s">
        <v>782</v>
      </c>
      <c r="C19" s="55" t="s">
        <v>830</v>
      </c>
      <c r="D19" s="55" t="s">
        <v>831</v>
      </c>
      <c r="E19" s="55">
        <f>+971501549645</f>
        <v>971501549645</v>
      </c>
      <c r="F19" s="35"/>
      <c r="G19" s="35"/>
      <c r="H19" s="55" t="s">
        <v>349</v>
      </c>
      <c r="I19" s="55" t="s">
        <v>40</v>
      </c>
      <c r="J19" s="55" t="s">
        <v>832</v>
      </c>
    </row>
    <row r="20" ht="15.75" customHeight="1">
      <c r="A20" s="55" t="s">
        <v>829</v>
      </c>
      <c r="B20" s="55" t="s">
        <v>782</v>
      </c>
      <c r="C20" s="55" t="s">
        <v>833</v>
      </c>
      <c r="D20" s="55" t="s">
        <v>834</v>
      </c>
      <c r="E20" s="55">
        <f>+971556177098</f>
        <v>971556177098</v>
      </c>
      <c r="F20" s="35"/>
      <c r="G20" s="35"/>
      <c r="H20" s="55" t="s">
        <v>349</v>
      </c>
      <c r="I20" s="55" t="s">
        <v>50</v>
      </c>
      <c r="J20" s="55" t="s">
        <v>835</v>
      </c>
    </row>
    <row r="21" ht="15.75" customHeight="1">
      <c r="A21" s="55" t="s">
        <v>829</v>
      </c>
      <c r="B21" s="55" t="s">
        <v>782</v>
      </c>
      <c r="C21" s="55" t="s">
        <v>836</v>
      </c>
      <c r="D21" s="55" t="s">
        <v>837</v>
      </c>
      <c r="E21" s="55">
        <f>+971504564300</f>
        <v>971504564300</v>
      </c>
      <c r="F21" s="35"/>
      <c r="G21" s="35"/>
      <c r="H21" s="55" t="s">
        <v>349</v>
      </c>
      <c r="I21" s="55" t="s">
        <v>532</v>
      </c>
      <c r="J21" s="55" t="s">
        <v>838</v>
      </c>
    </row>
    <row r="22" ht="15.75" customHeight="1">
      <c r="A22" s="55" t="s">
        <v>829</v>
      </c>
      <c r="B22" s="55" t="s">
        <v>768</v>
      </c>
      <c r="C22" s="55" t="s">
        <v>839</v>
      </c>
      <c r="D22" s="55" t="s">
        <v>840</v>
      </c>
      <c r="E22" s="55">
        <f>+971507877455</f>
        <v>971507877455</v>
      </c>
      <c r="F22" s="35"/>
      <c r="G22" s="35"/>
      <c r="H22" s="55" t="s">
        <v>349</v>
      </c>
      <c r="I22" s="55" t="s">
        <v>61</v>
      </c>
      <c r="J22" s="55" t="s">
        <v>841</v>
      </c>
    </row>
    <row r="23" ht="15.75" customHeight="1">
      <c r="A23" s="55" t="s">
        <v>829</v>
      </c>
      <c r="B23" s="55" t="s">
        <v>768</v>
      </c>
      <c r="C23" s="55" t="s">
        <v>842</v>
      </c>
      <c r="D23" s="55" t="s">
        <v>843</v>
      </c>
      <c r="E23" s="55">
        <f>+971558854600</f>
        <v>971558854600</v>
      </c>
      <c r="F23" s="35"/>
      <c r="G23" s="35"/>
      <c r="H23" s="55" t="s">
        <v>349</v>
      </c>
      <c r="I23" s="55" t="s">
        <v>734</v>
      </c>
      <c r="J23" s="55" t="s">
        <v>844</v>
      </c>
    </row>
    <row r="24" ht="15.75" customHeight="1">
      <c r="A24" s="55" t="s">
        <v>829</v>
      </c>
      <c r="B24" s="55" t="s">
        <v>782</v>
      </c>
      <c r="C24" s="55" t="s">
        <v>845</v>
      </c>
      <c r="D24" s="55" t="s">
        <v>846</v>
      </c>
      <c r="E24" s="55">
        <f>+971564805410</f>
        <v>971564805410</v>
      </c>
      <c r="F24" s="35"/>
      <c r="G24" s="35"/>
      <c r="H24" s="55" t="s">
        <v>349</v>
      </c>
      <c r="I24" s="55" t="s">
        <v>40</v>
      </c>
      <c r="J24" s="55" t="s">
        <v>847</v>
      </c>
    </row>
    <row r="25" ht="15.75" customHeight="1">
      <c r="A25" s="55" t="s">
        <v>829</v>
      </c>
      <c r="B25" s="55" t="s">
        <v>782</v>
      </c>
      <c r="C25" s="55" t="s">
        <v>848</v>
      </c>
      <c r="D25" s="55" t="s">
        <v>849</v>
      </c>
      <c r="E25" s="55">
        <f>+966551852584</f>
        <v>966551852584</v>
      </c>
      <c r="F25" s="35"/>
      <c r="G25" s="35"/>
      <c r="H25" s="55" t="s">
        <v>349</v>
      </c>
      <c r="I25" s="55" t="s">
        <v>61</v>
      </c>
      <c r="J25" s="55" t="s">
        <v>850</v>
      </c>
    </row>
    <row r="26" ht="15.75" customHeight="1">
      <c r="A26" s="55" t="s">
        <v>829</v>
      </c>
      <c r="B26" s="55" t="s">
        <v>768</v>
      </c>
      <c r="C26" s="55" t="s">
        <v>851</v>
      </c>
      <c r="D26" s="55" t="s">
        <v>852</v>
      </c>
      <c r="E26" s="55">
        <f>+971564459544</f>
        <v>971564459544</v>
      </c>
      <c r="F26" s="35"/>
      <c r="G26" s="35"/>
      <c r="H26" s="55" t="s">
        <v>349</v>
      </c>
      <c r="I26" s="55" t="s">
        <v>40</v>
      </c>
      <c r="J26" s="55" t="s">
        <v>853</v>
      </c>
    </row>
    <row r="27" ht="15.75" customHeight="1">
      <c r="A27" s="55" t="s">
        <v>829</v>
      </c>
      <c r="B27" s="55" t="s">
        <v>854</v>
      </c>
      <c r="C27" s="55" t="s">
        <v>855</v>
      </c>
      <c r="D27" s="55" t="s">
        <v>856</v>
      </c>
      <c r="E27" s="55">
        <f>+971506256634</f>
        <v>971506256634</v>
      </c>
      <c r="F27" s="35"/>
      <c r="G27" s="35"/>
      <c r="H27" s="55" t="s">
        <v>349</v>
      </c>
      <c r="I27" s="55" t="s">
        <v>61</v>
      </c>
      <c r="J27" s="55" t="s">
        <v>857</v>
      </c>
    </row>
    <row r="28" ht="15.75" customHeight="1">
      <c r="A28" s="55" t="s">
        <v>829</v>
      </c>
      <c r="B28" s="55" t="s">
        <v>854</v>
      </c>
      <c r="C28" s="55" t="s">
        <v>858</v>
      </c>
      <c r="D28" s="55" t="s">
        <v>859</v>
      </c>
      <c r="E28" s="55">
        <f>+971507860075</f>
        <v>971507860075</v>
      </c>
      <c r="F28" s="35"/>
      <c r="G28" s="35"/>
      <c r="H28" s="55" t="s">
        <v>349</v>
      </c>
      <c r="I28" s="55" t="s">
        <v>860</v>
      </c>
      <c r="J28" s="55" t="s">
        <v>861</v>
      </c>
    </row>
    <row r="29" ht="15.75" customHeight="1">
      <c r="A29" s="55" t="s">
        <v>829</v>
      </c>
      <c r="B29" s="55" t="s">
        <v>854</v>
      </c>
      <c r="C29" s="57" t="s">
        <v>862</v>
      </c>
      <c r="D29" s="57" t="s">
        <v>863</v>
      </c>
      <c r="E29" s="57">
        <f>+971569529953</f>
        <v>971569529953</v>
      </c>
      <c r="F29" s="35"/>
      <c r="G29" s="35"/>
      <c r="H29" s="55" t="s">
        <v>349</v>
      </c>
      <c r="I29" s="55" t="s">
        <v>407</v>
      </c>
      <c r="J29" s="55" t="s">
        <v>864</v>
      </c>
    </row>
    <row r="30" ht="15.75" customHeight="1">
      <c r="A30" s="57" t="s">
        <v>829</v>
      </c>
      <c r="B30" s="57" t="s">
        <v>865</v>
      </c>
      <c r="C30" s="57" t="s">
        <v>866</v>
      </c>
      <c r="D30" s="57" t="s">
        <v>867</v>
      </c>
      <c r="E30" s="57">
        <f>+9710521979998</f>
        <v>9710521979998</v>
      </c>
      <c r="F30" s="35"/>
      <c r="G30" s="35"/>
      <c r="H30" s="57" t="s">
        <v>349</v>
      </c>
      <c r="I30" s="57" t="s">
        <v>40</v>
      </c>
      <c r="J30" s="58" t="s">
        <v>868</v>
      </c>
    </row>
    <row r="31" ht="15.75" customHeight="1">
      <c r="A31" s="57" t="s">
        <v>829</v>
      </c>
      <c r="B31" s="57" t="s">
        <v>869</v>
      </c>
      <c r="C31" s="57" t="s">
        <v>870</v>
      </c>
      <c r="D31" s="57" t="s">
        <v>871</v>
      </c>
      <c r="E31" s="57">
        <f>+96103404603</f>
        <v>96103404603</v>
      </c>
      <c r="F31" s="35"/>
      <c r="G31" s="35"/>
      <c r="H31" s="55" t="s">
        <v>349</v>
      </c>
      <c r="I31" s="55" t="s">
        <v>771</v>
      </c>
      <c r="J31" s="55" t="s">
        <v>872</v>
      </c>
    </row>
    <row r="32" ht="15.75" customHeight="1">
      <c r="A32" s="55" t="s">
        <v>829</v>
      </c>
      <c r="B32" s="55" t="s">
        <v>873</v>
      </c>
      <c r="C32" s="57" t="s">
        <v>874</v>
      </c>
      <c r="D32" s="57" t="s">
        <v>875</v>
      </c>
      <c r="E32" s="57">
        <f>+971563824340</f>
        <v>971563824340</v>
      </c>
      <c r="F32" s="35"/>
      <c r="G32" s="35"/>
      <c r="H32" s="55" t="s">
        <v>349</v>
      </c>
      <c r="I32" s="55" t="s">
        <v>61</v>
      </c>
      <c r="J32" s="55" t="s">
        <v>876</v>
      </c>
    </row>
    <row r="33" ht="15.75" customHeight="1">
      <c r="A33" s="55" t="s">
        <v>829</v>
      </c>
      <c r="B33" s="57" t="s">
        <v>873</v>
      </c>
      <c r="C33" s="57" t="s">
        <v>877</v>
      </c>
      <c r="D33" s="57" t="s">
        <v>878</v>
      </c>
      <c r="E33" s="57">
        <f>+201007319852</f>
        <v>201007319852</v>
      </c>
      <c r="F33" s="35"/>
      <c r="G33" s="35"/>
      <c r="H33" s="57" t="s">
        <v>349</v>
      </c>
      <c r="I33" s="55" t="s">
        <v>84</v>
      </c>
      <c r="J33" s="55" t="s">
        <v>872</v>
      </c>
    </row>
    <row r="34" ht="15.75" customHeight="1">
      <c r="A34" s="55" t="s">
        <v>829</v>
      </c>
      <c r="B34" s="57" t="s">
        <v>873</v>
      </c>
      <c r="C34" s="57" t="s">
        <v>879</v>
      </c>
      <c r="D34" s="57" t="s">
        <v>880</v>
      </c>
      <c r="E34" s="57">
        <f>+971507565878</f>
        <v>971507565878</v>
      </c>
      <c r="F34" s="35"/>
      <c r="G34" s="35"/>
      <c r="H34" s="57" t="s">
        <v>349</v>
      </c>
      <c r="I34" s="55" t="s">
        <v>532</v>
      </c>
      <c r="J34" s="55" t="s">
        <v>838</v>
      </c>
    </row>
    <row r="35" ht="15.75" customHeight="1">
      <c r="A35" s="55" t="s">
        <v>829</v>
      </c>
      <c r="B35" s="57" t="s">
        <v>873</v>
      </c>
      <c r="C35" s="57" t="s">
        <v>881</v>
      </c>
      <c r="D35" s="57" t="s">
        <v>882</v>
      </c>
      <c r="E35" s="57">
        <f>+971552011092</f>
        <v>971552011092</v>
      </c>
      <c r="F35" s="35"/>
      <c r="G35" s="35"/>
      <c r="H35" s="57" t="s">
        <v>349</v>
      </c>
      <c r="I35" s="55" t="s">
        <v>31</v>
      </c>
      <c r="J35" s="55" t="s">
        <v>778</v>
      </c>
    </row>
    <row r="36" ht="15.75" customHeight="1">
      <c r="A36" s="55" t="s">
        <v>829</v>
      </c>
      <c r="B36" s="59" t="s">
        <v>883</v>
      </c>
      <c r="C36" s="59" t="s">
        <v>884</v>
      </c>
      <c r="D36" s="59" t="s">
        <v>885</v>
      </c>
      <c r="E36" s="59">
        <v>6418800.0</v>
      </c>
      <c r="F36" s="35"/>
      <c r="G36" s="35"/>
      <c r="H36" s="60" t="s">
        <v>812</v>
      </c>
      <c r="I36" s="55" t="s">
        <v>40</v>
      </c>
      <c r="J36" s="55" t="s">
        <v>872</v>
      </c>
    </row>
    <row r="37" ht="15.75" customHeight="1">
      <c r="A37" s="55" t="s">
        <v>829</v>
      </c>
      <c r="B37" s="55" t="s">
        <v>873</v>
      </c>
      <c r="C37" s="57" t="s">
        <v>886</v>
      </c>
      <c r="D37" s="57" t="s">
        <v>887</v>
      </c>
      <c r="E37" s="57">
        <f>+971543395222</f>
        <v>971543395222</v>
      </c>
      <c r="F37" s="35"/>
      <c r="G37" s="35"/>
      <c r="H37" s="55" t="s">
        <v>349</v>
      </c>
      <c r="I37" s="55" t="s">
        <v>40</v>
      </c>
      <c r="J37" s="58" t="s">
        <v>888</v>
      </c>
    </row>
    <row r="38" ht="15.75" customHeight="1">
      <c r="A38" s="55" t="s">
        <v>829</v>
      </c>
      <c r="B38" s="55" t="s">
        <v>873</v>
      </c>
      <c r="C38" s="57" t="s">
        <v>889</v>
      </c>
      <c r="D38" s="57" t="s">
        <v>890</v>
      </c>
      <c r="E38" s="57">
        <v>6.5671953E7</v>
      </c>
      <c r="F38" s="35" t="s">
        <v>891</v>
      </c>
      <c r="G38" s="35"/>
      <c r="H38" s="55" t="s">
        <v>349</v>
      </c>
      <c r="I38" s="55" t="s">
        <v>61</v>
      </c>
      <c r="J38" s="55" t="s">
        <v>892</v>
      </c>
    </row>
    <row r="39" ht="15.75" customHeight="1">
      <c r="A39" s="55" t="s">
        <v>829</v>
      </c>
      <c r="B39" s="55" t="s">
        <v>873</v>
      </c>
      <c r="C39" s="57" t="s">
        <v>893</v>
      </c>
      <c r="D39" s="57" t="s">
        <v>894</v>
      </c>
      <c r="E39" s="57">
        <f>+13139995882</f>
        <v>13139995882</v>
      </c>
      <c r="F39" s="35" t="s">
        <v>895</v>
      </c>
      <c r="G39" s="35"/>
      <c r="H39" s="55" t="s">
        <v>349</v>
      </c>
      <c r="I39" s="55" t="s">
        <v>84</v>
      </c>
      <c r="J39" s="55" t="s">
        <v>896</v>
      </c>
    </row>
    <row r="40" ht="15.75" customHeight="1">
      <c r="A40" s="55" t="s">
        <v>829</v>
      </c>
      <c r="B40" s="55" t="s">
        <v>873</v>
      </c>
      <c r="C40" s="57" t="s">
        <v>897</v>
      </c>
      <c r="D40" s="57" t="s">
        <v>898</v>
      </c>
      <c r="E40" s="57">
        <f>+919846668888</f>
        <v>919846668888</v>
      </c>
      <c r="F40" s="35"/>
      <c r="G40" s="35"/>
      <c r="H40" s="55" t="s">
        <v>349</v>
      </c>
      <c r="I40" s="55" t="s">
        <v>61</v>
      </c>
      <c r="J40" s="55" t="s">
        <v>899</v>
      </c>
    </row>
    <row r="41" ht="15.75" customHeight="1">
      <c r="A41" s="55" t="s">
        <v>829</v>
      </c>
      <c r="B41" s="55" t="s">
        <v>873</v>
      </c>
      <c r="C41" s="57" t="s">
        <v>900</v>
      </c>
      <c r="D41" s="57" t="s">
        <v>901</v>
      </c>
      <c r="E41" s="57">
        <f>+971559787748</f>
        <v>971559787748</v>
      </c>
      <c r="F41" s="35"/>
      <c r="G41" s="35"/>
      <c r="H41" s="55" t="s">
        <v>349</v>
      </c>
      <c r="I41" s="55" t="s">
        <v>50</v>
      </c>
      <c r="J41" s="55" t="s">
        <v>902</v>
      </c>
    </row>
    <row r="42" ht="15.75" customHeight="1">
      <c r="A42" s="55" t="s">
        <v>829</v>
      </c>
      <c r="B42" s="55" t="s">
        <v>873</v>
      </c>
      <c r="C42" s="57" t="s">
        <v>903</v>
      </c>
      <c r="D42" s="57" t="s">
        <v>904</v>
      </c>
      <c r="E42" s="57">
        <f>+989122308291</f>
        <v>989122308291</v>
      </c>
      <c r="F42" s="61">
        <f>+971505540561</f>
        <v>971505540561</v>
      </c>
      <c r="G42" s="35"/>
      <c r="H42" s="55" t="s">
        <v>349</v>
      </c>
      <c r="I42" s="55" t="s">
        <v>45</v>
      </c>
      <c r="J42" s="55" t="s">
        <v>905</v>
      </c>
    </row>
    <row r="43" ht="15.75" customHeight="1">
      <c r="A43" s="55" t="s">
        <v>829</v>
      </c>
      <c r="B43" s="55" t="s">
        <v>873</v>
      </c>
      <c r="C43" s="57" t="s">
        <v>906</v>
      </c>
      <c r="D43" s="57" t="s">
        <v>907</v>
      </c>
      <c r="E43" s="57">
        <f>+971555016662</f>
        <v>971555016662</v>
      </c>
      <c r="F43" s="61">
        <f>+971525227522</f>
        <v>971525227522</v>
      </c>
      <c r="G43" s="35"/>
      <c r="H43" s="55" t="s">
        <v>349</v>
      </c>
      <c r="I43" s="55" t="s">
        <v>61</v>
      </c>
      <c r="J43" s="55" t="s">
        <v>908</v>
      </c>
    </row>
    <row r="44" ht="15.75" customHeight="1">
      <c r="A44" s="62" t="s">
        <v>829</v>
      </c>
      <c r="B44" s="62" t="s">
        <v>883</v>
      </c>
      <c r="C44" s="62" t="s">
        <v>909</v>
      </c>
      <c r="D44" s="62">
        <v>5.58149605E8</v>
      </c>
      <c r="E44" s="63" t="s">
        <v>910</v>
      </c>
      <c r="F44" s="35"/>
      <c r="G44" s="35"/>
      <c r="H44" s="63" t="s">
        <v>812</v>
      </c>
      <c r="I44" s="62" t="s">
        <v>61</v>
      </c>
      <c r="J44" s="63" t="s">
        <v>911</v>
      </c>
    </row>
    <row r="45" ht="15.75" customHeight="1">
      <c r="A45" s="62" t="s">
        <v>829</v>
      </c>
      <c r="B45" s="62" t="s">
        <v>883</v>
      </c>
      <c r="C45" s="62" t="s">
        <v>912</v>
      </c>
      <c r="D45" s="62">
        <f>15103319514</f>
        <v>15103319514</v>
      </c>
      <c r="E45" s="63" t="s">
        <v>913</v>
      </c>
      <c r="F45" s="35"/>
      <c r="G45" s="35"/>
      <c r="H45" s="63" t="s">
        <v>812</v>
      </c>
      <c r="I45" s="62" t="s">
        <v>40</v>
      </c>
      <c r="J45" s="55" t="s">
        <v>914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57"/>
    <col customWidth="1" min="3" max="3" width="14.43"/>
    <col customWidth="1" min="4" max="4" width="26.0"/>
    <col customWidth="1" min="5" max="6" width="14.43"/>
    <col customWidth="1" min="7" max="7" width="31.29"/>
  </cols>
  <sheetData>
    <row r="1" ht="15.75" customHeight="1">
      <c r="A1" s="64" t="s">
        <v>915</v>
      </c>
      <c r="B1" s="65" t="s">
        <v>338</v>
      </c>
      <c r="C1" s="66" t="s">
        <v>339</v>
      </c>
      <c r="D1" s="66" t="s">
        <v>340</v>
      </c>
      <c r="E1" s="66" t="s">
        <v>763</v>
      </c>
      <c r="F1" s="67" t="s">
        <v>916</v>
      </c>
      <c r="G1" s="68" t="s">
        <v>917</v>
      </c>
    </row>
    <row r="2" ht="15.75" customHeight="1">
      <c r="A2" s="69">
        <v>43746.0</v>
      </c>
      <c r="B2" s="70" t="s">
        <v>918</v>
      </c>
      <c r="C2" s="71" t="s">
        <v>919</v>
      </c>
      <c r="D2" s="70" t="s">
        <v>920</v>
      </c>
      <c r="E2" s="72">
        <f>+962775555200</f>
        <v>962775555200</v>
      </c>
      <c r="F2" s="70" t="s">
        <v>921</v>
      </c>
      <c r="G2" s="71" t="s">
        <v>922</v>
      </c>
    </row>
    <row r="3" ht="15.75" customHeight="1">
      <c r="A3" s="69">
        <v>43746.0</v>
      </c>
      <c r="B3" s="70" t="s">
        <v>918</v>
      </c>
      <c r="C3" s="71" t="s">
        <v>923</v>
      </c>
      <c r="D3" s="70" t="s">
        <v>924</v>
      </c>
      <c r="E3" s="72">
        <f>+962797797714</f>
        <v>962797797714</v>
      </c>
      <c r="F3" s="70" t="s">
        <v>921</v>
      </c>
      <c r="G3" s="71" t="s">
        <v>922</v>
      </c>
    </row>
    <row r="4" ht="15.75" customHeight="1">
      <c r="A4" s="69">
        <v>43746.0</v>
      </c>
      <c r="B4" s="70" t="s">
        <v>918</v>
      </c>
      <c r="C4" s="71" t="s">
        <v>925</v>
      </c>
      <c r="D4" s="70" t="s">
        <v>926</v>
      </c>
      <c r="E4" s="72">
        <f>+962799998995</f>
        <v>962799998995</v>
      </c>
      <c r="F4" s="70" t="s">
        <v>927</v>
      </c>
      <c r="G4" s="71" t="s">
        <v>922</v>
      </c>
    </row>
    <row r="5" ht="15.75" customHeight="1">
      <c r="A5" s="69">
        <v>43746.0</v>
      </c>
      <c r="B5" s="70" t="s">
        <v>918</v>
      </c>
      <c r="C5" s="71" t="s">
        <v>928</v>
      </c>
      <c r="D5" s="70" t="s">
        <v>929</v>
      </c>
      <c r="E5" s="72">
        <f>+971503627281</f>
        <v>971503627281</v>
      </c>
      <c r="F5" s="70" t="s">
        <v>921</v>
      </c>
      <c r="G5" s="71" t="s">
        <v>930</v>
      </c>
    </row>
    <row r="6" ht="15.75" customHeight="1">
      <c r="A6" s="69">
        <v>43746.0</v>
      </c>
      <c r="B6" s="70" t="s">
        <v>918</v>
      </c>
      <c r="C6" s="71" t="s">
        <v>931</v>
      </c>
      <c r="D6" s="70" t="s">
        <v>932</v>
      </c>
      <c r="E6" s="72">
        <f>+962779594852</f>
        <v>962779594852</v>
      </c>
      <c r="F6" s="70" t="s">
        <v>933</v>
      </c>
      <c r="G6" s="73" t="s">
        <v>922</v>
      </c>
    </row>
    <row r="7" ht="15.75" customHeight="1">
      <c r="A7" s="69">
        <v>43746.0</v>
      </c>
      <c r="B7" s="70" t="s">
        <v>918</v>
      </c>
      <c r="C7" s="71" t="s">
        <v>934</v>
      </c>
      <c r="D7" s="70" t="s">
        <v>935</v>
      </c>
      <c r="E7" s="72">
        <f>+971506517886</f>
        <v>971506517886</v>
      </c>
      <c r="F7" s="70" t="s">
        <v>933</v>
      </c>
      <c r="G7" s="73" t="s">
        <v>936</v>
      </c>
    </row>
    <row r="8" ht="15.75" customHeight="1">
      <c r="A8" s="69">
        <v>43746.0</v>
      </c>
      <c r="B8" s="70" t="s">
        <v>918</v>
      </c>
      <c r="C8" s="71" t="s">
        <v>937</v>
      </c>
      <c r="D8" s="70" t="s">
        <v>938</v>
      </c>
      <c r="E8" s="72">
        <f>+971552094292</f>
        <v>971552094292</v>
      </c>
      <c r="F8" s="70" t="s">
        <v>933</v>
      </c>
      <c r="G8" s="71" t="s">
        <v>939</v>
      </c>
    </row>
    <row r="9" ht="15.75" customHeight="1">
      <c r="A9" s="69">
        <v>43746.0</v>
      </c>
      <c r="B9" s="70" t="s">
        <v>918</v>
      </c>
      <c r="C9" s="71" t="s">
        <v>940</v>
      </c>
      <c r="D9" s="70" t="s">
        <v>941</v>
      </c>
      <c r="E9" s="72">
        <f>+9620799390133</f>
        <v>9620799390133</v>
      </c>
      <c r="F9" s="70" t="s">
        <v>927</v>
      </c>
      <c r="G9" s="71" t="s">
        <v>922</v>
      </c>
    </row>
    <row r="10" ht="15.75" customHeight="1">
      <c r="A10" s="69">
        <v>43746.0</v>
      </c>
      <c r="B10" s="70" t="s">
        <v>918</v>
      </c>
      <c r="C10" s="71" t="s">
        <v>934</v>
      </c>
      <c r="D10" s="70" t="s">
        <v>935</v>
      </c>
      <c r="E10" s="72">
        <f>+971506517886</f>
        <v>971506517886</v>
      </c>
      <c r="F10" s="70" t="s">
        <v>933</v>
      </c>
      <c r="G10" s="71" t="s">
        <v>942</v>
      </c>
    </row>
    <row r="11" ht="15.75" customHeight="1">
      <c r="A11" s="74">
        <v>43747.0</v>
      </c>
      <c r="B11" s="70" t="s">
        <v>918</v>
      </c>
      <c r="C11" s="71" t="s">
        <v>943</v>
      </c>
      <c r="D11" s="70" t="s">
        <v>944</v>
      </c>
      <c r="E11" s="72">
        <f>+19545432415</f>
        <v>19545432415</v>
      </c>
      <c r="F11" s="70" t="s">
        <v>933</v>
      </c>
      <c r="G11" s="73" t="s">
        <v>945</v>
      </c>
    </row>
    <row r="12" ht="15.75" customHeight="1">
      <c r="A12" s="74">
        <v>43747.0</v>
      </c>
      <c r="B12" s="70" t="s">
        <v>918</v>
      </c>
      <c r="C12" s="71" t="s">
        <v>946</v>
      </c>
      <c r="D12" s="70" t="s">
        <v>947</v>
      </c>
      <c r="E12" s="72">
        <f>+962799277720</f>
        <v>962799277720</v>
      </c>
      <c r="F12" s="70" t="s">
        <v>921</v>
      </c>
      <c r="G12" s="73" t="s">
        <v>922</v>
      </c>
    </row>
    <row r="13" ht="15.75" customHeight="1">
      <c r="A13" s="74">
        <v>43747.0</v>
      </c>
      <c r="B13" s="70" t="s">
        <v>918</v>
      </c>
      <c r="C13" s="71" t="s">
        <v>948</v>
      </c>
      <c r="D13" s="70" t="s">
        <v>949</v>
      </c>
      <c r="E13" s="72">
        <f>+971582765120</f>
        <v>971582765120</v>
      </c>
      <c r="F13" s="70" t="s">
        <v>933</v>
      </c>
      <c r="G13" s="73" t="s">
        <v>950</v>
      </c>
    </row>
    <row r="14" ht="15.75" customHeight="1">
      <c r="A14" s="74">
        <v>43748.0</v>
      </c>
      <c r="B14" s="70" t="s">
        <v>918</v>
      </c>
      <c r="C14" s="71" t="s">
        <v>951</v>
      </c>
      <c r="D14" s="71" t="s">
        <v>952</v>
      </c>
      <c r="E14" s="72">
        <f>+9620795512499</f>
        <v>9620795512499</v>
      </c>
      <c r="F14" s="70" t="s">
        <v>921</v>
      </c>
      <c r="G14" s="71"/>
    </row>
    <row r="15" ht="15.75" customHeight="1">
      <c r="A15" s="74">
        <v>43748.0</v>
      </c>
      <c r="B15" s="70" t="s">
        <v>918</v>
      </c>
      <c r="C15" s="71" t="s">
        <v>953</v>
      </c>
      <c r="D15" s="71" t="s">
        <v>954</v>
      </c>
      <c r="E15" s="72">
        <f>+971557577161</f>
        <v>971557577161</v>
      </c>
      <c r="F15" s="70" t="s">
        <v>921</v>
      </c>
      <c r="G15" s="71" t="s">
        <v>955</v>
      </c>
    </row>
    <row r="16" ht="15.75" customHeight="1">
      <c r="A16" s="75"/>
      <c r="B16" s="76"/>
    </row>
    <row r="17" ht="15.75" customHeight="1">
      <c r="A17" s="75"/>
      <c r="B17" s="76"/>
    </row>
    <row r="18" ht="15.75" customHeight="1">
      <c r="A18" s="75"/>
      <c r="B18" s="76"/>
    </row>
    <row r="19" ht="15.75" customHeight="1">
      <c r="A19" s="75"/>
      <c r="B19" s="76"/>
    </row>
    <row r="20" ht="15.75" customHeight="1">
      <c r="A20" s="75"/>
      <c r="B20" s="76"/>
    </row>
    <row r="21" ht="15.75" customHeight="1">
      <c r="A21" s="75"/>
      <c r="B21" s="76"/>
    </row>
    <row r="22" ht="15.75" customHeight="1">
      <c r="A22" s="75"/>
      <c r="B22" s="76"/>
    </row>
    <row r="23" ht="15.75" customHeight="1">
      <c r="A23" s="75"/>
      <c r="B23" s="76"/>
    </row>
    <row r="24" ht="15.75" customHeight="1">
      <c r="A24" s="75"/>
      <c r="B24" s="76"/>
    </row>
    <row r="25" ht="15.75" customHeight="1">
      <c r="A25" s="75"/>
      <c r="B25" s="76"/>
    </row>
    <row r="26" ht="15.75" customHeight="1">
      <c r="A26" s="75"/>
      <c r="B26" s="76"/>
    </row>
    <row r="27" ht="15.75" customHeight="1">
      <c r="A27" s="75"/>
      <c r="B27" s="76"/>
    </row>
    <row r="28" ht="15.75" customHeight="1">
      <c r="A28" s="75"/>
      <c r="B28" s="76"/>
    </row>
    <row r="29" ht="15.75" customHeight="1">
      <c r="A29" s="75"/>
      <c r="B29" s="76"/>
    </row>
    <row r="30" ht="15.75" customHeight="1">
      <c r="A30" s="75"/>
      <c r="B30" s="76"/>
    </row>
    <row r="31" ht="15.75" customHeight="1">
      <c r="A31" s="75"/>
      <c r="B31" s="76"/>
    </row>
    <row r="32" ht="15.75" customHeight="1">
      <c r="A32" s="75"/>
      <c r="B32" s="76"/>
    </row>
    <row r="33" ht="15.75" customHeight="1">
      <c r="A33" s="75"/>
      <c r="B33" s="76"/>
    </row>
    <row r="34" ht="15.75" customHeight="1">
      <c r="A34" s="75"/>
      <c r="B34" s="76"/>
    </row>
    <row r="35" ht="15.75" customHeight="1">
      <c r="A35" s="75"/>
      <c r="B35" s="76"/>
    </row>
    <row r="36" ht="15.75" customHeight="1">
      <c r="A36" s="75"/>
      <c r="B36" s="76"/>
    </row>
    <row r="37" ht="15.75" customHeight="1">
      <c r="A37" s="75"/>
      <c r="B37" s="76"/>
    </row>
    <row r="38" ht="15.75" customHeight="1">
      <c r="A38" s="75"/>
      <c r="B38" s="76"/>
    </row>
    <row r="39" ht="15.75" customHeight="1">
      <c r="A39" s="75"/>
      <c r="B39" s="76"/>
    </row>
    <row r="40" ht="15.75" customHeight="1">
      <c r="A40" s="75"/>
      <c r="B40" s="76"/>
    </row>
    <row r="41" ht="15.75" customHeight="1">
      <c r="A41" s="75"/>
      <c r="B41" s="76"/>
    </row>
    <row r="42" ht="15.75" customHeight="1">
      <c r="A42" s="75"/>
      <c r="B42" s="76"/>
    </row>
    <row r="43" ht="15.75" customHeight="1">
      <c r="A43" s="75"/>
      <c r="B43" s="76"/>
    </row>
    <row r="44" ht="15.75" customHeight="1">
      <c r="A44" s="75"/>
      <c r="B44" s="76"/>
    </row>
    <row r="45" ht="15.75" customHeight="1">
      <c r="A45" s="75"/>
      <c r="B45" s="76"/>
    </row>
    <row r="46" ht="15.75" customHeight="1">
      <c r="A46" s="75"/>
      <c r="B46" s="76"/>
    </row>
    <row r="47" ht="15.75" customHeight="1">
      <c r="A47" s="75"/>
      <c r="B47" s="76"/>
    </row>
    <row r="48" ht="15.75" customHeight="1">
      <c r="A48" s="75"/>
      <c r="B48" s="76"/>
    </row>
    <row r="49" ht="15.75" customHeight="1">
      <c r="A49" s="75"/>
      <c r="B49" s="76"/>
    </row>
    <row r="50" ht="15.75" customHeight="1">
      <c r="A50" s="75"/>
      <c r="B50" s="76"/>
    </row>
    <row r="51" ht="15.75" customHeight="1">
      <c r="A51" s="75"/>
      <c r="B51" s="76"/>
    </row>
    <row r="52" ht="15.75" customHeight="1">
      <c r="A52" s="75"/>
      <c r="B52" s="76"/>
    </row>
    <row r="53" ht="15.75" customHeight="1">
      <c r="A53" s="75"/>
      <c r="B53" s="76"/>
    </row>
    <row r="54" ht="15.75" customHeight="1">
      <c r="A54" s="75"/>
      <c r="B54" s="76"/>
    </row>
    <row r="55" ht="15.75" customHeight="1">
      <c r="A55" s="75"/>
      <c r="B55" s="76"/>
    </row>
    <row r="56" ht="15.75" customHeight="1">
      <c r="A56" s="75"/>
      <c r="B56" s="76"/>
    </row>
    <row r="57" ht="15.75" customHeight="1">
      <c r="A57" s="75"/>
      <c r="B57" s="76"/>
    </row>
    <row r="58" ht="15.75" customHeight="1">
      <c r="A58" s="75"/>
      <c r="B58" s="76"/>
    </row>
    <row r="59" ht="15.75" customHeight="1">
      <c r="A59" s="75"/>
      <c r="B59" s="76"/>
    </row>
    <row r="60" ht="15.75" customHeight="1">
      <c r="A60" s="75"/>
      <c r="B60" s="76"/>
    </row>
    <row r="61" ht="15.75" customHeight="1">
      <c r="A61" s="75"/>
      <c r="B61" s="76"/>
    </row>
    <row r="62" ht="15.75" customHeight="1">
      <c r="A62" s="75"/>
      <c r="B62" s="76"/>
    </row>
    <row r="63" ht="15.75" customHeight="1">
      <c r="A63" s="75"/>
      <c r="B63" s="76"/>
    </row>
    <row r="64" ht="15.75" customHeight="1">
      <c r="A64" s="75"/>
      <c r="B64" s="76"/>
    </row>
    <row r="65" ht="15.75" customHeight="1">
      <c r="A65" s="75"/>
      <c r="B65" s="76"/>
    </row>
    <row r="66" ht="15.75" customHeight="1">
      <c r="A66" s="75"/>
      <c r="B66" s="76"/>
    </row>
    <row r="67" ht="15.75" customHeight="1">
      <c r="A67" s="75"/>
      <c r="B67" s="76"/>
    </row>
    <row r="68" ht="15.75" customHeight="1">
      <c r="A68" s="75"/>
      <c r="B68" s="76"/>
    </row>
    <row r="69" ht="15.75" customHeight="1">
      <c r="A69" s="75"/>
      <c r="B69" s="76"/>
    </row>
    <row r="70" ht="15.75" customHeight="1">
      <c r="A70" s="75"/>
      <c r="B70" s="76"/>
    </row>
    <row r="71" ht="15.75" customHeight="1">
      <c r="A71" s="75"/>
      <c r="B71" s="76"/>
    </row>
    <row r="72" ht="15.75" customHeight="1">
      <c r="A72" s="75"/>
      <c r="B72" s="76"/>
    </row>
    <row r="73" ht="15.75" customHeight="1">
      <c r="A73" s="75"/>
      <c r="B73" s="76"/>
    </row>
    <row r="74" ht="15.75" customHeight="1">
      <c r="A74" s="75"/>
      <c r="B74" s="76"/>
    </row>
    <row r="75" ht="15.75" customHeight="1">
      <c r="A75" s="75"/>
      <c r="B75" s="76"/>
    </row>
    <row r="76" ht="15.75" customHeight="1">
      <c r="A76" s="75"/>
      <c r="B76" s="76"/>
    </row>
    <row r="77" ht="15.75" customHeight="1">
      <c r="A77" s="75"/>
      <c r="B77" s="76"/>
    </row>
    <row r="78" ht="15.75" customHeight="1">
      <c r="A78" s="75"/>
      <c r="B78" s="76"/>
    </row>
    <row r="79" ht="15.75" customHeight="1">
      <c r="A79" s="75"/>
      <c r="B79" s="76"/>
    </row>
    <row r="80" ht="15.75" customHeight="1">
      <c r="A80" s="75"/>
      <c r="B80" s="76"/>
    </row>
    <row r="81" ht="15.75" customHeight="1">
      <c r="A81" s="75"/>
      <c r="B81" s="76"/>
    </row>
    <row r="82" ht="15.75" customHeight="1">
      <c r="A82" s="75"/>
      <c r="B82" s="76"/>
    </row>
    <row r="83" ht="15.75" customHeight="1">
      <c r="A83" s="75"/>
      <c r="B83" s="76"/>
    </row>
    <row r="84" ht="15.75" customHeight="1">
      <c r="A84" s="75"/>
      <c r="B84" s="76"/>
    </row>
    <row r="85" ht="15.75" customHeight="1">
      <c r="A85" s="75"/>
      <c r="B85" s="76"/>
    </row>
    <row r="86" ht="15.75" customHeight="1">
      <c r="A86" s="75"/>
      <c r="B86" s="76"/>
    </row>
    <row r="87" ht="15.75" customHeight="1">
      <c r="A87" s="75"/>
      <c r="B87" s="76"/>
    </row>
    <row r="88" ht="15.75" customHeight="1">
      <c r="A88" s="75"/>
      <c r="B88" s="76"/>
    </row>
    <row r="89" ht="15.75" customHeight="1">
      <c r="A89" s="75"/>
      <c r="B89" s="76"/>
    </row>
    <row r="90" ht="15.75" customHeight="1">
      <c r="A90" s="75"/>
      <c r="B90" s="76"/>
    </row>
    <row r="91" ht="15.75" customHeight="1">
      <c r="A91" s="75"/>
      <c r="B91" s="76"/>
    </row>
    <row r="92" ht="15.75" customHeight="1">
      <c r="A92" s="75"/>
      <c r="B92" s="76"/>
    </row>
    <row r="93" ht="15.75" customHeight="1">
      <c r="A93" s="75"/>
      <c r="B93" s="76"/>
    </row>
    <row r="94" ht="15.75" customHeight="1">
      <c r="A94" s="75"/>
      <c r="B94" s="76"/>
    </row>
    <row r="95" ht="15.75" customHeight="1">
      <c r="A95" s="75"/>
      <c r="B95" s="76"/>
    </row>
    <row r="96" ht="15.75" customHeight="1">
      <c r="A96" s="75"/>
      <c r="B96" s="76"/>
    </row>
    <row r="97" ht="15.75" customHeight="1">
      <c r="A97" s="75"/>
      <c r="B97" s="76"/>
    </row>
    <row r="98" ht="15.75" customHeight="1">
      <c r="A98" s="75"/>
      <c r="B98" s="76"/>
    </row>
    <row r="99" ht="15.75" customHeight="1">
      <c r="A99" s="75"/>
      <c r="B99" s="76"/>
    </row>
    <row r="100" ht="15.75" customHeight="1">
      <c r="A100" s="75"/>
      <c r="B100" s="76"/>
    </row>
    <row r="101" ht="15.75" customHeight="1">
      <c r="A101" s="75"/>
      <c r="B101" s="76"/>
    </row>
    <row r="102" ht="15.75" customHeight="1">
      <c r="A102" s="75"/>
      <c r="B102" s="76"/>
    </row>
    <row r="103" ht="15.75" customHeight="1">
      <c r="A103" s="75"/>
      <c r="B103" s="76"/>
    </row>
    <row r="104" ht="15.75" customHeight="1">
      <c r="A104" s="75"/>
      <c r="B104" s="76"/>
    </row>
    <row r="105" ht="15.75" customHeight="1">
      <c r="A105" s="75"/>
      <c r="B105" s="76"/>
    </row>
    <row r="106" ht="15.75" customHeight="1">
      <c r="A106" s="75"/>
      <c r="B106" s="76"/>
    </row>
    <row r="107" ht="15.75" customHeight="1">
      <c r="A107" s="75"/>
      <c r="B107" s="76"/>
    </row>
    <row r="108" ht="15.75" customHeight="1">
      <c r="A108" s="75"/>
      <c r="B108" s="76"/>
    </row>
    <row r="109" ht="15.75" customHeight="1">
      <c r="A109" s="75"/>
      <c r="B109" s="76"/>
    </row>
    <row r="110" ht="15.75" customHeight="1">
      <c r="A110" s="75"/>
      <c r="B110" s="76"/>
    </row>
    <row r="111" ht="15.75" customHeight="1">
      <c r="A111" s="75"/>
      <c r="B111" s="76"/>
    </row>
    <row r="112" ht="15.75" customHeight="1">
      <c r="A112" s="75"/>
      <c r="B112" s="76"/>
    </row>
    <row r="113" ht="15.75" customHeight="1">
      <c r="A113" s="75"/>
      <c r="B113" s="76"/>
    </row>
    <row r="114" ht="15.75" customHeight="1">
      <c r="A114" s="75"/>
      <c r="B114" s="76"/>
    </row>
    <row r="115" ht="15.75" customHeight="1">
      <c r="A115" s="75"/>
      <c r="B115" s="76"/>
    </row>
    <row r="116" ht="15.75" customHeight="1">
      <c r="A116" s="75"/>
      <c r="B116" s="76"/>
    </row>
    <row r="117" ht="15.75" customHeight="1">
      <c r="A117" s="75"/>
      <c r="B117" s="76"/>
    </row>
    <row r="118" ht="15.75" customHeight="1">
      <c r="A118" s="75"/>
      <c r="B118" s="76"/>
    </row>
    <row r="119" ht="15.75" customHeight="1">
      <c r="A119" s="75"/>
      <c r="B119" s="76"/>
    </row>
    <row r="120" ht="15.75" customHeight="1">
      <c r="A120" s="75"/>
      <c r="B120" s="76"/>
    </row>
    <row r="121" ht="15.75" customHeight="1">
      <c r="A121" s="75"/>
      <c r="B121" s="76"/>
    </row>
    <row r="122" ht="15.75" customHeight="1">
      <c r="A122" s="75"/>
      <c r="B122" s="76"/>
    </row>
    <row r="123" ht="15.75" customHeight="1">
      <c r="A123" s="75"/>
      <c r="B123" s="76"/>
    </row>
    <row r="124" ht="15.75" customHeight="1">
      <c r="A124" s="75"/>
      <c r="B124" s="76"/>
    </row>
    <row r="125" ht="15.75" customHeight="1">
      <c r="A125" s="75"/>
      <c r="B125" s="76"/>
    </row>
    <row r="126" ht="15.75" customHeight="1">
      <c r="A126" s="75"/>
      <c r="B126" s="76"/>
    </row>
    <row r="127" ht="15.75" customHeight="1">
      <c r="A127" s="75"/>
      <c r="B127" s="76"/>
    </row>
    <row r="128" ht="15.75" customHeight="1">
      <c r="A128" s="75"/>
      <c r="B128" s="76"/>
    </row>
    <row r="129" ht="15.75" customHeight="1">
      <c r="A129" s="75"/>
      <c r="B129" s="76"/>
    </row>
    <row r="130" ht="15.75" customHeight="1">
      <c r="A130" s="75"/>
      <c r="B130" s="76"/>
    </row>
    <row r="131" ht="15.75" customHeight="1">
      <c r="A131" s="75"/>
      <c r="B131" s="76"/>
    </row>
    <row r="132" ht="15.75" customHeight="1">
      <c r="A132" s="75"/>
      <c r="B132" s="76"/>
    </row>
    <row r="133" ht="15.75" customHeight="1">
      <c r="A133" s="75"/>
      <c r="B133" s="76"/>
    </row>
    <row r="134" ht="15.75" customHeight="1">
      <c r="A134" s="75"/>
      <c r="B134" s="76"/>
    </row>
    <row r="135" ht="15.75" customHeight="1">
      <c r="A135" s="75"/>
      <c r="B135" s="76"/>
    </row>
    <row r="136" ht="15.75" customHeight="1">
      <c r="A136" s="75"/>
      <c r="B136" s="76"/>
    </row>
    <row r="137" ht="15.75" customHeight="1">
      <c r="A137" s="75"/>
      <c r="B137" s="76"/>
    </row>
    <row r="138" ht="15.75" customHeight="1">
      <c r="A138" s="75"/>
      <c r="B138" s="76"/>
    </row>
    <row r="139" ht="15.75" customHeight="1">
      <c r="A139" s="75"/>
      <c r="B139" s="76"/>
    </row>
    <row r="140" ht="15.75" customHeight="1">
      <c r="A140" s="75"/>
      <c r="B140" s="76"/>
    </row>
    <row r="141" ht="15.75" customHeight="1">
      <c r="A141" s="75"/>
      <c r="B141" s="76"/>
    </row>
    <row r="142" ht="15.75" customHeight="1">
      <c r="A142" s="75"/>
      <c r="B142" s="76"/>
    </row>
    <row r="143" ht="15.75" customHeight="1">
      <c r="A143" s="75"/>
      <c r="B143" s="76"/>
    </row>
    <row r="144" ht="15.75" customHeight="1">
      <c r="A144" s="75"/>
      <c r="B144" s="76"/>
    </row>
    <row r="145" ht="15.75" customHeight="1">
      <c r="A145" s="75"/>
      <c r="B145" s="76"/>
    </row>
    <row r="146" ht="15.75" customHeight="1">
      <c r="A146" s="75"/>
      <c r="B146" s="76"/>
    </row>
    <row r="147" ht="15.75" customHeight="1">
      <c r="A147" s="75"/>
      <c r="B147" s="76"/>
    </row>
    <row r="148" ht="15.75" customHeight="1">
      <c r="A148" s="75"/>
      <c r="B148" s="76"/>
    </row>
    <row r="149" ht="15.75" customHeight="1">
      <c r="A149" s="75"/>
      <c r="B149" s="76"/>
    </row>
    <row r="150" ht="15.75" customHeight="1">
      <c r="A150" s="75"/>
      <c r="B150" s="76"/>
    </row>
    <row r="151" ht="15.75" customHeight="1">
      <c r="A151" s="75"/>
      <c r="B151" s="76"/>
    </row>
    <row r="152" ht="15.75" customHeight="1">
      <c r="A152" s="75"/>
      <c r="B152" s="76"/>
    </row>
    <row r="153" ht="15.75" customHeight="1">
      <c r="A153" s="75"/>
      <c r="B153" s="76"/>
    </row>
    <row r="154" ht="15.75" customHeight="1">
      <c r="A154" s="75"/>
      <c r="B154" s="76"/>
    </row>
    <row r="155" ht="15.75" customHeight="1">
      <c r="A155" s="75"/>
      <c r="B155" s="76"/>
    </row>
    <row r="156" ht="15.75" customHeight="1">
      <c r="A156" s="75"/>
      <c r="B156" s="76"/>
    </row>
    <row r="157" ht="15.75" customHeight="1">
      <c r="A157" s="75"/>
      <c r="B157" s="76"/>
    </row>
    <row r="158" ht="15.75" customHeight="1">
      <c r="A158" s="75"/>
      <c r="B158" s="76"/>
    </row>
    <row r="159" ht="15.75" customHeight="1">
      <c r="A159" s="75"/>
      <c r="B159" s="76"/>
    </row>
    <row r="160" ht="15.75" customHeight="1">
      <c r="A160" s="75"/>
      <c r="B160" s="76"/>
    </row>
    <row r="161" ht="15.75" customHeight="1">
      <c r="A161" s="75"/>
      <c r="B161" s="76"/>
    </row>
    <row r="162" ht="15.75" customHeight="1">
      <c r="A162" s="75"/>
      <c r="B162" s="76"/>
    </row>
    <row r="163" ht="15.75" customHeight="1">
      <c r="A163" s="75"/>
      <c r="B163" s="76"/>
    </row>
    <row r="164" ht="15.75" customHeight="1">
      <c r="A164" s="75"/>
      <c r="B164" s="76"/>
    </row>
    <row r="165" ht="15.75" customHeight="1">
      <c r="A165" s="75"/>
      <c r="B165" s="76"/>
    </row>
    <row r="166" ht="15.75" customHeight="1">
      <c r="A166" s="75"/>
      <c r="B166" s="76"/>
    </row>
    <row r="167" ht="15.75" customHeight="1">
      <c r="A167" s="75"/>
      <c r="B167" s="76"/>
    </row>
    <row r="168" ht="15.75" customHeight="1">
      <c r="A168" s="75"/>
      <c r="B168" s="76"/>
    </row>
    <row r="169" ht="15.75" customHeight="1">
      <c r="A169" s="75"/>
      <c r="B169" s="76"/>
    </row>
    <row r="170" ht="15.75" customHeight="1">
      <c r="A170" s="75"/>
      <c r="B170" s="76"/>
    </row>
    <row r="171" ht="15.75" customHeight="1">
      <c r="A171" s="75"/>
      <c r="B171" s="76"/>
    </row>
    <row r="172" ht="15.75" customHeight="1">
      <c r="A172" s="75"/>
      <c r="B172" s="76"/>
    </row>
    <row r="173" ht="15.75" customHeight="1">
      <c r="A173" s="75"/>
      <c r="B173" s="76"/>
    </row>
    <row r="174" ht="15.75" customHeight="1">
      <c r="A174" s="75"/>
      <c r="B174" s="76"/>
    </row>
    <row r="175" ht="15.75" customHeight="1">
      <c r="A175" s="75"/>
      <c r="B175" s="76"/>
    </row>
    <row r="176" ht="15.75" customHeight="1">
      <c r="A176" s="75"/>
      <c r="B176" s="76"/>
    </row>
    <row r="177" ht="15.75" customHeight="1">
      <c r="A177" s="75"/>
      <c r="B177" s="76"/>
    </row>
    <row r="178" ht="15.75" customHeight="1">
      <c r="A178" s="75"/>
      <c r="B178" s="76"/>
    </row>
    <row r="179" ht="15.75" customHeight="1">
      <c r="A179" s="75"/>
      <c r="B179" s="76"/>
    </row>
    <row r="180" ht="15.75" customHeight="1">
      <c r="A180" s="75"/>
      <c r="B180" s="76"/>
    </row>
    <row r="181" ht="15.75" customHeight="1">
      <c r="A181" s="75"/>
      <c r="B181" s="76"/>
    </row>
    <row r="182" ht="15.75" customHeight="1">
      <c r="A182" s="75"/>
      <c r="B182" s="76"/>
    </row>
    <row r="183" ht="15.75" customHeight="1">
      <c r="A183" s="75"/>
      <c r="B183" s="76"/>
    </row>
    <row r="184" ht="15.75" customHeight="1">
      <c r="A184" s="75"/>
      <c r="B184" s="76"/>
    </row>
    <row r="185" ht="15.75" customHeight="1">
      <c r="A185" s="75"/>
      <c r="B185" s="76"/>
    </row>
    <row r="186" ht="15.75" customHeight="1">
      <c r="A186" s="75"/>
      <c r="B186" s="76"/>
    </row>
    <row r="187" ht="15.75" customHeight="1">
      <c r="A187" s="75"/>
      <c r="B187" s="76"/>
    </row>
    <row r="188" ht="15.75" customHeight="1">
      <c r="A188" s="75"/>
      <c r="B188" s="76"/>
    </row>
    <row r="189" ht="15.75" customHeight="1">
      <c r="A189" s="75"/>
      <c r="B189" s="76"/>
    </row>
    <row r="190" ht="15.75" customHeight="1">
      <c r="A190" s="75"/>
      <c r="B190" s="76"/>
    </row>
    <row r="191" ht="15.75" customHeight="1">
      <c r="A191" s="75"/>
      <c r="B191" s="76"/>
    </row>
    <row r="192" ht="15.75" customHeight="1">
      <c r="A192" s="75"/>
      <c r="B192" s="76"/>
    </row>
    <row r="193" ht="15.75" customHeight="1">
      <c r="A193" s="75"/>
      <c r="B193" s="76"/>
    </row>
    <row r="194" ht="15.75" customHeight="1">
      <c r="A194" s="75"/>
      <c r="B194" s="76"/>
    </row>
    <row r="195" ht="15.75" customHeight="1">
      <c r="A195" s="75"/>
      <c r="B195" s="76"/>
    </row>
    <row r="196" ht="15.75" customHeight="1">
      <c r="A196" s="75"/>
      <c r="B196" s="76"/>
    </row>
    <row r="197" ht="15.75" customHeight="1">
      <c r="A197" s="75"/>
      <c r="B197" s="76"/>
    </row>
    <row r="198" ht="15.75" customHeight="1">
      <c r="A198" s="75"/>
      <c r="B198" s="76"/>
    </row>
    <row r="199" ht="15.75" customHeight="1">
      <c r="A199" s="75"/>
      <c r="B199" s="76"/>
    </row>
    <row r="200" ht="15.75" customHeight="1">
      <c r="A200" s="75"/>
      <c r="B200" s="76"/>
    </row>
    <row r="201" ht="15.75" customHeight="1">
      <c r="A201" s="75"/>
      <c r="B201" s="76"/>
    </row>
    <row r="202" ht="15.75" customHeight="1">
      <c r="A202" s="75"/>
      <c r="B202" s="76"/>
    </row>
    <row r="203" ht="15.75" customHeight="1">
      <c r="A203" s="75"/>
      <c r="B203" s="76"/>
    </row>
    <row r="204" ht="15.75" customHeight="1">
      <c r="A204" s="75"/>
      <c r="B204" s="76"/>
    </row>
    <row r="205" ht="15.75" customHeight="1">
      <c r="A205" s="75"/>
      <c r="B205" s="76"/>
    </row>
    <row r="206" ht="15.75" customHeight="1">
      <c r="A206" s="75"/>
      <c r="B206" s="76"/>
    </row>
    <row r="207" ht="15.75" customHeight="1">
      <c r="A207" s="75"/>
      <c r="B207" s="76"/>
    </row>
    <row r="208" ht="15.75" customHeight="1">
      <c r="A208" s="75"/>
      <c r="B208" s="76"/>
    </row>
    <row r="209" ht="15.75" customHeight="1">
      <c r="A209" s="75"/>
      <c r="B209" s="76"/>
    </row>
    <row r="210" ht="15.75" customHeight="1">
      <c r="A210" s="75"/>
      <c r="B210" s="76"/>
    </row>
    <row r="211" ht="15.75" customHeight="1">
      <c r="A211" s="75"/>
      <c r="B211" s="76"/>
    </row>
    <row r="212" ht="15.75" customHeight="1">
      <c r="A212" s="75"/>
      <c r="B212" s="76"/>
    </row>
    <row r="213" ht="15.75" customHeight="1">
      <c r="A213" s="75"/>
      <c r="B213" s="76"/>
    </row>
    <row r="214" ht="15.75" customHeight="1">
      <c r="A214" s="75"/>
      <c r="B214" s="76"/>
    </row>
    <row r="215" ht="15.75" customHeight="1">
      <c r="A215" s="75"/>
      <c r="B215" s="76"/>
    </row>
    <row r="216" ht="15.75" customHeight="1">
      <c r="A216" s="75"/>
      <c r="B216" s="76"/>
    </row>
    <row r="217" ht="15.75" customHeight="1">
      <c r="A217" s="75"/>
      <c r="B217" s="76"/>
    </row>
    <row r="218" ht="15.75" customHeight="1">
      <c r="A218" s="75"/>
      <c r="B218" s="76"/>
    </row>
    <row r="219" ht="15.75" customHeight="1">
      <c r="A219" s="75"/>
      <c r="B219" s="76"/>
    </row>
    <row r="220" ht="15.75" customHeight="1">
      <c r="A220" s="75"/>
      <c r="B220" s="7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